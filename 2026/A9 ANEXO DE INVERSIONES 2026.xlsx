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Copia de 2026" sheetId="2" r:id="rId6"/>
  </sheets>
  <definedNames>
    <definedName localSheetId="1" name="p3373_625">#REF!</definedName>
    <definedName localSheetId="1" name="p1721_629">'Copia de 2026'!$K$147</definedName>
    <definedName localSheetId="1" name="P1623_619">'Copia de 2026'!$K$108</definedName>
    <definedName localSheetId="1" name="p3374_629">'Copia de 2026'!$K$233</definedName>
    <definedName name="p3372_629">#REF!</definedName>
    <definedName localSheetId="1" name="p1360_624">'Copia de 2026'!$K$32</definedName>
    <definedName localSheetId="1" name="p3262_629">'Copia de 2026'!$K$180</definedName>
    <definedName localSheetId="1" name="P9200_629">'Copia de 2026'!$K$316</definedName>
    <definedName localSheetId="1" name="p4320_625">'Copia de 2026'!$K$272</definedName>
    <definedName name="P9200_629">'2026'!$K$312</definedName>
    <definedName name="p3110_609">'2026'!$K$162</definedName>
    <definedName localSheetId="1" name="p1600_619">'Copia de 2026'!$K$79</definedName>
    <definedName localSheetId="1" name="p1710_627">'Copia de 2026'!$K$139</definedName>
    <definedName name="p1610_641">#REF!</definedName>
    <definedName localSheetId="1" name="p3372_629">'Copia de 2026'!$K$221</definedName>
    <definedName localSheetId="1" name="p1350_622">'Copia de 2026'!$K$25</definedName>
    <definedName name="p3230_619">'2026'!$K$172</definedName>
    <definedName localSheetId="1" name="P9200_641">'Copia de 2026'!$K$322</definedName>
    <definedName localSheetId="1" name="P9200_632">'Copia de 2026'!$K$319</definedName>
    <definedName name="p3321_629">'2026'!$K$190</definedName>
    <definedName name="p1522_627">'2026'!$K$40</definedName>
    <definedName name="suma_cap6_unespa">'2026'!$G$343</definedName>
    <definedName name="p9300_632">'2026'!$K$332</definedName>
    <definedName name="p3262_629">'2026'!$K$183</definedName>
    <definedName name="suma_cap6_cuentaremunerada">'2026'!$F$341</definedName>
    <definedName name="p4540_609">'2026'!$K$296</definedName>
    <definedName localSheetId="1" name="p3340_632">'Copia de 2026'!$K$203</definedName>
    <definedName name="p1610_619">'2026'!$K$88</definedName>
    <definedName localSheetId="1" name="p3375_629">'Copia de 2026'!$K$238</definedName>
    <definedName localSheetId="1" name="p1530_619">'Copia de 2026'!$K$49</definedName>
    <definedName name="p4320_622">'2026'!$K$266</definedName>
    <definedName localSheetId="1" name="p4330_609">'Copia de 2026'!$K$285</definedName>
    <definedName localSheetId="1" name="p1710_650">'Copia de 2026'!$K$142</definedName>
    <definedName localSheetId="1" name="p2310_635">'Copia de 2026'!$K$154</definedName>
    <definedName localSheetId="1" name="p1320_624">'Copia de 2026'!$K$10</definedName>
    <definedName localSheetId="1" name="p3200_641">'Copia de 2026'!$K$164</definedName>
    <definedName name="p3375_629">'2026'!$K$236</definedName>
    <definedName name="p4411_639">'2026'!$K$291</definedName>
    <definedName name="p1360_639">'2026'!$K$30</definedName>
    <definedName localSheetId="1" name="p1360_639">'Copia de 2026'!$K$34</definedName>
    <definedName name="p3374_629">'2026'!$K$231</definedName>
    <definedName name="p1721_629">'2026'!$K$149</definedName>
    <definedName name="p4320_633">'2026'!$K$273</definedName>
    <definedName name="p1610_623">'2026'!$K$96</definedName>
    <definedName localSheetId="1" name="p3380_619">#REF!</definedName>
    <definedName name="p1350_622">#REF!</definedName>
    <definedName localSheetId="1" name="p2310_632">'Copia de 2026'!$K$152</definedName>
    <definedName localSheetId="1" name="p1530_624">'Copia de 2026'!$K$69</definedName>
    <definedName localSheetId="1" name="p4411_639">'Copia de 2026'!$K$295</definedName>
    <definedName name="p3321_623">'2026'!$K$188</definedName>
    <definedName name="p1350_624">'2026'!$K$23</definedName>
    <definedName localSheetId="1" name="p1600_623">'Copia de 2026'!$K$83</definedName>
    <definedName name="p1710_627">'2026'!$K$141</definedName>
    <definedName localSheetId="1" name="p1320_622">'Copia de 2026'!$K$6</definedName>
    <definedName localSheetId="1" name="P3331_619">'Copia de 2026'!$K$197</definedName>
    <definedName name="P9200_641">'2026'!$K$317</definedName>
    <definedName localSheetId="1" name="p1640_622">'Copia de 2026'!$K$113</definedName>
    <definedName localSheetId="1" name="p1640_629">'Copia de 2026'!$K$118</definedName>
    <definedName name="p1320_622">'2026'!$K$6</definedName>
    <definedName name="p3330_650">'2026'!$K$195</definedName>
    <definedName name="p9240_627">'2026'!$K$324</definedName>
    <definedName localSheetId="1" name="p3321_629">'Copia de 2026'!$K$187</definedName>
    <definedName name="p1710_650">'2026'!$K$144</definedName>
    <definedName localSheetId="1" name="suma_cap6">'Copia de 2026'!$J$342</definedName>
    <definedName name="p1360_624">'2026'!$K$28</definedName>
    <definedName localSheetId="1" name="p4320_632">'Copia de 2026'!$K$274</definedName>
    <definedName name="p9240_632">'2026'!$K$326</definedName>
    <definedName localSheetId="1" name="P1621_619">'Copia de 2026'!$K$103</definedName>
    <definedName name="suma_cap6">'2026'!$J$337</definedName>
    <definedName localSheetId="1" name="p1650_619">'Copia de 2026'!$K$123</definedName>
    <definedName name="p1350_619">'2026'!$K$21</definedName>
    <definedName localSheetId="1" name="p1600_629">'Copia de 2026'!$K$85</definedName>
    <definedName name="p1530_624">'2026'!$K$69</definedName>
    <definedName name="p1640_622">'2026'!$K$115</definedName>
    <definedName name="P1621_619">'2026'!$K$105</definedName>
    <definedName name="p1530_635">'2026'!$K$71</definedName>
    <definedName localSheetId="1" name="p3420_632">'Copia de 2026'!$K$257</definedName>
    <definedName name="P1623_619">'2026'!$K$110</definedName>
    <definedName name="p1530_633">#REF!</definedName>
    <definedName name="p1640_629">'2026'!$K$120</definedName>
    <definedName localSheetId="1" name="p1610_641">#REF!</definedName>
    <definedName localSheetId="1" name="P9200_623">'Copia de 2026'!$K$310</definedName>
    <definedName name="p3420_632">'2026'!$K$254</definedName>
    <definedName localSheetId="1" name="p3341_629">'Copia de 2026'!$K$209</definedName>
    <definedName localSheetId="1" name="p3261_629">'Copia de 2026'!$K$174</definedName>
    <definedName name="p3420_624">'2026'!$K$252</definedName>
    <definedName name="p4330_609">'2026'!$K$281</definedName>
    <definedName name="p1330_619">'2026'!$K$14</definedName>
    <definedName name="suma_total_prestamo">'2026'!$E$337</definedName>
    <definedName name="P9200_626">'2026'!$K$310</definedName>
    <definedName name="p1600_629">'2026'!$K$83</definedName>
    <definedName name="p1530_619">'2026'!$K$47</definedName>
    <definedName name="p1600_623">#REF!</definedName>
    <definedName localSheetId="1" name="p1530_635">'Copia de 2026'!$K$71</definedName>
    <definedName localSheetId="1" name="p4330_625">'Copia de 2026'!$K$290</definedName>
    <definedName localSheetId="1" name="p9240_632">'Copia de 2026'!$K$331</definedName>
    <definedName localSheetId="1" name="p3380_623">'Copia de 2026'!$K$243</definedName>
    <definedName name="p4320_682">'2026'!$K$276</definedName>
    <definedName name="p1650_619">'2026'!$K$125</definedName>
    <definedName name="p3380_619">#REF!</definedName>
    <definedName name="p3341_629">'2026'!$K$212</definedName>
    <definedName name="p1600_619">'2026'!$K$79</definedName>
    <definedName name="p3373_632">'2026'!$K$224</definedName>
    <definedName localSheetId="1" name="p1330_619">'Copia de 2026'!$K$15</definedName>
    <definedName localSheetId="1" name="p3410_641">'Copia de 2026'!$K$250</definedName>
    <definedName name="p3370_632">'2026'!$K$219</definedName>
    <definedName name="p4320_625">'2026'!$K$268</definedName>
    <definedName localSheetId="1" name="p3420_624">'Copia de 2026'!$K$255</definedName>
    <definedName name="p3410_641">'2026'!$K$247</definedName>
    <definedName name="p3373_625">#REF!</definedName>
    <definedName name="P9200_625">'2026'!$K$308</definedName>
    <definedName name="p4330_625">'2026'!$K$286</definedName>
    <definedName localSheetId="1" name="p1522_650">'Copia de 2026'!$K$44</definedName>
    <definedName name="p1320_624">'2026'!$K$9</definedName>
    <definedName localSheetId="1" name="p3321_623">'Copia de 2026'!$K$185</definedName>
    <definedName localSheetId="1" name="p4320_682">'Copia de 2026'!$K$280</definedName>
    <definedName localSheetId="1" name="p4320_619">'Copia de 2026'!$K$267</definedName>
    <definedName name="P9200_623">'2026'!$K$306</definedName>
    <definedName localSheetId="1" name="p3373_632">'Copia de 2026'!$K$226</definedName>
    <definedName name="p1710_619">'2026'!$K$132</definedName>
    <definedName localSheetId="1" name="p1610_623">'Copia de 2026'!$K$95</definedName>
    <definedName name="p3261_629">'2026'!$K$177</definedName>
    <definedName localSheetId="1" name="p1610_619">'Copia de 2026'!$K$90</definedName>
    <definedName name="p4320_632">'2026'!$K$270</definedName>
    <definedName name="p3370_625">'2026'!$K$217</definedName>
    <definedName localSheetId="1" name="p3370_625">'Copia de 2026'!$K$214</definedName>
    <definedName name="suma_total_rta">'2026'!$H$337</definedName>
    <definedName localSheetId="1" name="p1530_633">#REF!</definedName>
    <definedName name="p1610_624">'2026'!$K$100</definedName>
    <definedName localSheetId="1" name="p3110_609">'Copia de 2026'!$K$159</definedName>
    <definedName localSheetId="1" name="p9240_627">'Copia de 2026'!$K$329</definedName>
    <definedName localSheetId="1" name="p1710_619">'Copia de 2026'!$K$130</definedName>
    <definedName localSheetId="1" name="p4320_633">'Copia de 2026'!$K$277</definedName>
    <definedName localSheetId="1" name="p1500_636">'Copia de 2026'!$K$39</definedName>
    <definedName name="p2310_632">'2026'!$K$154</definedName>
    <definedName localSheetId="1" name="p3370_632">'Copia de 2026'!$K$216</definedName>
    <definedName localSheetId="1" name="p4620_641">'Copia de 2026'!$K$305</definedName>
    <definedName localSheetId="1" name="p1350_619">'Copia de 2026'!$K$23</definedName>
    <definedName localSheetId="1" name="P9200_626">'Copia de 2026'!$K$314</definedName>
    <definedName localSheetId="1" name="P9200_625">'Copia de 2026'!$K$312</definedName>
    <definedName name="p3340_632">'2026'!$K$206</definedName>
    <definedName name="p1522_650">'2026'!$K$42</definedName>
    <definedName localSheetId="1" name="p3230_619">'Copia de 2026'!$K$169</definedName>
    <definedName name="p3380_623">'2026'!$K$241</definedName>
    <definedName localSheetId="1" name="p9300_632">'Copia de 2026'!$K$337</definedName>
    <definedName localSheetId="1" name="p1350_624">'Copia de 2026'!$K$27</definedName>
    <definedName localSheetId="1" name="p4320_622">'Copia de 2026'!$K$270</definedName>
    <definedName name="p1500_636">'2026'!$K$35</definedName>
    <definedName localSheetId="1" name="p4330_622">'Copia de 2026'!$K$288</definedName>
    <definedName localSheetId="1" name="p1610_624">'Copia de 2026'!$K$98</definedName>
    <definedName name="p4320_619">'2026'!$K$264</definedName>
    <definedName name="p3200_641">'2026'!$K$167</definedName>
    <definedName localSheetId="1" name="p3330_650">'Copia de 2026'!$K$192</definedName>
    <definedName name="P3331_619">'2026'!$K$200</definedName>
    <definedName name="p2310_635">'2026'!$K$157</definedName>
    <definedName localSheetId="1" name="p4540_609">'Copia de 2026'!$K$300</definedName>
    <definedName name="p4330_622">'2026'!$K$284</definedName>
    <definedName name="P9200_632">'2026'!$K$315</definedName>
    <definedName name="p4620_641">'2026'!$K$301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tc={30d39ebe-f8de-4354-b780-b016172d9891}</author>
    <author>tc={5c76938f-a554-4c80-969b-845bee0f0bac}</author>
    <author>tc={bb8aa6ab-da93-4977-b78c-a4b0aead283a}</author>
  </authors>
  <commentList>
    <comment authorId="0" xr:uid="{30d39ebe-f8de-4354-b780-b016172d9891}" ref="C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@cmedina@arandadeduero.es esto dejo 80k en vez de 20k (tu propuesta) ya que son datos que me ha dado Bea
</t>
      </text>
    </comment>
    <comment authorId="1" xr:uid="{5c76938f-a554-4c80-969b-845bee0f0bac}" ref="C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@belen@sentiraranda.es  esto?
</t>
      </text>
    </comment>
    <comment authorId="2" xr:uid="{bb8aa6ab-da93-4977-b78c-a4b0aead283a}" ref="C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@cmedina@arandadeduero.es dejo 300k porque así usamos el 282k del FCL
</t>
      </text>
    </comment>
  </commentList>
</comments>
</file>

<file path=xl/sharedStrings.xml><?xml version="1.0" encoding="utf-8"?>
<sst xmlns="http://schemas.openxmlformats.org/spreadsheetml/2006/main" count="805" uniqueCount="319">
  <si>
    <t>ANEXO INVERSIONES REALES 2026</t>
  </si>
  <si>
    <t>PARTIDA / CÓDIGO</t>
  </si>
  <si>
    <t>PROYECTO</t>
  </si>
  <si>
    <t>PRÉSTAMO</t>
  </si>
  <si>
    <t>INGRESOS CORRIENTES</t>
  </si>
  <si>
    <t>OTROS</t>
  </si>
  <si>
    <t>RTA (CAP 8)</t>
  </si>
  <si>
    <t>SUBVENCIONES</t>
  </si>
  <si>
    <t>TOTAL</t>
  </si>
  <si>
    <t>Σ Programa/partida</t>
  </si>
  <si>
    <t>SEGURIDAD</t>
  </si>
  <si>
    <t>Edificios y otras construcciones</t>
  </si>
  <si>
    <t>Cámaras de seguridad y tráfico</t>
  </si>
  <si>
    <t>!!!</t>
  </si>
  <si>
    <t>Redacción planta baja edificio</t>
  </si>
  <si>
    <t>Redacción y obra planta baja edificio</t>
  </si>
  <si>
    <t>Galería de tiro virtual</t>
  </si>
  <si>
    <t>Elementos de transporte</t>
  </si>
  <si>
    <t>Adquisición furgoneta</t>
  </si>
  <si>
    <t>ORDENACIÓN DEL TRÁFICO Y ESTACIONAMIENTO</t>
  </si>
  <si>
    <t>Otras inver. de reposición de infraest. y b. destinados uso gral.</t>
  </si>
  <si>
    <t>Redacción carril bici a Costaján</t>
  </si>
  <si>
    <t>Elementos de gestión de tráfico (conos, dientes de tiburón…)</t>
  </si>
  <si>
    <t>Pasos de cebra inteligentes</t>
  </si>
  <si>
    <t>Mejora de semáforos y señalética</t>
  </si>
  <si>
    <t>1330</t>
  </si>
  <si>
    <t>PROTECCIÓN CIVIL</t>
  </si>
  <si>
    <t>Sistema de comunicaciones</t>
  </si>
  <si>
    <t>Redacción futuras instalaciones</t>
  </si>
  <si>
    <t>1350</t>
  </si>
  <si>
    <t>EXTINCIÓN DE INCENDIOS</t>
  </si>
  <si>
    <t>UNESPA</t>
  </si>
  <si>
    <t>Zodiac</t>
  </si>
  <si>
    <t>Otras inversiones de reposición asociadas al funcionamiento operativo de los servicios</t>
  </si>
  <si>
    <t>Planes de emergencias según tipo de riesgo</t>
  </si>
  <si>
    <t>1360</t>
  </si>
  <si>
    <t>Planes de evacuación según tipo de riesgo</t>
  </si>
  <si>
    <t>ADMON. GRAL. DE URBANISMO</t>
  </si>
  <si>
    <t>Equipos para procesos de información</t>
  </si>
  <si>
    <t>Software CAD / BIM / GIS</t>
  </si>
  <si>
    <t>1500</t>
  </si>
  <si>
    <t>1522</t>
  </si>
  <si>
    <t>VIVIENDA</t>
  </si>
  <si>
    <t>Proyectos complejos</t>
  </si>
  <si>
    <t>Plan municipal de vivienda</t>
  </si>
  <si>
    <t>650</t>
  </si>
  <si>
    <t>Inversiones gestionadas para otros entes</t>
  </si>
  <si>
    <t>CUENTA REMUNERADA</t>
  </si>
  <si>
    <t>005/2023</t>
  </si>
  <si>
    <t>Rehabilitación viviendas ERRP Santa Catalina</t>
  </si>
  <si>
    <t>VÍAS PÚBLICAS URBANAS</t>
  </si>
  <si>
    <t>Liquidación Avenida Castilla</t>
  </si>
  <si>
    <t>Liquidación Calle San Francisco</t>
  </si>
  <si>
    <t>Arreglos aceras casco urbano</t>
  </si>
  <si>
    <t>Arreglos calles polígono industrial</t>
  </si>
  <si>
    <t>Expropiaciones Ronda Interna</t>
  </si>
  <si>
    <t>DF Ronda Interna</t>
  </si>
  <si>
    <t>Obras Ronda Interna</t>
  </si>
  <si>
    <t>DF, SyS y reurbanización junto nuevo hospital</t>
  </si>
  <si>
    <t>DF, SyS y urbanización ARU - ERRP -  Plaza Universidad</t>
  </si>
  <si>
    <t>Redacción proyectos urbanización casco urbano</t>
  </si>
  <si>
    <t>Redacción calle Valladolid y accesos complejo deportivo Juan Carlos Higuero (av. Luis Mateos)</t>
  </si>
  <si>
    <t>Estudio ambiental Ronda Interna</t>
  </si>
  <si>
    <t>Redacción parcial San Gregorio</t>
  </si>
  <si>
    <t>Redacción, DF, SyS y reurbanización ensanche aceras calle Padre Janariz (fase 1)</t>
  </si>
  <si>
    <t>DF, SyS y reurbanización plaza Príncipe de España Sinovas</t>
  </si>
  <si>
    <t>DF, SyS y reurbanización calle condestables de Castilla</t>
  </si>
  <si>
    <t>!!! Pluri??</t>
  </si>
  <si>
    <t>&lt;--- 30-70% 2026-2027</t>
  </si>
  <si>
    <t>Ampliación nave de brigadas en calle Toledo</t>
  </si>
  <si>
    <t>DF, SyS y urbanización ARU - Plaza Universidad</t>
  </si>
  <si>
    <t>ENAJENACIÓN PATRIMONIO PÚBLICO SUELO + ING CORR</t>
  </si>
  <si>
    <t>Campaña asfáltica</t>
  </si>
  <si>
    <t>Redacción, DF, SyS y reurbanización parcial San Gregorio</t>
  </si>
  <si>
    <t>Pintado de viales</t>
  </si>
  <si>
    <t>006/2023</t>
  </si>
  <si>
    <t>Reurbanización ARU - ERRP Santa Catalina</t>
  </si>
  <si>
    <t>&lt;-- 50-50 en 26-27</t>
  </si>
  <si>
    <t>Camiones, furgonetas y otros medios de transporte</t>
  </si>
  <si>
    <t>Mobiliario</t>
  </si>
  <si>
    <t>Reurbanización ARU Santa Catalina</t>
  </si>
  <si>
    <t>Señales</t>
  </si>
  <si>
    <t>Mobiliario urbano</t>
  </si>
  <si>
    <t>Inversión en elementos vegetales y de ornamentación</t>
  </si>
  <si>
    <t>Baldosas y rejillas</t>
  </si>
  <si>
    <t>1530</t>
  </si>
  <si>
    <t>ALCANTARILLADO</t>
  </si>
  <si>
    <t>Arreglo aliviadero del Bañuelos</t>
  </si>
  <si>
    <t>Arreglo aliviadero plaza de toros</t>
  </si>
  <si>
    <t>Saneamiento Costaján</t>
  </si>
  <si>
    <t>Otras inversiones nuevas asociadas al funcionamiento operativo de los servicios</t>
  </si>
  <si>
    <t>Plan de gestión de saneamiento</t>
  </si>
  <si>
    <t>1600</t>
  </si>
  <si>
    <t>ABASTECIMIENTO Y DISTRIBUCIÓN DE AGUA</t>
  </si>
  <si>
    <t>Maquinaria, instalaciones técnicas y utillaje</t>
  </si>
  <si>
    <t>Última fase tubería Tubilla</t>
  </si>
  <si>
    <t>Ruedas cámara de saneamiento</t>
  </si>
  <si>
    <t>Contadores</t>
  </si>
  <si>
    <t>Cerramientos Cerro de los Perros</t>
  </si>
  <si>
    <t>Alarma Cerro de los Perros</t>
  </si>
  <si>
    <t>Cloradores</t>
  </si>
  <si>
    <t>Sustitución de fuentes de agua</t>
  </si>
  <si>
    <t>Vallados de obra: new jerseys y PVC</t>
  </si>
  <si>
    <t>Carpa trabajos en exterior</t>
  </si>
  <si>
    <t>Excavadora y pickup</t>
  </si>
  <si>
    <t>Trípode descensor</t>
  </si>
  <si>
    <t>Remolque</t>
  </si>
  <si>
    <t>1610</t>
  </si>
  <si>
    <t>RECOGIDA DE RESIDUOS</t>
  </si>
  <si>
    <t>Inversiones varias</t>
  </si>
  <si>
    <t>1621</t>
  </si>
  <si>
    <t>TRATAMIENTO DE RESIDUOS</t>
  </si>
  <si>
    <t>Inversiones depuradora</t>
  </si>
  <si>
    <t>1623</t>
  </si>
  <si>
    <t>CEMENTERIO</t>
  </si>
  <si>
    <t>Vestuario y baño</t>
  </si>
  <si>
    <t>Construcción sepulturas y DF</t>
  </si>
  <si>
    <t>Columbarios</t>
  </si>
  <si>
    <t>Arreglo almacenes</t>
  </si>
  <si>
    <t>Inversiones varias servicio</t>
  </si>
  <si>
    <t>1640</t>
  </si>
  <si>
    <t>ALUMBRADO PÚBLICO</t>
  </si>
  <si>
    <t>Iluminación Calle Aguilera/Palillos - Colegio Simón de Colonia</t>
  </si>
  <si>
    <t>Puntos luz en plazas, para eventos</t>
  </si>
  <si>
    <t>LED vías públicas</t>
  </si>
  <si>
    <t>1650</t>
  </si>
  <si>
    <t>PARQUES Y JARDINES</t>
  </si>
  <si>
    <t>619</t>
  </si>
  <si>
    <t>Otras inversiones de reposición en infraestructuras y bienes destinados al uso general</t>
  </si>
  <si>
    <t>Mejoras de zonas verdes: General Gutiérrez y Huerta</t>
  </si>
  <si>
    <t>Reparación fuentes ornamentales</t>
  </si>
  <si>
    <t>Renovación y mejora de parques caninos</t>
  </si>
  <si>
    <t>Mantenimiento y adecuación del puente GR14 Barriles</t>
  </si>
  <si>
    <t>Rehabilitación y certificación parques infantiles</t>
  </si>
  <si>
    <t>Proyecto centro de protección animal</t>
  </si>
  <si>
    <t>Proyecto rehabilitación invernadero municipal</t>
  </si>
  <si>
    <t>Reforma embarcadero Barriles y zona cucañas</t>
  </si>
  <si>
    <t>Construcción de sepulturas</t>
  </si>
  <si>
    <t>Proyecto corredores ambientales / cruz verde</t>
  </si>
  <si>
    <t>Plan director del arbolado</t>
  </si>
  <si>
    <t>Gastos en inversiones gestionadas para otros entes públicos</t>
  </si>
  <si>
    <t>Columbario</t>
  </si>
  <si>
    <t>Material para EMS</t>
  </si>
  <si>
    <t>1710</t>
  </si>
  <si>
    <t>PROTECCIÓN CONTAMINAC. ACÚSTICA Y ATM.</t>
  </si>
  <si>
    <t>Instalación Fotovoltaica en edificios y alumbrado LED municipal</t>
  </si>
  <si>
    <t>ADMON. GRAL. ASISTENCIA SOCIAL PRIMARIA</t>
  </si>
  <si>
    <t>Redacción proyecto edificio asistencia social</t>
  </si>
  <si>
    <t>Inversiones varias en viviendas sociales</t>
  </si>
  <si>
    <t>Mobiliario, estores y otro material</t>
  </si>
  <si>
    <t>2310</t>
  </si>
  <si>
    <t>PROTECCIÓN SALUBRIDAD PÚBLICA</t>
  </si>
  <si>
    <t>Otras inversiones nuevas en infraestructuras y bienes destinados al uso general</t>
  </si>
  <si>
    <t>Redacción de proyecto de baños públicos</t>
  </si>
  <si>
    <t>Mejoras de zonas verdes y General Gutiérrez</t>
  </si>
  <si>
    <t>3110</t>
  </si>
  <si>
    <t>2026</t>
  </si>
  <si>
    <t>ADMON. GRAL. DE LA EDUCACIÓN</t>
  </si>
  <si>
    <t>Gastos en aplicaciones informáticas</t>
  </si>
  <si>
    <t>Software gestión de matrículas alumnos</t>
  </si>
  <si>
    <t>3200</t>
  </si>
  <si>
    <t>FUNCIONAMIENTO CENTROS DOCENTES</t>
  </si>
  <si>
    <t>3230</t>
  </si>
  <si>
    <t>3261</t>
  </si>
  <si>
    <t>ESCUELA DE MÚSICA Y DANZA</t>
  </si>
  <si>
    <t>Otras inv. nuevas asociadas al fcto. operativo de los servicios</t>
  </si>
  <si>
    <t>Estudio y redacción proyecto de rehabilitación auditorio las Francesas</t>
  </si>
  <si>
    <t>Adquisición instrumentos musicales, imagen y sonido</t>
  </si>
  <si>
    <t>3262</t>
  </si>
  <si>
    <t>ESCUELA DE FOLCLORE</t>
  </si>
  <si>
    <t>BIBLIOTECA</t>
  </si>
  <si>
    <t>Estudio y piloto digitalización archivo fotográfico municipal</t>
  </si>
  <si>
    <t>3321</t>
  </si>
  <si>
    <t>3330</t>
  </si>
  <si>
    <t>MUSEOS</t>
  </si>
  <si>
    <t>Arreglo cubierta "Museo del Tren" (estación Chelva)</t>
  </si>
  <si>
    <t>ESCUELA Y MUSEO DE CERÁMICA</t>
  </si>
  <si>
    <t>Valla exterior</t>
  </si>
  <si>
    <t>Molde elefanta</t>
  </si>
  <si>
    <t>PROMOCIÓN CULTURAL</t>
  </si>
  <si>
    <t>632</t>
  </si>
  <si>
    <t>Auditorio Casa de Cultura, 3ª fase de remodelación: adecuación suelo y rampas a la normativa, cambio y redistribución de butacas</t>
  </si>
  <si>
    <t>3340</t>
  </si>
  <si>
    <t>3341</t>
  </si>
  <si>
    <t>BANDA DE MÚSICA</t>
  </si>
  <si>
    <t>CENTROS CÍVICOS</t>
  </si>
  <si>
    <t>Estudio para el equipamiento y mobiliario del edificio Campus universitario</t>
  </si>
  <si>
    <t>Total</t>
  </si>
  <si>
    <t>026/2024</t>
  </si>
  <si>
    <t>Rehabilitación Centro Cívico Virgen de las Viñas (+ liquidación 10%)</t>
  </si>
  <si>
    <t>3370</t>
  </si>
  <si>
    <t>CASA DE LA JUVENTUD Y CENTRO ARTE JOVEN</t>
  </si>
  <si>
    <t>DF y SyS Centro de Arte Joven y otros informes</t>
  </si>
  <si>
    <t>Centro de Arte Joven</t>
  </si>
  <si>
    <t>Arreglo casa de las asociaciones</t>
  </si>
  <si>
    <t>3373</t>
  </si>
  <si>
    <t>3374</t>
  </si>
  <si>
    <t>ALBERGUE</t>
  </si>
  <si>
    <t>3375</t>
  </si>
  <si>
    <t>HUERTOS URBANOS</t>
  </si>
  <si>
    <t>FESTEJOS</t>
  </si>
  <si>
    <t>Adquisición WC químicos</t>
  </si>
  <si>
    <t>Adquisición carpa y lastres de sujección</t>
  </si>
  <si>
    <t>3380</t>
  </si>
  <si>
    <t>3410</t>
  </si>
  <si>
    <t>PROMOCIÓN DEPORTIVA</t>
  </si>
  <si>
    <r>
      <rPr>
        <rFont val="Calibri"/>
        <color theme="1"/>
        <sz val="11.0"/>
      </rPr>
      <t xml:space="preserve">Desarrollo actualización </t>
    </r>
    <r>
      <rPr>
        <rFont val="Calibri"/>
        <color rgb="FF1155CC"/>
        <sz val="11.0"/>
        <u/>
      </rPr>
      <t>arandactiva.com</t>
    </r>
  </si>
  <si>
    <t>3372</t>
  </si>
  <si>
    <t>3420</t>
  </si>
  <si>
    <t>INSTALACIONES DEPORTIVAS</t>
  </si>
  <si>
    <t>Remozado pistas deportivas en barrios</t>
  </si>
  <si>
    <t>Redacción complejo Virgen de las Viñas y redacción piscinas Calabaza</t>
  </si>
  <si>
    <t>Skatepark</t>
  </si>
  <si>
    <t>Rehabilitación frontón Sinovas</t>
  </si>
  <si>
    <t>Centro de Arte Joven, anualidad</t>
  </si>
  <si>
    <t>Inversiones campos Juan Carlos Higuero</t>
  </si>
  <si>
    <t>Arreglo tejado casa de la juventud</t>
  </si>
  <si>
    <t>Megafonía, pavimento y baños Santiago Manguán</t>
  </si>
  <si>
    <t>TURISMO</t>
  </si>
  <si>
    <t>Mejora iluminación recursos turísticos</t>
  </si>
  <si>
    <t>035/2024</t>
  </si>
  <si>
    <t>Construcción Centro de recepción de visitantes (sólo liquidación final 10%)</t>
  </si>
  <si>
    <t>Mobiliario urbano, adecentamiento y esculturas (señalización turística)</t>
  </si>
  <si>
    <t>Mejora en las bodegas municipales</t>
  </si>
  <si>
    <t>Redacción proyecto de rehabilitación Casa de las bolas (y anexo)</t>
  </si>
  <si>
    <t>Instalación de hidrolinera</t>
  </si>
  <si>
    <t>Adquisición contenedores basura</t>
  </si>
  <si>
    <t>Reconversión de CIAVIN en museo autónomo</t>
  </si>
  <si>
    <t>682</t>
  </si>
  <si>
    <t>Adquisición solar contiguo Casa de las Bolas</t>
  </si>
  <si>
    <t>4320</t>
  </si>
  <si>
    <t>DESARROLLO ECONÓMICO</t>
  </si>
  <si>
    <t>609</t>
  </si>
  <si>
    <r>
      <rPr>
        <rFont val="Calibri"/>
        <color theme="1"/>
        <sz val="11.0"/>
      </rPr>
      <t xml:space="preserve">Desarrollo actualización </t>
    </r>
    <r>
      <rPr>
        <rFont val="Calibri"/>
        <color rgb="FF1155CC"/>
        <sz val="11.0"/>
        <u/>
      </rPr>
      <t>arandactiva.com</t>
    </r>
  </si>
  <si>
    <t>Ampliación polígono Prado Marina</t>
  </si>
  <si>
    <t>Desarrollo puerto seco</t>
  </si>
  <si>
    <t>622</t>
  </si>
  <si>
    <t>Reforma accesos Recinto Ferial</t>
  </si>
  <si>
    <t>Material y mobiliario para eventos</t>
  </si>
  <si>
    <t>4330</t>
  </si>
  <si>
    <t>4411</t>
  </si>
  <si>
    <t>TRANSPORTE URBANO DE VIAJEROS</t>
  </si>
  <si>
    <t>639</t>
  </si>
  <si>
    <t>Inversiones funcionamiento</t>
  </si>
  <si>
    <t>Proyecto rehabilitación Polideportivo Chelva</t>
  </si>
  <si>
    <t>4540</t>
  </si>
  <si>
    <t>CAMINOS</t>
  </si>
  <si>
    <t>Megafonía y pavimento Santiago Manguán</t>
  </si>
  <si>
    <t>Arreglo de caminos</t>
  </si>
  <si>
    <t>4620</t>
  </si>
  <si>
    <t>INNOVACIÓN</t>
  </si>
  <si>
    <t>641</t>
  </si>
  <si>
    <t>Inversiones informáticas y pruebas piloto</t>
  </si>
  <si>
    <t>034/2024</t>
  </si>
  <si>
    <t>Recuperación de los ríos como corredores ambientales y turísticos</t>
  </si>
  <si>
    <t>Construcción Centro de recepción de visitantes (liquidación 10%)</t>
  </si>
  <si>
    <t>ADMINISTRACIÓN GENERAL</t>
  </si>
  <si>
    <t>Inversión instalaciones térmicas y de refrigeración</t>
  </si>
  <si>
    <t>Sillas y mesas para los servicios</t>
  </si>
  <si>
    <t>626</t>
  </si>
  <si>
    <t>Equipos procesos información</t>
  </si>
  <si>
    <t>Material informático</t>
  </si>
  <si>
    <t>629</t>
  </si>
  <si>
    <t>Otras inversiones nuevas asociadas al funcionamiento operativo de los servicios.</t>
  </si>
  <si>
    <t>Redacción de proyectos municipales estratégicos y europeos</t>
  </si>
  <si>
    <t>Fuentes de agua fría/caliente servicios</t>
  </si>
  <si>
    <t>Mejoras para accesibilidad TMA/851/2021</t>
  </si>
  <si>
    <t>Módulos pendientes y formación MyTAO</t>
  </si>
  <si>
    <t>Implantación nuevo sistema de gestión de personal</t>
  </si>
  <si>
    <t>SmartCity y GIS</t>
  </si>
  <si>
    <t>9200</t>
  </si>
  <si>
    <t>9240</t>
  </si>
  <si>
    <t>PARTICIPACIÓN CIUDADANA</t>
  </si>
  <si>
    <t>Proyectos participación ciudadana</t>
  </si>
  <si>
    <t>Ventanales biblioteca Sinovas</t>
  </si>
  <si>
    <t>Acondicionamiento local Santa Catalina</t>
  </si>
  <si>
    <t>9300</t>
  </si>
  <si>
    <t>ADMINISTRACIÓN GENERAL DE ECONOMÍA Y HACIENDA</t>
  </si>
  <si>
    <t>Sustitución termostatos Banca Pecho</t>
  </si>
  <si>
    <t>DIFF!!!</t>
  </si>
  <si>
    <t xml:space="preserve">TOTAL CAPÍTULO VI </t>
  </si>
  <si>
    <t>Gastos en aplicacione sinformáticas</t>
  </si>
  <si>
    <t>Edificio CineClub</t>
  </si>
  <si>
    <t>PROYECTOS CON FONDOS NextGenerationEU</t>
  </si>
  <si>
    <t>SmartCity y GIS, sensorización</t>
  </si>
  <si>
    <t>IMPORTE</t>
  </si>
  <si>
    <t>RESUMEN INGRESOS CORRIENTES</t>
  </si>
  <si>
    <t>CUENTA REMUNERADA ERRP</t>
  </si>
  <si>
    <t>ENAJENACIÓN PATRIMONIO PÚBLICO DEL SUELO</t>
  </si>
  <si>
    <t>INGRESOS PATRIMONIALES - USO DEL SUELO - PUERTO SECO</t>
  </si>
  <si>
    <t>PROYECTOS PLURIANUALES</t>
  </si>
  <si>
    <t>REAJUSTE ANUALIDADES</t>
  </si>
  <si>
    <t>2023</t>
  </si>
  <si>
    <t>2024</t>
  </si>
  <si>
    <t>2025</t>
  </si>
  <si>
    <t>2027</t>
  </si>
  <si>
    <t>2028</t>
  </si>
  <si>
    <t>2029</t>
  </si>
  <si>
    <t>003-2/2022</t>
  </si>
  <si>
    <t>Dirección de obra Jardines de Don Diego</t>
  </si>
  <si>
    <t>Reurbanización ARU-ERRP Santa Catalina</t>
  </si>
  <si>
    <t>026/2024 *</t>
  </si>
  <si>
    <t>Rehabilitación Centro Cívico Virgen de las Viñas (+10% liquidación)</t>
  </si>
  <si>
    <t>DF y SyS Centro Cívico Virgen de las Viñas</t>
  </si>
  <si>
    <t>ARU - ERRP - Plaza de la Universidad</t>
  </si>
  <si>
    <t>033/2024</t>
  </si>
  <si>
    <t>Diseño y adecuación de senderos locales "Ribera, monte y viñedo"</t>
  </si>
  <si>
    <t>Construcción Centro de recepción de visitantes (+10% liquidación)</t>
  </si>
  <si>
    <t>DF y SyS Centro de recepción de visitantes</t>
  </si>
  <si>
    <t>037/2024</t>
  </si>
  <si>
    <t>Proyecto "Aranda Patrimonio Digital"</t>
  </si>
  <si>
    <t>040/2023</t>
  </si>
  <si>
    <t>Oficina gestión ARU-ERRP Santa Catalina</t>
  </si>
  <si>
    <t>MÍNIMO 1.5M ENAJ</t>
  </si>
  <si>
    <t>Contadores de Agua</t>
  </si>
  <si>
    <t>INCORPORACIÓN</t>
  </si>
  <si>
    <t>PRESUPUESTO</t>
  </si>
  <si>
    <t>035/2024 *</t>
  </si>
  <si>
    <t>Oficina gestión ARU Santa Catalina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</si>
</sst>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u/>
      <sz val="11.0"/>
      <color rgb="FF000000"/>
      <name val="Calibri"/>
    </font>
    <font>
      <b/>
      <sz val="8.0"/>
      <color theme="1"/>
      <name val="Calibri"/>
    </font>
    <font>
      <sz val="8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8.0"/>
      <color rgb="FF000000"/>
      <name val="Calibri"/>
    </font>
    <font>
      <b/>
      <sz val="6.0"/>
      <color theme="1"/>
      <name val="Calibri"/>
    </font>
    <font>
      <color theme="1"/>
      <name val="Calibri"/>
    </font>
    <font>
      <b/>
      <color theme="1"/>
      <name val="Calibri"/>
    </font>
    <font>
      <u/>
      <sz val="11.0"/>
      <color theme="1"/>
      <name val="Calibri"/>
    </font>
    <font>
      <sz val="6.0"/>
      <color theme="1"/>
      <name val="Calibri"/>
    </font>
    <font>
      <b/>
      <sz val="11.0"/>
      <color theme="1"/>
      <name val="Arial"/>
    </font>
    <font>
      <b/>
      <color theme="1"/>
      <name val="Calibri"/>
      <scheme val="minor"/>
    </font>
    <font>
      <b/>
      <sz val="7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164" xfId="0" applyAlignment="1" applyBorder="1" applyFill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4" fillId="3" fontId="5" numFmtId="164" xfId="0" applyAlignment="1" applyBorder="1" applyFill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7" numFmtId="164" xfId="0" applyFont="1" applyNumberFormat="1"/>
    <xf borderId="0" fillId="0" fontId="6" numFmtId="164" xfId="0" applyAlignment="1" applyFont="1" applyNumberFormat="1">
      <alignment vertical="center"/>
    </xf>
    <xf borderId="5" fillId="4" fontId="1" numFmtId="164" xfId="0" applyAlignment="1" applyBorder="1" applyFill="1" applyFont="1" applyNumberFormat="1">
      <alignment horizontal="right" shrinkToFit="0" vertical="center" wrapText="1"/>
    </xf>
    <xf borderId="5" fillId="4" fontId="1" numFmtId="164" xfId="0" applyAlignment="1" applyBorder="1" applyFill="1" applyFont="1" applyNumberFormat="1">
      <alignment horizontal="right" shrinkToFit="0" vertical="center" wrapText="1"/>
    </xf>
    <xf borderId="0" fillId="0" fontId="1" numFmtId="49" xfId="0" applyAlignment="1" applyFont="1" applyNumberFormat="1">
      <alignment horizontal="right" shrinkToFit="0" vertical="center" wrapText="1"/>
    </xf>
    <xf borderId="4" fillId="3" fontId="1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5" fontId="8" numFmtId="164" xfId="0" applyAlignment="1" applyFill="1" applyFont="1" applyNumberFormat="1">
      <alignment horizontal="right" vertical="center"/>
    </xf>
    <xf borderId="0" fillId="5" fontId="8" numFmtId="164" xfId="0" applyAlignment="1" applyFill="1" applyFont="1" applyNumberFormat="1">
      <alignment horizontal="right" vertical="center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vertical="center"/>
    </xf>
    <xf borderId="0" fillId="5" fontId="9" numFmtId="164" xfId="0" applyAlignment="1" applyFill="1" applyFont="1" applyNumberFormat="1">
      <alignment horizontal="right" vertical="center"/>
    </xf>
    <xf borderId="0" fillId="0" fontId="2" numFmtId="0" xfId="0" applyAlignment="1" applyFont="1">
      <alignment readingOrder="0" shrinkToFit="0" vertical="center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0" fillId="6" fontId="2" numFmtId="49" xfId="0" applyAlignment="1" applyFill="1" applyFont="1" applyNumberFormat="1">
      <alignment horizontal="right" shrinkToFit="0" vertical="center" wrapText="1"/>
    </xf>
    <xf borderId="4" fillId="3" fontId="5" numFmtId="164" xfId="0" applyAlignment="1" applyBorder="1" applyFill="1" applyFont="1" applyNumberFormat="1">
      <alignment horizontal="center" shrinkToFit="0" vertical="center" wrapText="1"/>
    </xf>
    <xf borderId="0" fillId="6" fontId="2" numFmtId="0" xfId="0" applyAlignment="1" applyFill="1" applyFont="1">
      <alignment shrinkToFit="0" vertical="center" wrapText="1"/>
    </xf>
    <xf borderId="0" fillId="0" fontId="7" numFmtId="0" xfId="0" applyAlignment="1" applyFont="1">
      <alignment vertical="center"/>
    </xf>
    <xf borderId="0" fillId="6" fontId="2" numFmtId="164" xfId="0" applyAlignment="1" applyFill="1" applyFont="1" applyNumberFormat="1">
      <alignment horizontal="right" readingOrder="0" shrinkToFit="0" vertical="center" wrapText="1"/>
    </xf>
    <xf borderId="0" fillId="6" fontId="2" numFmtId="164" xfId="0" applyAlignment="1" applyFill="1" applyFont="1" applyNumberFormat="1">
      <alignment horizontal="right" shrinkToFit="0" vertical="center" wrapText="1"/>
    </xf>
    <xf borderId="0" fillId="5" fontId="6" numFmtId="164" xfId="0" applyAlignment="1" applyFill="1" applyFont="1" applyNumberFormat="1">
      <alignment horizontal="right" shrinkToFit="0" vertical="center" wrapText="1"/>
    </xf>
    <xf borderId="0" fillId="6" fontId="2" numFmtId="164" xfId="0" applyAlignment="1" applyFill="1" applyFont="1" applyNumberFormat="1">
      <alignment horizontal="right" readingOrder="0" shrinkToFit="0" vertical="center" wrapText="1"/>
    </xf>
    <xf borderId="0" fillId="5" fontId="2" numFmtId="165" xfId="0" applyAlignment="1" applyFill="1" applyFont="1" applyNumberFormat="1">
      <alignment shrinkToFit="0" vertical="center" wrapText="1"/>
    </xf>
    <xf borderId="0" fillId="6" fontId="2" numFmtId="0" xfId="0" applyAlignment="1" applyFill="1" applyFont="1">
      <alignment horizontal="right" shrinkToFit="0" vertical="center" wrapText="1"/>
    </xf>
    <xf borderId="0" fillId="0" fontId="2" numFmtId="49" xfId="0" applyAlignment="1" applyFont="1" applyNumberFormat="1">
      <alignment horizontal="right" shrinkToFit="0" vertical="center" wrapText="1"/>
    </xf>
    <xf borderId="0" fillId="6" fontId="2" numFmtId="164" xfId="0" applyAlignment="1" applyFill="1" applyFont="1" applyNumberFormat="1">
      <alignment horizontal="right" shrinkToFit="0" vertical="center" wrapText="1"/>
    </xf>
    <xf borderId="6" fillId="0" fontId="1" numFmtId="0" xfId="0" applyAlignment="1" applyBorder="1" applyFont="1">
      <alignment horizontal="right" shrinkToFit="0" vertical="center" wrapText="1"/>
    </xf>
    <xf borderId="0" fillId="6" fontId="2" numFmtId="165" xfId="0" applyAlignment="1" applyFill="1" applyFont="1" applyNumberFormat="1">
      <alignment horizontal="right" shrinkToFit="0" vertical="center" wrapText="1"/>
    </xf>
    <xf borderId="0" fillId="5" fontId="2" numFmtId="164" xfId="0" applyAlignment="1" applyFill="1" applyFont="1" applyNumberFormat="1">
      <alignment horizontal="right" shrinkToFit="0" vertical="center" wrapText="1"/>
    </xf>
    <xf borderId="0" fillId="0" fontId="7" numFmtId="164" xfId="0" applyAlignment="1" applyFont="1" applyNumberFormat="1">
      <alignment readingOrder="0"/>
    </xf>
    <xf borderId="0" fillId="7" fontId="2" numFmtId="0" xfId="0" applyAlignment="1" applyFill="1" applyFont="1">
      <alignment readingOrder="0" shrinkToFit="0" vertical="center" wrapText="1"/>
    </xf>
    <xf borderId="0" fillId="7" fontId="2" numFmtId="164" xfId="0" applyAlignment="1" applyFill="1" applyFont="1" applyNumberFormat="1">
      <alignment horizontal="right" readingOrder="0" shrinkToFit="0" vertical="center" wrapText="1"/>
    </xf>
    <xf borderId="0" fillId="5" fontId="8" numFmtId="164" xfId="0" applyAlignment="1" applyFill="1" applyFont="1" applyNumberFormat="1">
      <alignment horizontal="right" readingOrder="0" vertical="center"/>
    </xf>
    <xf borderId="4" fillId="3" fontId="10" numFmtId="164" xfId="0" applyAlignment="1" applyBorder="1" applyFill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5" fontId="8" numFmtId="164" xfId="0" applyAlignment="1" applyFill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vertical="center"/>
    </xf>
    <xf borderId="0" fillId="0" fontId="1" numFmtId="49" xfId="0" applyAlignment="1" applyFont="1" applyNumberFormat="1">
      <alignment horizontal="righ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11" numFmtId="164" xfId="0" applyAlignment="1" applyFont="1" applyNumberFormat="1">
      <alignment horizontal="right" readingOrder="0" shrinkToFit="0" vertical="center" wrapText="1"/>
    </xf>
    <xf borderId="0" fillId="0" fontId="6" numFmtId="0" xfId="0" applyAlignment="1" applyFont="1">
      <alignment horizontal="right" shrinkToFit="0" vertical="center" wrapText="1"/>
    </xf>
    <xf borderId="0" fillId="0" fontId="11" numFmtId="164" xfId="0" applyAlignment="1" applyFont="1" applyNumberFormat="1">
      <alignment horizontal="right" readingOrder="0" shrinkToFit="0" vertical="center" wrapText="1"/>
    </xf>
    <xf borderId="0" fillId="5" fontId="2" numFmtId="164" xfId="0" applyAlignment="1" applyFill="1" applyFont="1" applyNumberFormat="1">
      <alignment vertical="center"/>
    </xf>
    <xf borderId="0" fillId="0" fontId="12" numFmtId="49" xfId="0" applyAlignment="1" applyFont="1" applyNumberFormat="1">
      <alignment horizontal="left" shrinkToFit="0" vertical="center" wrapText="1"/>
    </xf>
    <xf borderId="0" fillId="0" fontId="12" numFmtId="49" xfId="0" applyAlignment="1" applyFont="1" applyNumberFormat="1">
      <alignment horizontal="right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right" shrinkToFit="0" vertical="center" wrapText="1"/>
    </xf>
    <xf borderId="0" fillId="0" fontId="11" numFmtId="1" xfId="0" applyAlignment="1" applyFont="1" applyNumberFormat="1">
      <alignment readingOrder="0" shrinkToFit="0" vertical="center" wrapText="1"/>
    </xf>
    <xf borderId="0" fillId="5" fontId="11" numFmtId="164" xfId="0" applyAlignment="1" applyFill="1" applyFont="1" applyNumberFormat="1">
      <alignment horizontal="right" shrinkToFit="0" vertical="center" wrapText="1"/>
    </xf>
    <xf borderId="0" fillId="0" fontId="11" numFmtId="1" xfId="0" applyAlignment="1" applyFont="1" applyNumberFormat="1">
      <alignment shrinkToFit="0" vertical="center" wrapText="1"/>
    </xf>
    <xf borderId="5" fillId="4" fontId="12" numFmtId="164" xfId="0" applyAlignment="1" applyBorder="1" applyFill="1" applyFont="1" applyNumberFormat="1">
      <alignment horizontal="right" shrinkToFit="0" vertical="center" wrapText="1"/>
    </xf>
    <xf borderId="0" fillId="0" fontId="2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164" xfId="0" applyAlignment="1" applyFont="1" applyNumberFormat="1">
      <alignment horizontal="right" shrinkToFit="0" vertical="center" wrapText="1"/>
    </xf>
    <xf borderId="0" fillId="5" fontId="2" numFmtId="164" xfId="0" applyAlignment="1" applyFill="1" applyFont="1" applyNumberFormat="1">
      <alignment vertical="center"/>
    </xf>
    <xf borderId="0" fillId="5" fontId="11" numFmtId="164" xfId="0" applyAlignment="1" applyFill="1" applyFont="1" applyNumberFormat="1">
      <alignment horizontal="right" shrinkToFit="0" vertical="center" wrapText="1"/>
    </xf>
    <xf borderId="5" fillId="4" fontId="12" numFmtId="164" xfId="0" applyAlignment="1" applyBorder="1" applyFill="1" applyFont="1" applyNumberFormat="1">
      <alignment horizontal="right" shrinkToFit="0" vertical="center" wrapText="1"/>
    </xf>
    <xf borderId="0" fillId="0" fontId="12" numFmtId="49" xfId="0" applyAlignment="1" applyFont="1" applyNumberFormat="1">
      <alignment horizontal="righ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right" readingOrder="0" shrinkToFit="0" vertical="center" wrapText="1"/>
    </xf>
    <xf borderId="0" fillId="0" fontId="7" numFmtId="4" xfId="0" applyAlignment="1" applyFont="1" applyNumberFormat="1">
      <alignment readingOrder="0"/>
    </xf>
    <xf borderId="0" fillId="6" fontId="2" numFmtId="164" xfId="0" applyAlignment="1" applyFill="1" applyFont="1" applyNumberFormat="1">
      <alignment horizontal="right" readingOrder="0" vertical="center"/>
    </xf>
    <xf borderId="0" fillId="6" fontId="2" numFmtId="164" xfId="0" applyAlignment="1" applyFill="1" applyFont="1" applyNumberFormat="1">
      <alignment horizontal="right" vertical="center"/>
    </xf>
    <xf borderId="0" fillId="0" fontId="2" numFmtId="165" xfId="0" applyAlignment="1" applyFont="1" applyNumberFormat="1">
      <alignment readingOrder="0" shrinkToFit="0" vertical="center" wrapText="1"/>
    </xf>
    <xf borderId="0" fillId="0" fontId="11" numFmtId="164" xfId="0" applyAlignment="1" applyFont="1" applyNumberFormat="1">
      <alignment horizontal="right" shrinkToFit="0" vertical="center" wrapText="1"/>
    </xf>
    <xf borderId="0" fillId="0" fontId="2" numFmtId="0" xfId="0" applyAlignment="1" applyFont="1">
      <alignment readingOrder="0" vertical="center"/>
    </xf>
    <xf borderId="0" fillId="0" fontId="2" numFmtId="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5" fontId="1" numFmtId="49" xfId="0" applyAlignment="1" applyFill="1" applyFont="1" applyNumberFormat="1">
      <alignment horizontal="right" readingOrder="0" shrinkToFit="0" vertical="center" wrapText="1"/>
    </xf>
    <xf borderId="0" fillId="6" fontId="2" numFmtId="164" xfId="0" applyAlignment="1" applyFill="1" applyFont="1" applyNumberFormat="1">
      <alignment horizontal="right" readingOrder="0" vertical="center"/>
    </xf>
    <xf borderId="0" fillId="5" fontId="1" numFmtId="0" xfId="0" applyAlignment="1" applyFill="1" applyFont="1">
      <alignment readingOrder="0" shrinkToFit="0" vertical="center" wrapText="1"/>
    </xf>
    <xf borderId="0" fillId="5" fontId="2" numFmtId="164" xfId="0" applyAlignment="1" applyFill="1" applyFont="1" applyNumberFormat="1">
      <alignment shrinkToFit="0" vertical="center" wrapText="1"/>
    </xf>
    <xf borderId="0" fillId="5" fontId="1" numFmtId="0" xfId="0" applyAlignment="1" applyFill="1" applyFont="1">
      <alignment horizontal="right" shrinkToFit="0" vertical="center" wrapText="1"/>
    </xf>
    <xf borderId="0" fillId="5" fontId="1" numFmtId="0" xfId="0" applyAlignment="1" applyFill="1" applyFont="1">
      <alignment shrinkToFit="0" vertical="center" wrapText="1"/>
    </xf>
    <xf borderId="0" fillId="0" fontId="6" numFmtId="164" xfId="0" applyAlignment="1" applyFont="1" applyNumberFormat="1">
      <alignment horizontal="right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49" xfId="0" applyAlignment="1" applyFont="1" applyNumberFormat="1">
      <alignment horizontal="right" vertical="center"/>
    </xf>
    <xf borderId="0" fillId="0" fontId="13" numFmtId="0" xfId="0" applyAlignment="1" applyFont="1">
      <alignment readingOrder="0" shrinkToFit="0" vertical="center" wrapText="1"/>
    </xf>
    <xf borderId="7" fillId="5" fontId="2" numFmtId="164" xfId="0" applyAlignment="1" applyBorder="1" applyFill="1" applyFont="1" applyNumberFormat="1">
      <alignment horizontal="right" readingOrder="0" shrinkToFit="0" vertical="center" wrapText="1"/>
    </xf>
    <xf borderId="0" fillId="5" fontId="2" numFmtId="49" xfId="0" applyAlignment="1" applyFill="1" applyFont="1" applyNumberFormat="1">
      <alignment horizontal="right" shrinkToFit="0" vertical="center" wrapText="1"/>
    </xf>
    <xf borderId="6" fillId="5" fontId="1" numFmtId="49" xfId="0" applyAlignment="1" applyBorder="1" applyFill="1" applyFont="1" applyNumberFormat="1">
      <alignment horizontal="right" readingOrder="0" shrinkToFit="0" vertical="center" wrapText="1"/>
    </xf>
    <xf borderId="0" fillId="0" fontId="2" numFmtId="1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5" fontId="2" numFmtId="164" xfId="0" applyAlignment="1" applyFill="1" applyFont="1" applyNumberFormat="1">
      <alignment horizontal="right" shrinkToFit="0" vertical="center" wrapText="1"/>
    </xf>
    <xf borderId="0" fillId="0" fontId="2" numFmtId="1" xfId="0" applyAlignment="1" applyFont="1" applyNumberFormat="1">
      <alignment readingOrder="0" shrinkToFit="0" vertical="center" wrapText="1"/>
    </xf>
    <xf borderId="0" fillId="6" fontId="2" numFmtId="49" xfId="0" applyAlignment="1" applyFill="1" applyFont="1" applyNumberFormat="1">
      <alignment horizontal="right" vertical="center"/>
    </xf>
    <xf borderId="0" fillId="6" fontId="2" numFmtId="1" xfId="0" applyAlignment="1" applyFill="1" applyFont="1" applyNumberFormat="1">
      <alignment readingOrder="0" shrinkToFit="0" vertical="center" wrapText="1"/>
    </xf>
    <xf borderId="0" fillId="6" fontId="2" numFmtId="164" xfId="0" applyAlignment="1" applyFill="1" applyFont="1" applyNumberFormat="1">
      <alignment vertical="center"/>
    </xf>
    <xf borderId="0" fillId="0" fontId="11" numFmtId="49" xfId="0" applyAlignment="1" applyFont="1" applyNumberFormat="1">
      <alignment horizontal="lef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6" fillId="0" fontId="1" numFmtId="49" xfId="0" applyAlignment="1" applyBorder="1" applyFont="1" applyNumberFormat="1">
      <alignment horizontal="right" shrinkToFit="0" vertical="center" wrapText="1"/>
    </xf>
    <xf borderId="0" fillId="5" fontId="2" numFmtId="164" xfId="0" applyAlignment="1" applyFill="1" applyFont="1" applyNumberFormat="1">
      <alignment shrinkToFit="0" vertical="center" wrapText="1"/>
    </xf>
    <xf borderId="8" fillId="4" fontId="1" numFmtId="164" xfId="0" applyAlignment="1" applyBorder="1" applyFill="1" applyFont="1" applyNumberFormat="1">
      <alignment horizontal="right" shrinkToFit="0" vertical="center" wrapText="1"/>
    </xf>
    <xf borderId="0" fillId="5" fontId="1" numFmtId="49" xfId="0" applyAlignment="1" applyFill="1" applyFont="1" applyNumberFormat="1">
      <alignment horizontal="right" shrinkToFit="0" vertical="center" wrapText="1"/>
    </xf>
    <xf borderId="0" fillId="5" fontId="2" numFmtId="0" xfId="0" applyAlignment="1" applyFill="1" applyFont="1">
      <alignment shrinkToFit="0" vertical="center" wrapText="1"/>
    </xf>
    <xf borderId="7" fillId="5" fontId="2" numFmtId="164" xfId="0" applyAlignment="1" applyBorder="1" applyFill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8" fontId="2" numFmtId="49" xfId="0" applyAlignment="1" applyFill="1" applyFont="1" applyNumberFormat="1">
      <alignment horizontal="left" readingOrder="0" shrinkToFit="0" vertical="center" wrapText="1"/>
    </xf>
    <xf borderId="6" fillId="5" fontId="1" numFmtId="49" xfId="0" applyAlignment="1" applyBorder="1" applyFill="1" applyFont="1" applyNumberFormat="1">
      <alignment horizontal="right" shrinkToFit="0" vertical="center" wrapText="1"/>
    </xf>
    <xf borderId="0" fillId="8" fontId="2" numFmtId="49" xfId="0" applyAlignment="1" applyFill="1" applyFont="1" applyNumberFormat="1">
      <alignment horizontal="right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8" fontId="2" numFmtId="164" xfId="0" applyAlignment="1" applyFill="1" applyFont="1" applyNumberFormat="1">
      <alignment horizontal="right" shrinkToFit="0" vertical="center" wrapText="1"/>
    </xf>
    <xf borderId="0" fillId="8" fontId="2" numFmtId="164" xfId="0" applyAlignment="1" applyFill="1" applyFont="1" applyNumberFormat="1">
      <alignment shrinkToFit="0" vertical="center" wrapText="1"/>
    </xf>
    <xf borderId="0" fillId="8" fontId="2" numFmtId="0" xfId="0" applyAlignment="1" applyFill="1" applyFont="1">
      <alignment shrinkToFit="0" vertical="center" wrapText="1"/>
    </xf>
    <xf borderId="7" fillId="5" fontId="2" numFmtId="164" xfId="0" applyAlignment="1" applyBorder="1" applyFill="1" applyFont="1" applyNumberFormat="1">
      <alignment horizontal="right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0" fillId="6" fontId="2" numFmtId="1" xfId="0" applyAlignment="1" applyFill="1" applyFont="1" applyNumberFormat="1">
      <alignment shrinkToFit="0" vertical="center" wrapText="1"/>
    </xf>
    <xf borderId="0" fillId="6" fontId="2" numFmtId="164" xfId="0" applyAlignment="1" applyFill="1" applyFont="1" applyNumberFormat="1">
      <alignment vertical="center"/>
    </xf>
    <xf borderId="0" fillId="0" fontId="2" numFmtId="164" xfId="0" applyAlignment="1" applyFont="1" applyNumberFormat="1">
      <alignment readingOrder="0" vertical="center"/>
    </xf>
    <xf borderId="0" fillId="0" fontId="6" numFmtId="164" xfId="0" applyAlignment="1" applyFont="1" applyNumberFormat="1">
      <alignment shrinkToFit="0" vertical="center" wrapText="1"/>
    </xf>
    <xf borderId="8" fillId="4" fontId="1" numFmtId="164" xfId="0" applyAlignment="1" applyBorder="1" applyFill="1" applyFont="1" applyNumberFormat="1">
      <alignment horizontal="right" shrinkToFit="0" vertical="center" wrapText="1"/>
    </xf>
    <xf borderId="6" fillId="0" fontId="12" numFmtId="0" xfId="0" applyAlignment="1" applyBorder="1" applyFont="1">
      <alignment horizontal="right" shrinkToFit="0" vertical="center" wrapText="1"/>
    </xf>
    <xf borderId="0" fillId="0" fontId="14" numFmtId="164" xfId="0" applyAlignment="1" applyFont="1" applyNumberFormat="1">
      <alignment horizontal="right" shrinkToFit="0" vertical="center" wrapText="1"/>
    </xf>
    <xf borderId="6" fillId="0" fontId="12" numFmtId="0" xfId="0" applyAlignment="1" applyBorder="1" applyFont="1">
      <alignment horizontal="right" readingOrder="0" shrinkToFit="0" vertical="center" wrapText="1"/>
    </xf>
    <xf borderId="0" fillId="0" fontId="14" numFmtId="164" xfId="0" applyAlignment="1" applyFont="1" applyNumberFormat="1">
      <alignment vertical="center"/>
    </xf>
    <xf borderId="7" fillId="5" fontId="2" numFmtId="164" xfId="0" applyAlignment="1" applyBorder="1" applyFill="1" applyFont="1" applyNumberFormat="1">
      <alignment horizontal="right" shrinkToFit="0" vertical="center" wrapText="1"/>
    </xf>
    <xf borderId="4" fillId="3" fontId="15" numFmtId="0" xfId="0" applyAlignment="1" applyBorder="1" applyFill="1" applyFont="1">
      <alignment horizontal="right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4" fillId="3" fontId="15" numFmtId="164" xfId="0" applyAlignment="1" applyBorder="1" applyFill="1" applyFont="1" applyNumberFormat="1">
      <alignment horizontal="right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4" fillId="6" fontId="1" numFmtId="164" xfId="0" applyAlignment="1" applyBorder="1" applyFill="1" applyFont="1" applyNumberFormat="1">
      <alignment horizontal="center" shrinkToFit="0" vertical="center" wrapText="1"/>
    </xf>
    <xf borderId="4" fillId="6" fontId="15" numFmtId="164" xfId="0" applyAlignment="1" applyBorder="1" applyFill="1" applyFont="1" applyNumberFormat="1">
      <alignment horizontal="right" shrinkToFit="0" vertical="center" wrapText="1"/>
    </xf>
    <xf borderId="0" fillId="9" fontId="16" numFmtId="0" xfId="0" applyAlignment="1" applyFill="1" applyFont="1">
      <alignment readingOrder="0" shrinkToFit="0" textRotation="45" vertical="center" wrapText="1"/>
    </xf>
    <xf borderId="9" fillId="9" fontId="17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5" fillId="9" fontId="1" numFmtId="164" xfId="0" applyAlignment="1" applyBorder="1" applyFill="1" applyFont="1" applyNumberFormat="1">
      <alignment horizontal="center" readingOrder="0" shrinkToFit="0" vertical="center" wrapText="1"/>
    </xf>
    <xf borderId="9" fillId="9" fontId="17" numFmtId="164" xfId="0" applyAlignment="1" applyBorder="1" applyFill="1" applyFont="1" applyNumberFormat="1">
      <alignment horizontal="center" readingOrder="0" shrinkToFit="0" vertical="center" wrapText="1"/>
    </xf>
    <xf borderId="9" fillId="9" fontId="1" numFmtId="164" xfId="0" applyAlignment="1" applyBorder="1" applyFill="1" applyFont="1" applyNumberForma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3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0" fillId="0" fontId="2" numFmtId="164" xfId="0" applyAlignment="1" applyBorder="1" applyFont="1" applyNumberFormat="1">
      <alignment vertical="center"/>
    </xf>
    <xf borderId="4" fillId="3" fontId="1" numFmtId="49" xfId="0" applyAlignment="1" applyBorder="1" applyFill="1" applyFont="1" applyNumberFormat="1">
      <alignment horizontal="center" vertical="center"/>
    </xf>
    <xf borderId="1" fillId="3" fontId="1" numFmtId="49" xfId="0" applyAlignment="1" applyBorder="1" applyFill="1" applyFont="1" applyNumberFormat="1">
      <alignment horizontal="center" vertical="center"/>
    </xf>
    <xf borderId="4" fillId="10" fontId="1" numFmtId="49" xfId="0" applyAlignment="1" applyBorder="1" applyFill="1" applyFont="1" applyNumberFormat="1">
      <alignment horizontal="center" vertical="center"/>
    </xf>
    <xf borderId="4" fillId="3" fontId="1" numFmtId="49" xfId="0" applyAlignment="1" applyBorder="1" applyFill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shrinkToFit="0" vertical="center" wrapText="1"/>
    </xf>
    <xf borderId="0" fillId="0" fontId="11" numFmtId="164" xfId="0" applyAlignment="1" applyFont="1" applyNumberFormat="1">
      <alignment vertical="center"/>
    </xf>
    <xf borderId="0" fillId="10" fontId="2" numFmtId="164" xfId="0" applyAlignment="1" applyFill="1" applyFont="1" applyNumberFormat="1">
      <alignment horizontal="right" shrinkToFit="0" vertical="center" wrapText="1"/>
    </xf>
    <xf borderId="0" fillId="10" fontId="2" numFmtId="164" xfId="0" applyAlignment="1" applyFill="1" applyFont="1" applyNumberFormat="1">
      <alignment horizontal="right" readingOrder="0" shrinkToFit="0" vertical="center" wrapText="1"/>
    </xf>
    <xf borderId="0" fillId="0" fontId="7" numFmtId="164" xfId="0" applyAlignment="1" applyFont="1" applyNumberFormat="1">
      <alignment readingOrder="0" vertical="center"/>
    </xf>
    <xf borderId="0" fillId="0" fontId="2" numFmtId="49" xfId="0" applyAlignment="1" applyFont="1" applyNumberFormat="1">
      <alignment horizontal="center" vertical="center"/>
    </xf>
    <xf borderId="4" fillId="3" fontId="15" numFmtId="164" xfId="0" applyAlignment="1" applyBorder="1" applyFill="1" applyFont="1" applyNumberFormat="1">
      <alignment horizontal="right" shrinkToFit="0" vertical="center" wrapText="1"/>
    </xf>
    <xf borderId="0" fillId="10" fontId="2" numFmtId="164" xfId="0" applyAlignment="1" applyFill="1" applyFont="1" applyNumberFormat="1">
      <alignment vertical="center"/>
    </xf>
    <xf borderId="0" fillId="0" fontId="2" numFmtId="1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horizontal="center" readingOrder="0" vertical="center"/>
    </xf>
    <xf borderId="0" fillId="10" fontId="11" numFmtId="164" xfId="0" applyAlignment="1" applyFill="1" applyFont="1" applyNumberFormat="1">
      <alignment vertical="center"/>
    </xf>
    <xf borderId="0" fillId="0" fontId="11" numFmtId="164" xfId="0" applyAlignment="1" applyFont="1" applyNumberFormat="1">
      <alignment readingOrder="0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readingOrder="0" vertical="center"/>
    </xf>
    <xf borderId="0" fillId="10" fontId="7" numFmtId="164" xfId="0" applyAlignment="1" applyFill="1" applyFont="1" applyNumberFormat="1">
      <alignment readingOrder="0" vertical="center"/>
    </xf>
    <xf borderId="11" fillId="0" fontId="2" numFmtId="164" xfId="0" applyAlignment="1" applyBorder="1" applyFont="1" applyNumberFormat="1">
      <alignment vertical="center"/>
    </xf>
    <xf borderId="12" fillId="8" fontId="1" numFmtId="164" xfId="0" applyAlignment="1" applyBorder="1" applyFill="1" applyFont="1" applyNumberFormat="1">
      <alignment horizontal="center" vertical="center"/>
    </xf>
    <xf borderId="0" fillId="0" fontId="11" numFmtId="164" xfId="0" applyAlignment="1" applyFont="1" applyNumberFormat="1">
      <alignment vertical="center"/>
    </xf>
    <xf borderId="0" fillId="7" fontId="2" numFmtId="49" xfId="0" applyAlignment="1" applyFill="1" applyFont="1" applyNumberFormat="1">
      <alignment horizontal="center" shrinkToFit="0" vertical="center" wrapText="1"/>
    </xf>
    <xf borderId="0" fillId="7" fontId="2" numFmtId="0" xfId="0" applyAlignment="1" applyFill="1" applyFont="1">
      <alignment shrinkToFit="0" vertical="center" wrapText="1"/>
    </xf>
    <xf borderId="0" fillId="7" fontId="2" numFmtId="164" xfId="0" applyAlignment="1" applyFill="1" applyFont="1" applyNumberFormat="1">
      <alignment horizontal="right" shrinkToFit="0" vertical="center" wrapText="1"/>
    </xf>
    <xf borderId="0" fillId="7" fontId="7" numFmtId="0" xfId="0" applyAlignment="1" applyFill="1" applyFont="1">
      <alignment vertical="center"/>
    </xf>
    <xf borderId="0" fillId="7" fontId="11" numFmtId="164" xfId="0" applyAlignment="1" applyFill="1" applyFont="1" applyNumberFormat="1">
      <alignment vertical="center"/>
    </xf>
    <xf borderId="0" fillId="7" fontId="2" numFmtId="164" xfId="0" applyAlignment="1" applyFill="1" applyFont="1" applyNumberFormat="1">
      <alignment vertical="center"/>
    </xf>
    <xf borderId="0" fillId="0" fontId="7" numFmtId="165" xfId="0" applyAlignment="1" applyFont="1" applyNumberFormat="1">
      <alignment readingOrder="0" vertical="center"/>
    </xf>
    <xf borderId="0" fillId="7" fontId="2" numFmtId="49" xfId="0" applyAlignment="1" applyFill="1" applyFont="1" applyNumberFormat="1">
      <alignment horizontal="center" vertical="center"/>
    </xf>
    <xf borderId="0" fillId="7" fontId="2" numFmtId="1" xfId="0" applyAlignment="1" applyFill="1" applyFont="1" applyNumberFormat="1">
      <alignment shrinkToFit="0" vertical="center" wrapText="1"/>
    </xf>
    <xf borderId="0" fillId="7" fontId="2" numFmtId="49" xfId="0" applyAlignment="1" applyFill="1" applyFont="1" applyNumberFormat="1">
      <alignment horizontal="center" readingOrder="0" vertical="center"/>
    </xf>
    <xf borderId="0" fillId="7" fontId="2" numFmtId="1" xfId="0" applyAlignment="1" applyFill="1" applyFont="1" applyNumberFormat="1">
      <alignment readingOrder="0" shrinkToFit="0" vertical="center" wrapText="1"/>
    </xf>
    <xf borderId="0" fillId="0" fontId="2" numFmtId="164" xfId="0" applyAlignment="1" applyFont="1" applyNumberFormat="1">
      <alignment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i/>
        <u/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medina@arandadeduero.es" id="{fe429130-6d86-4221-b01d-58fac88b61ea}" userId="cmedina@arandadeduero.es" providerId="google-sheets"/>
  <x18tc:person displayName="Guillermo López" id="{9034c1e8-f738-4871-b149-c1ac2fff4a36}" providerId="google-sheets"/>
  <x18tc:person displayName="belen@sentiraranda.es" id="{a91c8e84-7c36-446f-9c09-fdb2ac2ea669}" userId="belen@sentiraranda.e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37" dT="2025-10-13T21:26:51.00" personId="{9034c1e8-f738-4871-b149-c1ac2fff4a36}" id="{bb8aa6ab-da93-4977-b78c-a4b0aead283a}" done="1">
    <x18tc:text xml:space="preserve">@cmedina@arandadeduero.es dejo 300k porque así usamos el 282k del FCL</x18tc:text>
    <x18tc:mentions>
      <x18tc:mention mentionpersonId="{fe429130-6d86-4221-b01d-58fac88b61ea}" mentionId="{75ac4dec-207a-4009-bd24-42ec048ed558}" startIndex="0" length="25"/>
    </x18tc:mentions>
  </x18tc:threadedComment>
  <x18tc:threadedComment ref="C136" dT="2025-10-13T21:27:16.00" personId="{9034c1e8-f738-4871-b149-c1ac2fff4a36}" id="{30d39ebe-f8de-4354-b780-b016172d9891}" done="1">
    <x18tc:text xml:space="preserve">@cmedina@arandadeduero.es esto dejo 80k en vez de 20k (tu propuesta) ya que son datos que me ha dado Bea</x18tc:text>
    <x18tc:mentions>
      <x18tc:mention mentionpersonId="{fe429130-6d86-4221-b01d-58fac88b61ea}" mentionId="{60f459c9-f50c-4385-92ff-1495a772af05}" startIndex="0" length="25"/>
    </x18tc:mentions>
  </x18tc:threadedComment>
  <x18tc:threadedComment ref="C257" dT="2025-10-14T17:51:06.00" personId="{9034c1e8-f738-4871-b149-c1ac2fff4a36}" id="{5c76938f-a554-4c80-969b-845bee0f0bac}" done="0">
    <x18tc:text xml:space="preserve">@belen@sentiraranda.es  esto?</x18tc:text>
    <x18tc:mentions>
      <x18tc:mention mentionpersonId="{a91c8e84-7c36-446f-9c09-fdb2ac2ea669}" mentionId="{b207ea3b-5288-40b2-8a17-f24bb27c4b23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randactiva.com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randactiva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43"/>
    <col customWidth="1" min="2" max="2" width="10.14"/>
    <col customWidth="1" min="3" max="3" width="89.71"/>
    <col customWidth="1" min="4" max="4" width="16.29"/>
    <col customWidth="1" min="5" max="5" width="22.86"/>
    <col customWidth="1" min="6" max="6" width="16.0"/>
    <col customWidth="1" min="7" max="7" width="16.29"/>
    <col customWidth="1" min="8" max="8" width="14.29"/>
    <col customWidth="1" min="9" max="9" width="14.86"/>
    <col customWidth="1" min="10" max="10" width="16.29"/>
    <col customWidth="1" min="11" max="12" width="14.57"/>
    <col customWidth="1" min="13" max="14" width="15.1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</row>
    <row r="2" ht="15.7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</row>
    <row r="3" ht="15.75" customHeight="1">
      <c r="A3" s="8"/>
      <c r="B3" s="9"/>
      <c r="C3" s="4"/>
      <c r="D3" s="10"/>
      <c r="E3" s="11"/>
      <c r="F3" s="11"/>
      <c r="G3" s="11"/>
      <c r="H3" s="11"/>
      <c r="I3" s="11"/>
      <c r="J3" s="11"/>
      <c r="K3" s="3"/>
      <c r="L3" s="4"/>
      <c r="M3" s="4"/>
      <c r="N3" s="4"/>
    </row>
    <row r="4">
      <c r="A4" s="1"/>
      <c r="B4" s="12" t="s">
        <v>1</v>
      </c>
      <c r="C4" s="13" t="s">
        <v>2</v>
      </c>
      <c r="D4" s="13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6" t="s">
        <v>9</v>
      </c>
      <c r="L4" s="17"/>
      <c r="M4" s="17"/>
      <c r="N4" s="17"/>
    </row>
    <row r="5" ht="15.75" customHeight="1">
      <c r="A5" s="1"/>
      <c r="B5" s="18">
        <v>1320.0</v>
      </c>
      <c r="C5" s="19" t="s">
        <v>10</v>
      </c>
      <c r="D5" s="20"/>
      <c r="E5" s="20"/>
      <c r="F5" s="20"/>
      <c r="G5" s="20"/>
      <c r="H5" s="20"/>
      <c r="I5" s="20"/>
      <c r="J5" s="20"/>
      <c r="K5" s="10"/>
      <c r="L5" s="4"/>
      <c r="M5" s="4"/>
      <c r="N5" s="4"/>
    </row>
    <row r="6" ht="15.75" customHeight="1">
      <c r="A6" s="1"/>
      <c r="B6" s="18">
        <v>622.0</v>
      </c>
      <c r="C6" s="21" t="s">
        <v>11</v>
      </c>
      <c r="D6" s="20"/>
      <c r="E6" s="20"/>
      <c r="F6" s="20"/>
      <c r="G6" s="20"/>
      <c r="H6" s="20"/>
      <c r="I6" s="20"/>
      <c r="J6" s="20"/>
      <c r="K6" s="22">
        <f>SUM(J7:J8)</f>
        <v>110000</v>
      </c>
      <c r="L6" s="4"/>
      <c r="M6" s="4"/>
      <c r="N6" s="4"/>
    </row>
    <row r="7" ht="15.75" customHeight="1">
      <c r="A7" s="23"/>
      <c r="B7" s="9"/>
      <c r="C7" s="24" t="s">
        <v>12</v>
      </c>
      <c r="D7" s="25">
        <v>60000.0</v>
      </c>
      <c r="E7" s="25">
        <v>60000.0</v>
      </c>
      <c r="F7" s="20"/>
      <c r="G7" s="20"/>
      <c r="H7" s="20"/>
      <c r="I7" s="20"/>
      <c r="J7" s="20">
        <f t="shared" ref="J7:J8" si="1">SUM(E7:H7)</f>
        <v>60000</v>
      </c>
      <c r="K7" s="22"/>
      <c r="L7" s="4"/>
      <c r="M7" s="4"/>
      <c r="N7" s="4"/>
    </row>
    <row r="8" ht="15.75" customHeight="1">
      <c r="A8" s="23"/>
      <c r="B8" s="27"/>
      <c r="C8" s="24" t="s">
        <v>14</v>
      </c>
      <c r="D8" s="25">
        <v>50000.0</v>
      </c>
      <c r="E8" s="25">
        <v>50000.0</v>
      </c>
      <c r="F8" s="20"/>
      <c r="G8" s="20"/>
      <c r="H8" s="20"/>
      <c r="I8" s="20"/>
      <c r="J8" s="20">
        <f t="shared" si="1"/>
        <v>50000</v>
      </c>
      <c r="K8" s="22"/>
      <c r="L8" s="4"/>
      <c r="M8" s="4"/>
      <c r="N8" s="4"/>
    </row>
    <row r="9" ht="15.75" customHeight="1">
      <c r="A9" s="28"/>
      <c r="B9" s="18">
        <v>624.0</v>
      </c>
      <c r="C9" s="19" t="s">
        <v>17</v>
      </c>
      <c r="D9" s="29"/>
      <c r="E9" s="29"/>
      <c r="F9" s="29"/>
      <c r="G9" s="29"/>
      <c r="H9" s="29"/>
      <c r="I9" s="29"/>
      <c r="J9" s="29"/>
      <c r="K9" s="22">
        <f>SUM(J10)</f>
        <v>45000</v>
      </c>
      <c r="L9" s="31"/>
      <c r="M9" s="31"/>
      <c r="N9" s="31"/>
    </row>
    <row r="10" ht="15.75" customHeight="1">
      <c r="A10" s="32"/>
      <c r="B10" s="31"/>
      <c r="C10" s="4" t="s">
        <v>18</v>
      </c>
      <c r="D10" s="25">
        <v>45000.0</v>
      </c>
      <c r="E10" s="25">
        <v>45000.0</v>
      </c>
      <c r="F10" s="33"/>
      <c r="G10" s="29"/>
      <c r="H10" s="29"/>
      <c r="I10" s="29"/>
      <c r="J10" s="20">
        <f>SUM(E10:H10)</f>
        <v>45000</v>
      </c>
      <c r="K10" s="34"/>
      <c r="L10" s="31"/>
      <c r="M10" s="31"/>
      <c r="N10" s="31"/>
    </row>
    <row r="11" ht="15.75" customHeight="1">
      <c r="A11" s="8"/>
      <c r="B11" s="9"/>
      <c r="C11" s="18">
        <v>1320.0</v>
      </c>
      <c r="D11" s="36">
        <f t="shared" ref="D11:J11" si="2">SUM(D7:D10)</f>
        <v>155000</v>
      </c>
      <c r="E11" s="36">
        <f t="shared" si="2"/>
        <v>155000</v>
      </c>
      <c r="F11" s="36">
        <f t="shared" si="2"/>
        <v>0</v>
      </c>
      <c r="G11" s="36">
        <f t="shared" si="2"/>
        <v>0</v>
      </c>
      <c r="H11" s="36">
        <f t="shared" si="2"/>
        <v>0</v>
      </c>
      <c r="I11" s="36">
        <f t="shared" si="2"/>
        <v>0</v>
      </c>
      <c r="J11" s="36">
        <f t="shared" si="2"/>
        <v>155000</v>
      </c>
      <c r="K11" s="22"/>
      <c r="L11" s="4"/>
      <c r="M11" s="4"/>
      <c r="N11" s="4"/>
    </row>
    <row r="12" ht="15.75" customHeight="1">
      <c r="A12" s="8"/>
      <c r="B12" s="9"/>
      <c r="C12" s="4"/>
      <c r="D12" s="20"/>
      <c r="E12" s="20"/>
      <c r="F12" s="20"/>
      <c r="G12" s="20"/>
      <c r="H12" s="20"/>
      <c r="I12" s="20"/>
      <c r="J12" s="20"/>
      <c r="K12" s="22"/>
      <c r="L12" s="4"/>
      <c r="M12" s="4"/>
      <c r="N12" s="4"/>
    </row>
    <row r="13" ht="15.75" customHeight="1">
      <c r="A13" s="1"/>
      <c r="B13" s="18">
        <v>1330.0</v>
      </c>
      <c r="C13" s="19" t="s">
        <v>19</v>
      </c>
      <c r="D13" s="20"/>
      <c r="E13" s="20"/>
      <c r="F13" s="20"/>
      <c r="G13" s="20"/>
      <c r="H13" s="20"/>
      <c r="I13" s="20"/>
      <c r="J13" s="20"/>
      <c r="K13" s="22"/>
      <c r="L13" s="4"/>
      <c r="M13" s="4"/>
      <c r="N13" s="4"/>
    </row>
    <row r="14" ht="15.75" customHeight="1">
      <c r="A14" s="1"/>
      <c r="B14" s="18">
        <v>619.0</v>
      </c>
      <c r="C14" s="19" t="s">
        <v>20</v>
      </c>
      <c r="D14" s="20"/>
      <c r="E14" s="20"/>
      <c r="F14" s="20"/>
      <c r="G14" s="20"/>
      <c r="H14" s="20"/>
      <c r="I14" s="20"/>
      <c r="J14" s="20"/>
      <c r="K14" s="22">
        <f>SUM(J15:J17)</f>
        <v>95000</v>
      </c>
      <c r="L14" s="4"/>
      <c r="M14" s="4"/>
      <c r="N14" s="4"/>
    </row>
    <row r="15" ht="15.75" customHeight="1">
      <c r="A15" s="23"/>
      <c r="B15" s="9"/>
      <c r="C15" s="24" t="s">
        <v>22</v>
      </c>
      <c r="D15" s="25">
        <v>15000.0</v>
      </c>
      <c r="E15" s="25"/>
      <c r="F15" s="25">
        <v>15000.0</v>
      </c>
      <c r="G15" s="20"/>
      <c r="H15" s="20"/>
      <c r="I15" s="20"/>
      <c r="J15" s="20">
        <f t="shared" ref="J15:J17" si="3">SUM(E15:H15)</f>
        <v>15000</v>
      </c>
      <c r="K15" s="22"/>
      <c r="L15" s="4"/>
      <c r="M15" s="4"/>
      <c r="N15" s="4"/>
    </row>
    <row r="16" ht="15.75" customHeight="1">
      <c r="A16" s="23"/>
      <c r="B16" s="9"/>
      <c r="C16" s="24" t="s">
        <v>23</v>
      </c>
      <c r="D16" s="25">
        <v>50000.0</v>
      </c>
      <c r="E16" s="25">
        <v>50000.0</v>
      </c>
      <c r="F16" s="20"/>
      <c r="G16" s="20"/>
      <c r="H16" s="20"/>
      <c r="I16" s="20"/>
      <c r="J16" s="20">
        <f t="shared" si="3"/>
        <v>50000</v>
      </c>
      <c r="K16" s="22"/>
      <c r="L16" s="4"/>
      <c r="M16" s="4"/>
      <c r="N16" s="4"/>
    </row>
    <row r="17" ht="15.75" customHeight="1">
      <c r="A17" s="23"/>
      <c r="B17" s="9"/>
      <c r="C17" s="24" t="s">
        <v>24</v>
      </c>
      <c r="D17" s="25">
        <v>30000.0</v>
      </c>
      <c r="E17" s="25"/>
      <c r="F17" s="25">
        <v>30000.0</v>
      </c>
      <c r="G17" s="20"/>
      <c r="H17" s="20"/>
      <c r="I17" s="20"/>
      <c r="J17" s="20">
        <f t="shared" si="3"/>
        <v>30000</v>
      </c>
      <c r="K17" s="22"/>
      <c r="L17" s="4"/>
      <c r="M17" s="4"/>
      <c r="N17" s="4"/>
    </row>
    <row r="18" ht="15.75" customHeight="1">
      <c r="A18" s="8"/>
      <c r="B18" s="9"/>
      <c r="C18" s="37" t="s">
        <v>25</v>
      </c>
      <c r="D18" s="36">
        <f t="shared" ref="D18:J18" si="4">SUM(D14:D17)</f>
        <v>95000</v>
      </c>
      <c r="E18" s="36">
        <f t="shared" si="4"/>
        <v>50000</v>
      </c>
      <c r="F18" s="36">
        <f t="shared" si="4"/>
        <v>45000</v>
      </c>
      <c r="G18" s="36">
        <f t="shared" si="4"/>
        <v>0</v>
      </c>
      <c r="H18" s="36">
        <f t="shared" si="4"/>
        <v>0</v>
      </c>
      <c r="I18" s="36">
        <f t="shared" si="4"/>
        <v>0</v>
      </c>
      <c r="J18" s="36">
        <f t="shared" si="4"/>
        <v>95000</v>
      </c>
      <c r="K18" s="22"/>
      <c r="L18" s="4"/>
      <c r="M18" s="4"/>
      <c r="N18" s="4"/>
    </row>
    <row r="19" ht="15.75" customHeight="1">
      <c r="A19" s="8"/>
      <c r="B19" s="9"/>
      <c r="C19" s="4"/>
      <c r="D19" s="20"/>
      <c r="E19" s="20"/>
      <c r="F19" s="20"/>
      <c r="G19" s="20"/>
      <c r="H19" s="20"/>
      <c r="I19" s="20"/>
      <c r="J19" s="20"/>
      <c r="K19" s="22"/>
      <c r="L19" s="4"/>
      <c r="M19" s="4"/>
      <c r="N19" s="4"/>
    </row>
    <row r="20" ht="15.75" customHeight="1">
      <c r="A20" s="1"/>
      <c r="B20" s="18">
        <v>1350.0</v>
      </c>
      <c r="C20" s="19" t="s">
        <v>26</v>
      </c>
      <c r="D20" s="20"/>
      <c r="E20" s="20"/>
      <c r="F20" s="20"/>
      <c r="G20" s="20"/>
      <c r="H20" s="20"/>
      <c r="I20" s="20"/>
      <c r="J20" s="20"/>
      <c r="K20" s="22"/>
      <c r="L20" s="4"/>
      <c r="M20" s="4"/>
      <c r="N20" s="4"/>
    </row>
    <row r="21" ht="15.75" customHeight="1">
      <c r="A21" s="1"/>
      <c r="B21" s="18">
        <v>619.0</v>
      </c>
      <c r="C21" s="19" t="s">
        <v>20</v>
      </c>
      <c r="D21" s="20"/>
      <c r="E21" s="20"/>
      <c r="F21" s="20"/>
      <c r="G21" s="20"/>
      <c r="H21" s="20"/>
      <c r="I21" s="20"/>
      <c r="J21" s="20"/>
      <c r="K21" s="22">
        <f>SUM(J22)</f>
        <v>18200</v>
      </c>
      <c r="L21" s="4"/>
      <c r="M21" s="4"/>
      <c r="N21" s="4"/>
    </row>
    <row r="22" ht="15.75" customHeight="1">
      <c r="A22" s="23"/>
      <c r="B22" s="9"/>
      <c r="C22" s="24" t="s">
        <v>27</v>
      </c>
      <c r="D22" s="25">
        <v>18200.0</v>
      </c>
      <c r="E22" s="25">
        <v>18200.0</v>
      </c>
      <c r="F22" s="20"/>
      <c r="G22" s="20"/>
      <c r="H22" s="20"/>
      <c r="I22" s="20"/>
      <c r="J22" s="20">
        <f>SUM(E22:H22)</f>
        <v>18200</v>
      </c>
      <c r="K22" s="22"/>
      <c r="L22" s="4"/>
      <c r="M22" s="4"/>
      <c r="N22" s="4"/>
    </row>
    <row r="23" ht="15.75" customHeight="1">
      <c r="A23" s="8"/>
      <c r="B23" s="18">
        <v>624.0</v>
      </c>
      <c r="C23" s="19" t="s">
        <v>17</v>
      </c>
      <c r="D23" s="20"/>
      <c r="E23" s="20"/>
      <c r="F23" s="20"/>
      <c r="G23" s="20"/>
      <c r="H23" s="20"/>
      <c r="I23" s="20"/>
      <c r="J23" s="20"/>
      <c r="K23" s="22">
        <f>SUM(J24)</f>
        <v>45000</v>
      </c>
      <c r="L23" s="4"/>
      <c r="M23" s="4"/>
      <c r="N23" s="4"/>
    </row>
    <row r="24" ht="15.75" customHeight="1">
      <c r="A24" s="23"/>
      <c r="B24" s="9"/>
      <c r="C24" s="24" t="s">
        <v>18</v>
      </c>
      <c r="D24" s="25">
        <v>45000.0</v>
      </c>
      <c r="E24" s="25">
        <v>45000.0</v>
      </c>
      <c r="F24" s="33"/>
      <c r="G24" s="20"/>
      <c r="H24" s="20"/>
      <c r="I24" s="20"/>
      <c r="J24" s="20">
        <f>SUM(E24:H24)</f>
        <v>45000</v>
      </c>
      <c r="K24" s="22"/>
      <c r="L24" s="4"/>
      <c r="M24" s="4"/>
      <c r="N24" s="4"/>
    </row>
    <row r="25" ht="15.75" customHeight="1">
      <c r="A25" s="8"/>
      <c r="B25" s="9"/>
      <c r="C25" s="37" t="s">
        <v>29</v>
      </c>
      <c r="D25" s="36">
        <f t="shared" ref="D25:J25" si="5">SUM(D22:D24)</f>
        <v>63200</v>
      </c>
      <c r="E25" s="36">
        <f t="shared" si="5"/>
        <v>63200</v>
      </c>
      <c r="F25" s="36">
        <f t="shared" si="5"/>
        <v>0</v>
      </c>
      <c r="G25" s="36">
        <f t="shared" si="5"/>
        <v>0</v>
      </c>
      <c r="H25" s="36">
        <f t="shared" si="5"/>
        <v>0</v>
      </c>
      <c r="I25" s="36">
        <f t="shared" si="5"/>
        <v>0</v>
      </c>
      <c r="J25" s="36">
        <f t="shared" si="5"/>
        <v>63200</v>
      </c>
      <c r="K25" s="22"/>
      <c r="L25" s="4"/>
      <c r="M25" s="4"/>
      <c r="N25" s="4"/>
    </row>
    <row r="26" ht="15.75" customHeight="1">
      <c r="A26" s="8"/>
      <c r="B26" s="9"/>
      <c r="C26" s="4"/>
      <c r="D26" s="20"/>
      <c r="E26" s="20"/>
      <c r="F26" s="20"/>
      <c r="G26" s="20"/>
      <c r="H26" s="20"/>
      <c r="I26" s="20"/>
      <c r="J26" s="20"/>
      <c r="K26" s="22"/>
      <c r="L26" s="4"/>
      <c r="M26" s="4"/>
      <c r="N26" s="4"/>
    </row>
    <row r="27" ht="15.75" customHeight="1">
      <c r="A27" s="1"/>
      <c r="B27" s="18">
        <v>1360.0</v>
      </c>
      <c r="C27" s="19" t="s">
        <v>30</v>
      </c>
      <c r="D27" s="20"/>
      <c r="E27" s="20"/>
      <c r="F27" s="29"/>
      <c r="G27" s="29"/>
      <c r="H27" s="20"/>
      <c r="I27" s="20"/>
      <c r="J27" s="20"/>
      <c r="K27" s="22"/>
      <c r="L27" s="4"/>
      <c r="M27" s="4"/>
      <c r="N27" s="4"/>
    </row>
    <row r="28" ht="15.75" customHeight="1">
      <c r="A28" s="1"/>
      <c r="B28" s="18">
        <v>624.0</v>
      </c>
      <c r="C28" s="19" t="s">
        <v>17</v>
      </c>
      <c r="D28" s="20"/>
      <c r="E28" s="20"/>
      <c r="F28" s="38" t="s">
        <v>31</v>
      </c>
      <c r="G28" s="29"/>
      <c r="H28" s="20"/>
      <c r="I28" s="20"/>
      <c r="J28" s="20"/>
      <c r="K28" s="22">
        <f>SUM(J29)</f>
        <v>25000</v>
      </c>
      <c r="L28" s="4"/>
      <c r="M28" s="4"/>
      <c r="N28" s="4"/>
    </row>
    <row r="29" ht="15.75" customHeight="1">
      <c r="A29" s="23"/>
      <c r="B29" s="9"/>
      <c r="C29" s="24" t="s">
        <v>32</v>
      </c>
      <c r="D29" s="25">
        <v>25000.0</v>
      </c>
      <c r="E29" s="25"/>
      <c r="F29" s="25">
        <v>25000.0</v>
      </c>
      <c r="G29" s="20"/>
      <c r="H29" s="20"/>
      <c r="I29" s="20"/>
      <c r="J29" s="20">
        <f>SUM(E29:H29)</f>
        <v>25000</v>
      </c>
      <c r="K29" s="22"/>
      <c r="L29" s="4"/>
      <c r="M29" s="4"/>
      <c r="N29" s="4"/>
    </row>
    <row r="30" ht="15.75" customHeight="1">
      <c r="A30" s="1"/>
      <c r="B30" s="39">
        <v>639.0</v>
      </c>
      <c r="C30" s="40" t="s">
        <v>33</v>
      </c>
      <c r="D30" s="20"/>
      <c r="E30" s="20"/>
      <c r="F30" s="20"/>
      <c r="G30" s="29"/>
      <c r="H30" s="20"/>
      <c r="I30" s="20"/>
      <c r="J30" s="20"/>
      <c r="K30" s="22">
        <f>SUM(J31)</f>
        <v>75000</v>
      </c>
      <c r="L30" s="4"/>
      <c r="M30" s="4"/>
      <c r="N30" s="4"/>
    </row>
    <row r="31" ht="15.75" customHeight="1">
      <c r="A31" s="23"/>
      <c r="B31" s="9"/>
      <c r="C31" s="24" t="s">
        <v>34</v>
      </c>
      <c r="D31" s="25">
        <v>75000.0</v>
      </c>
      <c r="E31" s="25"/>
      <c r="F31" s="25">
        <v>75000.0</v>
      </c>
      <c r="G31" s="20"/>
      <c r="H31" s="20"/>
      <c r="I31" s="20"/>
      <c r="J31" s="20">
        <f>SUM(E31:H31)</f>
        <v>75000</v>
      </c>
      <c r="K31" s="22"/>
      <c r="L31" s="4"/>
      <c r="M31" s="4"/>
      <c r="N31" s="4"/>
    </row>
    <row r="32" ht="15.75" customHeight="1">
      <c r="A32" s="8"/>
      <c r="B32" s="9"/>
      <c r="C32" s="37" t="s">
        <v>35</v>
      </c>
      <c r="D32" s="36">
        <f t="shared" ref="D32:J32" si="6">SUM(D28:D31)</f>
        <v>100000</v>
      </c>
      <c r="E32" s="36">
        <f t="shared" si="6"/>
        <v>0</v>
      </c>
      <c r="F32" s="36">
        <f t="shared" si="6"/>
        <v>100000</v>
      </c>
      <c r="G32" s="36">
        <f t="shared" si="6"/>
        <v>0</v>
      </c>
      <c r="H32" s="36">
        <f t="shared" si="6"/>
        <v>0</v>
      </c>
      <c r="I32" s="36">
        <f t="shared" si="6"/>
        <v>0</v>
      </c>
      <c r="J32" s="36">
        <f t="shared" si="6"/>
        <v>100000</v>
      </c>
      <c r="K32" s="22"/>
      <c r="L32" s="4"/>
      <c r="M32" s="4"/>
      <c r="N32" s="4"/>
    </row>
    <row r="33" ht="15.75" customHeight="1">
      <c r="A33" s="8"/>
      <c r="B33" s="9"/>
      <c r="C33" s="4"/>
      <c r="D33" s="41"/>
      <c r="E33" s="20"/>
      <c r="F33" s="20"/>
      <c r="G33" s="20"/>
      <c r="H33" s="20"/>
      <c r="I33" s="20"/>
      <c r="J33" s="20"/>
      <c r="K33" s="22"/>
      <c r="L33" s="4"/>
      <c r="M33" s="4"/>
      <c r="N33" s="4"/>
    </row>
    <row r="34" ht="15.75" customHeight="1">
      <c r="A34" s="1"/>
      <c r="B34" s="18">
        <v>1500.0</v>
      </c>
      <c r="C34" s="19" t="s">
        <v>37</v>
      </c>
      <c r="D34" s="41"/>
      <c r="E34" s="20"/>
      <c r="F34" s="20"/>
      <c r="G34" s="20"/>
      <c r="H34" s="20"/>
      <c r="I34" s="20"/>
      <c r="J34" s="20"/>
      <c r="K34" s="22"/>
      <c r="L34" s="4"/>
      <c r="M34" s="4"/>
      <c r="N34" s="4"/>
    </row>
    <row r="35" ht="15.75" customHeight="1">
      <c r="A35" s="1"/>
      <c r="B35" s="18">
        <v>636.0</v>
      </c>
      <c r="C35" s="19" t="s">
        <v>38</v>
      </c>
      <c r="D35" s="20"/>
      <c r="E35" s="20"/>
      <c r="F35" s="20"/>
      <c r="G35" s="20"/>
      <c r="H35" s="20"/>
      <c r="I35" s="20"/>
      <c r="J35" s="20"/>
      <c r="K35" s="22">
        <f>SUM(J36)</f>
        <v>12000</v>
      </c>
      <c r="L35" s="4"/>
      <c r="M35" s="4"/>
      <c r="N35" s="4"/>
    </row>
    <row r="36" ht="15.75" customHeight="1">
      <c r="A36" s="23"/>
      <c r="B36" s="9"/>
      <c r="C36" s="24" t="s">
        <v>39</v>
      </c>
      <c r="D36" s="20">
        <v>12000.0</v>
      </c>
      <c r="E36" s="20">
        <v>12000.0</v>
      </c>
      <c r="F36" s="33"/>
      <c r="G36" s="20"/>
      <c r="H36" s="20"/>
      <c r="I36" s="20"/>
      <c r="J36" s="20">
        <f>SUM(E36:H36)</f>
        <v>12000</v>
      </c>
      <c r="K36" s="22"/>
      <c r="L36" s="4"/>
      <c r="M36" s="4"/>
      <c r="N36" s="4"/>
    </row>
    <row r="37" ht="15.75" customHeight="1">
      <c r="A37" s="8"/>
      <c r="B37" s="9"/>
      <c r="C37" s="37" t="s">
        <v>40</v>
      </c>
      <c r="D37" s="36">
        <f t="shared" ref="D37:J37" si="7">SUM(D35:D36)</f>
        <v>12000</v>
      </c>
      <c r="E37" s="36">
        <f t="shared" si="7"/>
        <v>12000</v>
      </c>
      <c r="F37" s="36">
        <f t="shared" si="7"/>
        <v>0</v>
      </c>
      <c r="G37" s="36">
        <f t="shared" si="7"/>
        <v>0</v>
      </c>
      <c r="H37" s="36">
        <f t="shared" si="7"/>
        <v>0</v>
      </c>
      <c r="I37" s="36">
        <f t="shared" si="7"/>
        <v>0</v>
      </c>
      <c r="J37" s="36">
        <f t="shared" si="7"/>
        <v>12000</v>
      </c>
      <c r="K37" s="22"/>
      <c r="L37" s="4"/>
      <c r="M37" s="4"/>
      <c r="N37" s="4"/>
    </row>
    <row r="38" ht="15.75" customHeight="1">
      <c r="A38" s="8"/>
      <c r="B38" s="4"/>
      <c r="C38" s="4"/>
      <c r="D38" s="20"/>
      <c r="E38" s="20"/>
      <c r="F38" s="20"/>
      <c r="G38" s="20"/>
      <c r="H38" s="20"/>
      <c r="I38" s="20"/>
      <c r="J38" s="20"/>
      <c r="K38" s="22"/>
      <c r="L38" s="4"/>
      <c r="M38" s="4"/>
      <c r="N38" s="4"/>
    </row>
    <row r="39" ht="15.75" customHeight="1">
      <c r="A39" s="43"/>
      <c r="B39" s="37" t="s">
        <v>41</v>
      </c>
      <c r="C39" s="19" t="s">
        <v>42</v>
      </c>
      <c r="D39" s="20"/>
      <c r="E39" s="20"/>
      <c r="F39" s="44"/>
      <c r="G39" s="20"/>
      <c r="H39" s="20"/>
      <c r="I39" s="20"/>
      <c r="J39" s="20"/>
      <c r="K39" s="22"/>
      <c r="L39" s="4"/>
      <c r="M39" s="4"/>
      <c r="N39" s="4"/>
    </row>
    <row r="40" ht="15.75" customHeight="1">
      <c r="A40" s="43"/>
      <c r="B40" s="39">
        <v>627.0</v>
      </c>
      <c r="C40" s="40" t="s">
        <v>43</v>
      </c>
      <c r="D40" s="20"/>
      <c r="E40" s="20"/>
      <c r="F40" s="45"/>
      <c r="G40" s="46"/>
      <c r="H40" s="20"/>
      <c r="I40" s="20"/>
      <c r="J40" s="20"/>
      <c r="K40" s="47">
        <f>SUM(J41)</f>
        <v>18000</v>
      </c>
      <c r="L40" s="4"/>
      <c r="M40" s="4"/>
      <c r="N40" s="4"/>
    </row>
    <row r="41" ht="15.75" customHeight="1">
      <c r="A41" s="43"/>
      <c r="B41" s="39"/>
      <c r="C41" s="48" t="s">
        <v>44</v>
      </c>
      <c r="D41" s="25">
        <v>18000.0</v>
      </c>
      <c r="E41" s="25">
        <v>18000.0</v>
      </c>
      <c r="F41" s="45"/>
      <c r="G41" s="46"/>
      <c r="H41" s="20"/>
      <c r="I41" s="20"/>
      <c r="J41" s="20">
        <f>SUM(E41:H41)</f>
        <v>18000</v>
      </c>
      <c r="K41" s="47"/>
      <c r="L41" s="4"/>
      <c r="M41" s="4"/>
      <c r="N41" s="4"/>
    </row>
    <row r="42" ht="15.75" customHeight="1">
      <c r="A42" s="43"/>
      <c r="B42" s="37" t="s">
        <v>45</v>
      </c>
      <c r="C42" s="19" t="s">
        <v>46</v>
      </c>
      <c r="D42" s="20"/>
      <c r="E42" s="20"/>
      <c r="F42" s="49" t="s">
        <v>47</v>
      </c>
      <c r="G42" s="46"/>
      <c r="H42" s="20"/>
      <c r="I42" s="20"/>
      <c r="J42" s="20"/>
      <c r="K42" s="47">
        <f>SUM(J43)</f>
        <v>2347369.69</v>
      </c>
      <c r="L42" s="4"/>
      <c r="M42" s="4"/>
      <c r="N42" s="4"/>
    </row>
    <row r="43" ht="15.75" customHeight="1">
      <c r="A43" s="50"/>
      <c r="B43" s="51" t="s">
        <v>48</v>
      </c>
      <c r="C43" s="53" t="s">
        <v>49</v>
      </c>
      <c r="D43" s="55">
        <v>2347369.69</v>
      </c>
      <c r="E43" s="56">
        <v>1555737.6923</v>
      </c>
      <c r="F43" s="55">
        <v>17000.0</v>
      </c>
      <c r="G43" s="56"/>
      <c r="H43" s="56"/>
      <c r="I43" s="56">
        <v>774631.9977000001</v>
      </c>
      <c r="J43" s="56">
        <f>SUM(E43:I43)</f>
        <v>2347369.69</v>
      </c>
      <c r="K43" s="57"/>
      <c r="L43" s="59"/>
      <c r="M43" s="59"/>
      <c r="N43" s="59"/>
    </row>
    <row r="44" ht="15.75" customHeight="1">
      <c r="A44" s="50"/>
      <c r="B44" s="61"/>
      <c r="C44" s="63">
        <v>1522.0</v>
      </c>
      <c r="D44" s="36">
        <f t="shared" ref="D44:J44" si="8">SUM(D41:D43)</f>
        <v>2365369.69</v>
      </c>
      <c r="E44" s="36">
        <f t="shared" si="8"/>
        <v>1573737.692</v>
      </c>
      <c r="F44" s="36">
        <f t="shared" si="8"/>
        <v>17000</v>
      </c>
      <c r="G44" s="36">
        <f t="shared" si="8"/>
        <v>0</v>
      </c>
      <c r="H44" s="36">
        <f t="shared" si="8"/>
        <v>0</v>
      </c>
      <c r="I44" s="36">
        <f t="shared" si="8"/>
        <v>774631.9977</v>
      </c>
      <c r="J44" s="36">
        <f t="shared" si="8"/>
        <v>2365369.69</v>
      </c>
      <c r="K44" s="22"/>
      <c r="L44" s="4"/>
      <c r="M44" s="4"/>
      <c r="N44" s="4"/>
    </row>
    <row r="45" ht="15.75" customHeight="1">
      <c r="A45" s="8"/>
      <c r="B45" s="4"/>
      <c r="C45" s="4"/>
      <c r="D45" s="20"/>
      <c r="E45" s="20"/>
      <c r="F45" s="20"/>
      <c r="G45" s="20"/>
      <c r="H45" s="20"/>
      <c r="I45" s="20"/>
      <c r="J45" s="20"/>
      <c r="K45" s="22"/>
      <c r="L45" s="4"/>
      <c r="M45" s="4"/>
      <c r="N45" s="4"/>
    </row>
    <row r="46" ht="15.75" customHeight="1">
      <c r="A46" s="1"/>
      <c r="B46" s="19">
        <v>1530.0</v>
      </c>
      <c r="C46" s="19" t="s">
        <v>50</v>
      </c>
      <c r="D46" s="20"/>
      <c r="E46" s="20"/>
      <c r="F46" s="20"/>
      <c r="G46" s="20"/>
      <c r="H46" s="20"/>
      <c r="I46" s="20"/>
      <c r="J46" s="20"/>
      <c r="K46" s="22"/>
      <c r="L46" s="4"/>
      <c r="M46" s="4"/>
      <c r="N46" s="4"/>
    </row>
    <row r="47" ht="15.75" customHeight="1">
      <c r="A47" s="1"/>
      <c r="B47" s="18">
        <v>619.0</v>
      </c>
      <c r="C47" s="19" t="s">
        <v>20</v>
      </c>
      <c r="D47" s="20"/>
      <c r="E47" s="20"/>
      <c r="F47" s="20"/>
      <c r="G47" s="20"/>
      <c r="H47" s="20"/>
      <c r="I47" s="20"/>
      <c r="J47" s="20"/>
      <c r="K47" s="22">
        <f>SUM(J48:J68)</f>
        <v>9687063.16</v>
      </c>
      <c r="L47" s="4"/>
      <c r="M47" s="4"/>
      <c r="N47" s="4"/>
    </row>
    <row r="48" ht="15.75" customHeight="1">
      <c r="A48" s="23"/>
      <c r="B48" s="9"/>
      <c r="C48" s="24" t="s">
        <v>51</v>
      </c>
      <c r="D48" s="25">
        <v>145000.0</v>
      </c>
      <c r="E48" s="25">
        <v>145000.0</v>
      </c>
      <c r="F48" s="33"/>
      <c r="G48" s="20"/>
      <c r="H48" s="20"/>
      <c r="I48" s="20"/>
      <c r="J48" s="20">
        <f t="shared" ref="J48:J63" si="9">SUM(E48:I48)</f>
        <v>145000</v>
      </c>
      <c r="K48" s="22"/>
      <c r="L48" s="4"/>
      <c r="M48" s="4"/>
      <c r="N48" s="4"/>
    </row>
    <row r="49" ht="15.75" customHeight="1">
      <c r="A49" s="23"/>
      <c r="B49" s="9"/>
      <c r="C49" s="24" t="s">
        <v>52</v>
      </c>
      <c r="D49" s="25">
        <v>75000.0</v>
      </c>
      <c r="E49" s="25">
        <v>75000.0</v>
      </c>
      <c r="F49" s="33"/>
      <c r="G49" s="20"/>
      <c r="H49" s="20"/>
      <c r="I49" s="20"/>
      <c r="J49" s="20">
        <f t="shared" si="9"/>
        <v>75000</v>
      </c>
      <c r="K49" s="22"/>
      <c r="L49" s="4"/>
      <c r="M49" s="4"/>
      <c r="N49" s="4"/>
    </row>
    <row r="50" ht="15.75" customHeight="1">
      <c r="A50" s="23"/>
      <c r="B50" s="9"/>
      <c r="C50" s="24" t="s">
        <v>53</v>
      </c>
      <c r="D50" s="25">
        <v>500000.0</v>
      </c>
      <c r="E50" s="25"/>
      <c r="F50" s="25">
        <v>500000.0</v>
      </c>
      <c r="G50" s="20"/>
      <c r="H50" s="20"/>
      <c r="I50" s="20"/>
      <c r="J50" s="20">
        <f t="shared" si="9"/>
        <v>500000</v>
      </c>
      <c r="K50" s="22"/>
      <c r="L50" s="4"/>
      <c r="M50" s="4"/>
      <c r="N50" s="4"/>
    </row>
    <row r="51" ht="15.75" customHeight="1">
      <c r="A51" s="23"/>
      <c r="B51" s="9"/>
      <c r="C51" s="24" t="s">
        <v>54</v>
      </c>
      <c r="D51" s="25">
        <v>300000.0</v>
      </c>
      <c r="E51" s="25"/>
      <c r="F51" s="25">
        <v>300000.0</v>
      </c>
      <c r="G51" s="20"/>
      <c r="H51" s="20"/>
      <c r="I51" s="20"/>
      <c r="J51" s="20">
        <f t="shared" si="9"/>
        <v>300000</v>
      </c>
      <c r="K51" s="22"/>
      <c r="L51" s="4"/>
      <c r="M51" s="4"/>
      <c r="N51" s="4"/>
    </row>
    <row r="52" ht="15.75" customHeight="1">
      <c r="A52" s="23"/>
      <c r="B52" s="27"/>
      <c r="C52" s="24" t="s">
        <v>55</v>
      </c>
      <c r="D52" s="25">
        <v>400000.0</v>
      </c>
      <c r="E52" s="25">
        <v>400000.0</v>
      </c>
      <c r="F52" s="20"/>
      <c r="G52" s="20"/>
      <c r="H52" s="20"/>
      <c r="I52" s="20"/>
      <c r="J52" s="20">
        <f t="shared" si="9"/>
        <v>400000</v>
      </c>
      <c r="K52" s="22"/>
      <c r="L52" s="4"/>
      <c r="M52" s="4"/>
      <c r="N52" s="4"/>
    </row>
    <row r="53" ht="15.75" customHeight="1">
      <c r="A53" s="23"/>
      <c r="B53" s="27"/>
      <c r="C53" s="24" t="s">
        <v>56</v>
      </c>
      <c r="D53" s="20">
        <v>117500.0</v>
      </c>
      <c r="E53" s="20">
        <v>117500.0</v>
      </c>
      <c r="F53" s="20"/>
      <c r="G53" s="20"/>
      <c r="H53" s="20"/>
      <c r="I53" s="20"/>
      <c r="J53" s="20">
        <f t="shared" si="9"/>
        <v>117500</v>
      </c>
      <c r="K53" s="22"/>
      <c r="L53" s="4"/>
      <c r="M53" s="4"/>
      <c r="N53" s="4"/>
    </row>
    <row r="54" ht="15.75" customHeight="1">
      <c r="A54" s="23"/>
      <c r="B54" s="27"/>
      <c r="C54" s="24" t="s">
        <v>57</v>
      </c>
      <c r="D54" s="25">
        <v>3125000.0</v>
      </c>
      <c r="E54" s="25">
        <v>3125000.0</v>
      </c>
      <c r="F54" s="20"/>
      <c r="G54" s="20"/>
      <c r="H54" s="20"/>
      <c r="I54" s="20"/>
      <c r="J54" s="20">
        <f t="shared" si="9"/>
        <v>3125000</v>
      </c>
      <c r="K54" s="22"/>
      <c r="L54" s="4"/>
      <c r="M54" s="4"/>
      <c r="N54" s="4"/>
    </row>
    <row r="55" ht="15.75" customHeight="1">
      <c r="A55" s="23"/>
      <c r="B55" s="27"/>
      <c r="C55" s="24" t="s">
        <v>58</v>
      </c>
      <c r="D55" s="25">
        <v>1350000.0</v>
      </c>
      <c r="E55" s="66">
        <v>1350000.0</v>
      </c>
      <c r="F55" s="25"/>
      <c r="G55" s="20"/>
      <c r="H55" s="33"/>
      <c r="I55" s="20"/>
      <c r="J55" s="20">
        <f t="shared" si="9"/>
        <v>1350000</v>
      </c>
      <c r="K55" s="22"/>
      <c r="L55" s="4"/>
      <c r="M55" s="4"/>
      <c r="N55" s="4"/>
    </row>
    <row r="56" ht="15.75" customHeight="1">
      <c r="A56" s="23"/>
      <c r="B56" s="27"/>
      <c r="C56" s="24" t="s">
        <v>59</v>
      </c>
      <c r="D56" s="25">
        <v>700000.0</v>
      </c>
      <c r="E56" s="25">
        <v>700000.0</v>
      </c>
      <c r="F56" s="20"/>
      <c r="G56" s="20"/>
      <c r="H56" s="20"/>
      <c r="I56" s="20"/>
      <c r="J56" s="20">
        <f t="shared" si="9"/>
        <v>700000</v>
      </c>
      <c r="K56" s="22"/>
      <c r="L56" s="4"/>
      <c r="M56" s="4"/>
      <c r="N56" s="4"/>
    </row>
    <row r="57" ht="15.75" customHeight="1">
      <c r="A57" s="23"/>
      <c r="B57" s="9"/>
      <c r="C57" s="24" t="s">
        <v>60</v>
      </c>
      <c r="D57" s="25">
        <v>150000.0</v>
      </c>
      <c r="E57" s="20">
        <v>76011.89</v>
      </c>
      <c r="F57" s="25">
        <v>73988.11</v>
      </c>
      <c r="G57" s="20"/>
      <c r="H57" s="20"/>
      <c r="I57" s="20"/>
      <c r="J57" s="20">
        <f t="shared" si="9"/>
        <v>150000</v>
      </c>
      <c r="K57" s="22"/>
      <c r="L57" s="4"/>
      <c r="M57" s="4"/>
      <c r="N57" s="4"/>
    </row>
    <row r="58" ht="15.75" customHeight="1">
      <c r="A58" s="23"/>
      <c r="B58" s="9"/>
      <c r="C58" s="24" t="s">
        <v>61</v>
      </c>
      <c r="D58" s="25">
        <v>60000.0</v>
      </c>
      <c r="E58" s="25">
        <v>60000.0</v>
      </c>
      <c r="F58" s="20"/>
      <c r="G58" s="20"/>
      <c r="H58" s="20"/>
      <c r="I58" s="20"/>
      <c r="J58" s="20">
        <f t="shared" si="9"/>
        <v>60000</v>
      </c>
      <c r="K58" s="22"/>
      <c r="L58" s="4"/>
      <c r="M58" s="4"/>
      <c r="N58" s="4"/>
    </row>
    <row r="59" ht="15.75" customHeight="1">
      <c r="A59" s="23"/>
      <c r="B59" s="9"/>
      <c r="C59" s="24" t="s">
        <v>63</v>
      </c>
      <c r="D59" s="25">
        <v>45000.0</v>
      </c>
      <c r="E59" s="25">
        <v>45000.0</v>
      </c>
      <c r="F59" s="20"/>
      <c r="G59" s="20"/>
      <c r="H59" s="20"/>
      <c r="I59" s="20"/>
      <c r="J59" s="20">
        <f t="shared" si="9"/>
        <v>45000</v>
      </c>
      <c r="K59" s="22"/>
      <c r="L59" s="4"/>
      <c r="M59" s="4"/>
      <c r="N59" s="4"/>
    </row>
    <row r="60" ht="15.75" customHeight="1">
      <c r="A60" s="23"/>
      <c r="B60" s="9"/>
      <c r="C60" s="24" t="s">
        <v>64</v>
      </c>
      <c r="D60" s="25">
        <v>168000.0</v>
      </c>
      <c r="E60" s="25">
        <v>168000.0</v>
      </c>
      <c r="F60" s="20"/>
      <c r="G60" s="20"/>
      <c r="H60" s="20"/>
      <c r="I60" s="20"/>
      <c r="J60" s="20">
        <f t="shared" si="9"/>
        <v>168000</v>
      </c>
      <c r="K60" s="22"/>
      <c r="L60" s="4"/>
      <c r="M60" s="4"/>
      <c r="N60" s="4"/>
    </row>
    <row r="61" ht="15.75" customHeight="1">
      <c r="A61" s="23"/>
      <c r="B61" s="27"/>
      <c r="C61" s="24" t="s">
        <v>65</v>
      </c>
      <c r="D61" s="25">
        <v>525000.0</v>
      </c>
      <c r="E61" s="25">
        <v>525000.0</v>
      </c>
      <c r="F61" s="25"/>
      <c r="G61" s="20"/>
      <c r="H61" s="20"/>
      <c r="I61" s="20"/>
      <c r="J61" s="20">
        <f t="shared" si="9"/>
        <v>525000</v>
      </c>
      <c r="K61" s="22"/>
      <c r="L61" s="4"/>
      <c r="M61" s="4"/>
      <c r="N61" s="4"/>
    </row>
    <row r="62" ht="15.75" customHeight="1">
      <c r="A62" s="23"/>
      <c r="B62" s="9"/>
      <c r="C62" s="24" t="s">
        <v>66</v>
      </c>
      <c r="D62" s="25">
        <v>110000.0</v>
      </c>
      <c r="E62" s="25">
        <v>110000.0</v>
      </c>
      <c r="F62" s="20"/>
      <c r="G62" s="20"/>
      <c r="H62" s="20"/>
      <c r="I62" s="20"/>
      <c r="J62" s="20">
        <f t="shared" si="9"/>
        <v>110000</v>
      </c>
      <c r="K62" s="22"/>
      <c r="L62" s="4"/>
      <c r="M62" s="4"/>
      <c r="N62" s="4"/>
    </row>
    <row r="63" ht="15.75" customHeight="1">
      <c r="A63" s="23"/>
      <c r="B63" s="27"/>
      <c r="C63" s="24" t="s">
        <v>69</v>
      </c>
      <c r="D63" s="25">
        <v>500000.0</v>
      </c>
      <c r="E63" s="25">
        <v>500000.0</v>
      </c>
      <c r="F63" s="20"/>
      <c r="G63" s="20"/>
      <c r="H63" s="20"/>
      <c r="I63" s="20"/>
      <c r="J63" s="20">
        <f t="shared" si="9"/>
        <v>500000</v>
      </c>
      <c r="K63" s="22"/>
      <c r="L63" s="4"/>
      <c r="M63" s="4"/>
      <c r="N63" s="4"/>
    </row>
    <row r="64" ht="15.75" customHeight="1">
      <c r="A64" s="23"/>
      <c r="B64" s="9"/>
      <c r="C64" s="24"/>
      <c r="D64" s="69"/>
      <c r="E64" s="69"/>
      <c r="F64" s="70" t="s">
        <v>71</v>
      </c>
      <c r="G64" s="20"/>
      <c r="H64" s="20"/>
      <c r="I64" s="20"/>
      <c r="J64" s="20"/>
      <c r="K64" s="22"/>
      <c r="L64" s="4"/>
      <c r="M64" s="4"/>
      <c r="N64" s="4"/>
    </row>
    <row r="65" ht="15.75" customHeight="1">
      <c r="A65" s="23"/>
      <c r="B65" s="9"/>
      <c r="C65" s="24" t="s">
        <v>72</v>
      </c>
      <c r="D65" s="69">
        <v>600000.0</v>
      </c>
      <c r="E65" s="69"/>
      <c r="F65" s="25">
        <v>600000.0</v>
      </c>
      <c r="G65" s="20"/>
      <c r="H65" s="20"/>
      <c r="I65" s="20"/>
      <c r="J65" s="20">
        <f t="shared" ref="J65:J66" si="10">SUM(E65:I65)</f>
        <v>600000</v>
      </c>
      <c r="K65" s="22"/>
      <c r="L65" s="4"/>
      <c r="M65" s="4"/>
      <c r="N65" s="4"/>
    </row>
    <row r="66" ht="15.75" customHeight="1">
      <c r="A66" s="23"/>
      <c r="B66" s="9"/>
      <c r="C66" s="4" t="s">
        <v>74</v>
      </c>
      <c r="D66" s="20">
        <v>60000.0</v>
      </c>
      <c r="E66" s="25"/>
      <c r="F66" s="66">
        <v>60000.0</v>
      </c>
      <c r="G66" s="20"/>
      <c r="H66" s="20"/>
      <c r="I66" s="20"/>
      <c r="J66" s="20">
        <f t="shared" si="10"/>
        <v>60000</v>
      </c>
      <c r="K66" s="22"/>
      <c r="L66" s="4"/>
      <c r="M66" s="4"/>
      <c r="N66" s="4"/>
    </row>
    <row r="67" ht="15.75" customHeight="1">
      <c r="A67" s="8"/>
      <c r="B67" s="9"/>
      <c r="C67" s="4"/>
      <c r="D67" s="20"/>
      <c r="E67" s="20"/>
      <c r="F67" s="49" t="s">
        <v>47</v>
      </c>
      <c r="G67" s="46"/>
      <c r="H67" s="20"/>
      <c r="I67" s="20"/>
      <c r="J67" s="20"/>
      <c r="K67" s="22"/>
      <c r="L67" s="4"/>
      <c r="M67" s="4"/>
      <c r="N67" s="4"/>
    </row>
    <row r="68" ht="15.75" customHeight="1">
      <c r="A68" s="23"/>
      <c r="B68" s="60" t="s">
        <v>75</v>
      </c>
      <c r="C68" s="71" t="s">
        <v>76</v>
      </c>
      <c r="D68" s="56">
        <v>756563.16</v>
      </c>
      <c r="E68" s="55">
        <v>632594.212</v>
      </c>
      <c r="F68" s="55">
        <v>17000.0</v>
      </c>
      <c r="G68" s="56"/>
      <c r="H68" s="56"/>
      <c r="I68" s="56">
        <v>106968.94799999999</v>
      </c>
      <c r="J68" s="56">
        <f>SUM(E68:I68)</f>
        <v>756563.16</v>
      </c>
      <c r="K68" s="22"/>
      <c r="L68" s="59"/>
      <c r="M68" s="4"/>
      <c r="N68" s="4"/>
    </row>
    <row r="69" ht="15.75" customHeight="1">
      <c r="A69" s="1"/>
      <c r="B69" s="18">
        <v>624.0</v>
      </c>
      <c r="C69" s="19" t="s">
        <v>17</v>
      </c>
      <c r="D69" s="20"/>
      <c r="E69" s="20"/>
      <c r="F69" s="20"/>
      <c r="G69" s="20"/>
      <c r="H69" s="20"/>
      <c r="I69" s="20"/>
      <c r="J69" s="20"/>
      <c r="K69" s="22">
        <f>SUM(J70)</f>
        <v>120000</v>
      </c>
      <c r="L69" s="4"/>
      <c r="M69" s="4"/>
      <c r="N69" s="4"/>
    </row>
    <row r="70" ht="15.75" customHeight="1">
      <c r="A70" s="23"/>
      <c r="B70" s="9"/>
      <c r="C70" s="24" t="s">
        <v>78</v>
      </c>
      <c r="D70" s="25">
        <v>120000.0</v>
      </c>
      <c r="E70" s="25">
        <v>120000.0</v>
      </c>
      <c r="F70" s="20"/>
      <c r="G70" s="20"/>
      <c r="H70" s="20"/>
      <c r="I70" s="20"/>
      <c r="J70" s="20">
        <f>SUM(E70:I70)</f>
        <v>120000</v>
      </c>
      <c r="K70" s="22"/>
      <c r="L70" s="4"/>
      <c r="M70" s="4"/>
      <c r="N70" s="4"/>
    </row>
    <row r="71" ht="15.75" customHeight="1">
      <c r="A71" s="1"/>
      <c r="B71" s="18">
        <v>635.0</v>
      </c>
      <c r="C71" s="19" t="s">
        <v>79</v>
      </c>
      <c r="D71" s="20"/>
      <c r="E71" s="20"/>
      <c r="F71" s="20"/>
      <c r="G71" s="20"/>
      <c r="H71" s="20"/>
      <c r="I71" s="20"/>
      <c r="J71" s="20"/>
      <c r="K71" s="22">
        <f>SUM(J72:J75)</f>
        <v>380000</v>
      </c>
      <c r="L71" s="4"/>
      <c r="M71" s="4"/>
      <c r="N71" s="4"/>
    </row>
    <row r="72" ht="15.75" customHeight="1">
      <c r="A72" s="23"/>
      <c r="B72" s="9"/>
      <c r="C72" s="4" t="s">
        <v>81</v>
      </c>
      <c r="D72" s="25">
        <v>50000.0</v>
      </c>
      <c r="E72" s="25">
        <v>35000.0</v>
      </c>
      <c r="F72" s="25">
        <v>15000.0</v>
      </c>
      <c r="G72" s="20"/>
      <c r="H72" s="20"/>
      <c r="I72" s="20"/>
      <c r="J72" s="20">
        <f t="shared" ref="J72:J75" si="11">SUM(E72:I72)</f>
        <v>50000</v>
      </c>
      <c r="K72" s="22"/>
      <c r="L72" s="4"/>
      <c r="M72" s="4"/>
      <c r="N72" s="4"/>
    </row>
    <row r="73" ht="15.75" customHeight="1">
      <c r="A73" s="23"/>
      <c r="B73" s="9"/>
      <c r="C73" s="4" t="s">
        <v>82</v>
      </c>
      <c r="D73" s="25">
        <v>130000.0</v>
      </c>
      <c r="E73" s="66">
        <v>30000.0</v>
      </c>
      <c r="F73" s="25">
        <v>100000.0</v>
      </c>
      <c r="G73" s="20"/>
      <c r="H73" s="20"/>
      <c r="I73" s="20"/>
      <c r="J73" s="20">
        <f t="shared" si="11"/>
        <v>130000</v>
      </c>
      <c r="K73" s="22"/>
      <c r="L73" s="4"/>
      <c r="M73" s="4"/>
      <c r="N73" s="4"/>
    </row>
    <row r="74" ht="15.75" customHeight="1">
      <c r="A74" s="23"/>
      <c r="B74" s="4"/>
      <c r="C74" s="4" t="s">
        <v>83</v>
      </c>
      <c r="D74" s="25">
        <v>150000.0</v>
      </c>
      <c r="E74" s="33"/>
      <c r="F74" s="25">
        <v>150000.0</v>
      </c>
      <c r="G74" s="20"/>
      <c r="H74" s="20"/>
      <c r="I74" s="20"/>
      <c r="J74" s="20">
        <f t="shared" si="11"/>
        <v>150000</v>
      </c>
      <c r="K74" s="22"/>
      <c r="L74" s="4"/>
      <c r="M74" s="4"/>
      <c r="N74" s="4"/>
    </row>
    <row r="75" ht="15.75" customHeight="1">
      <c r="A75" s="23"/>
      <c r="B75" s="9"/>
      <c r="C75" s="4" t="s">
        <v>84</v>
      </c>
      <c r="D75" s="25">
        <v>50000.0</v>
      </c>
      <c r="E75" s="25">
        <v>50000.0</v>
      </c>
      <c r="F75" s="20"/>
      <c r="G75" s="20"/>
      <c r="H75" s="20"/>
      <c r="I75" s="20"/>
      <c r="J75" s="20">
        <f t="shared" si="11"/>
        <v>50000</v>
      </c>
      <c r="K75" s="22"/>
      <c r="L75" s="4"/>
      <c r="M75" s="4"/>
      <c r="N75" s="4"/>
    </row>
    <row r="76" ht="15.75" customHeight="1">
      <c r="A76" s="8"/>
      <c r="B76" s="9"/>
      <c r="C76" s="37" t="s">
        <v>85</v>
      </c>
      <c r="D76" s="36">
        <f t="shared" ref="D76:J76" si="12">SUM(D48:D75)</f>
        <v>10187063.16</v>
      </c>
      <c r="E76" s="36">
        <f t="shared" si="12"/>
        <v>8264106.102</v>
      </c>
      <c r="F76" s="36">
        <f t="shared" si="12"/>
        <v>1815988.11</v>
      </c>
      <c r="G76" s="36">
        <f t="shared" si="12"/>
        <v>0</v>
      </c>
      <c r="H76" s="36">
        <f t="shared" si="12"/>
        <v>0</v>
      </c>
      <c r="I76" s="36">
        <f t="shared" si="12"/>
        <v>106968.948</v>
      </c>
      <c r="J76" s="36">
        <f t="shared" si="12"/>
        <v>10187063.16</v>
      </c>
      <c r="K76" s="22"/>
      <c r="L76" s="4"/>
      <c r="M76" s="4"/>
      <c r="N76" s="4"/>
    </row>
    <row r="77" ht="15.75" customHeight="1">
      <c r="A77" s="8"/>
      <c r="B77" s="9"/>
      <c r="C77" s="4"/>
      <c r="D77" s="20"/>
      <c r="E77" s="20"/>
      <c r="F77" s="20"/>
      <c r="G77" s="20"/>
      <c r="H77" s="20"/>
      <c r="I77" s="20"/>
      <c r="J77" s="20"/>
      <c r="K77" s="22"/>
      <c r="L77" s="4"/>
      <c r="M77" s="4"/>
      <c r="N77" s="4"/>
    </row>
    <row r="78" ht="15.75" customHeight="1">
      <c r="A78" s="1"/>
      <c r="B78" s="18">
        <v>1600.0</v>
      </c>
      <c r="C78" s="19" t="s">
        <v>86</v>
      </c>
      <c r="D78" s="20"/>
      <c r="E78" s="20"/>
      <c r="F78" s="20"/>
      <c r="G78" s="20"/>
      <c r="H78" s="20"/>
      <c r="I78" s="20"/>
      <c r="J78" s="20"/>
      <c r="K78" s="22"/>
      <c r="L78" s="4"/>
      <c r="M78" s="4"/>
      <c r="N78" s="4"/>
    </row>
    <row r="79" ht="15.75" customHeight="1">
      <c r="A79" s="1"/>
      <c r="B79" s="18">
        <v>619.0</v>
      </c>
      <c r="C79" s="19" t="s">
        <v>20</v>
      </c>
      <c r="D79" s="20"/>
      <c r="E79" s="20"/>
      <c r="F79" s="20"/>
      <c r="G79" s="20"/>
      <c r="H79" s="20"/>
      <c r="I79" s="20"/>
      <c r="J79" s="20"/>
      <c r="K79" s="22">
        <f>SUM(J80:J82)</f>
        <v>140000</v>
      </c>
      <c r="L79" s="4"/>
      <c r="M79" s="4"/>
      <c r="N79" s="4"/>
    </row>
    <row r="80" ht="15.75" customHeight="1">
      <c r="A80" s="23"/>
      <c r="B80" s="9"/>
      <c r="C80" s="4" t="s">
        <v>87</v>
      </c>
      <c r="D80" s="25">
        <v>60000.0</v>
      </c>
      <c r="E80" s="25">
        <v>60000.0</v>
      </c>
      <c r="F80" s="20"/>
      <c r="G80" s="20"/>
      <c r="H80" s="20"/>
      <c r="I80" s="20"/>
      <c r="J80" s="20">
        <f t="shared" ref="J80:J82" si="13">SUM(E80:H80)</f>
        <v>60000</v>
      </c>
      <c r="K80" s="22"/>
      <c r="L80" s="4"/>
      <c r="M80" s="4"/>
      <c r="N80" s="4"/>
    </row>
    <row r="81" ht="15.75" customHeight="1">
      <c r="A81" s="23"/>
      <c r="B81" s="9"/>
      <c r="C81" s="4" t="s">
        <v>88</v>
      </c>
      <c r="D81" s="25">
        <v>40000.0</v>
      </c>
      <c r="E81" s="25">
        <v>40000.0</v>
      </c>
      <c r="F81" s="20"/>
      <c r="G81" s="20"/>
      <c r="H81" s="20"/>
      <c r="I81" s="20"/>
      <c r="J81" s="20">
        <f t="shared" si="13"/>
        <v>40000</v>
      </c>
      <c r="K81" s="22"/>
      <c r="L81" s="4"/>
      <c r="M81" s="4"/>
      <c r="N81" s="4"/>
    </row>
    <row r="82" ht="15.75" customHeight="1">
      <c r="A82" s="23"/>
      <c r="B82" s="9"/>
      <c r="C82" s="4" t="s">
        <v>89</v>
      </c>
      <c r="D82" s="73">
        <v>40000.0</v>
      </c>
      <c r="E82" s="73">
        <v>40000.0</v>
      </c>
      <c r="F82" s="20"/>
      <c r="G82" s="20"/>
      <c r="H82" s="20"/>
      <c r="I82" s="20"/>
      <c r="J82" s="20">
        <f t="shared" si="13"/>
        <v>40000</v>
      </c>
      <c r="K82" s="22"/>
      <c r="L82" s="4"/>
      <c r="M82" s="4"/>
      <c r="N82" s="4"/>
    </row>
    <row r="83" ht="15.75" customHeight="1">
      <c r="A83" s="43"/>
      <c r="B83" s="37">
        <v>629.0</v>
      </c>
      <c r="C83" s="21" t="s">
        <v>90</v>
      </c>
      <c r="D83" s="74"/>
      <c r="E83" s="74"/>
      <c r="F83" s="20"/>
      <c r="G83" s="20"/>
      <c r="H83" s="20"/>
      <c r="I83" s="20"/>
      <c r="J83" s="20"/>
      <c r="K83" s="22">
        <f>SUM(J84)</f>
        <v>18200</v>
      </c>
      <c r="L83" s="4"/>
      <c r="M83" s="4"/>
      <c r="N83" s="4"/>
    </row>
    <row r="84" ht="15.75" customHeight="1">
      <c r="A84" s="23"/>
      <c r="B84" s="9"/>
      <c r="C84" s="4" t="s">
        <v>91</v>
      </c>
      <c r="D84" s="73">
        <v>18200.0</v>
      </c>
      <c r="E84" s="73">
        <v>18200.0</v>
      </c>
      <c r="F84" s="20"/>
      <c r="G84" s="20"/>
      <c r="H84" s="20"/>
      <c r="I84" s="20"/>
      <c r="J84" s="20">
        <f>SUM(E84:H84)</f>
        <v>18200</v>
      </c>
      <c r="K84" s="22"/>
      <c r="L84" s="4"/>
      <c r="M84" s="4"/>
      <c r="N84" s="4"/>
    </row>
    <row r="85" ht="15.75" customHeight="1">
      <c r="A85" s="8"/>
      <c r="B85" s="9"/>
      <c r="C85" s="37" t="s">
        <v>92</v>
      </c>
      <c r="D85" s="36">
        <f t="shared" ref="D85:J85" si="14">SUM(D80:D84)</f>
        <v>158200</v>
      </c>
      <c r="E85" s="36">
        <f t="shared" si="14"/>
        <v>158200</v>
      </c>
      <c r="F85" s="36">
        <f t="shared" si="14"/>
        <v>0</v>
      </c>
      <c r="G85" s="36">
        <f t="shared" si="14"/>
        <v>0</v>
      </c>
      <c r="H85" s="36">
        <f t="shared" si="14"/>
        <v>0</v>
      </c>
      <c r="I85" s="36">
        <f t="shared" si="14"/>
        <v>0</v>
      </c>
      <c r="J85" s="36">
        <f t="shared" si="14"/>
        <v>158200</v>
      </c>
      <c r="K85" s="22"/>
      <c r="L85" s="4"/>
      <c r="M85" s="4"/>
      <c r="N85" s="4"/>
    </row>
    <row r="86" ht="15.75" customHeight="1">
      <c r="A86" s="8"/>
      <c r="B86" s="9"/>
      <c r="C86" s="4"/>
      <c r="D86" s="20"/>
      <c r="E86" s="20"/>
      <c r="F86" s="20"/>
      <c r="G86" s="20"/>
      <c r="H86" s="20"/>
      <c r="I86" s="20"/>
      <c r="J86" s="20"/>
      <c r="K86" s="22"/>
      <c r="L86" s="4"/>
      <c r="M86" s="4"/>
      <c r="N86" s="4"/>
    </row>
    <row r="87" ht="15.75" customHeight="1">
      <c r="A87" s="1"/>
      <c r="B87" s="18">
        <v>1610.0</v>
      </c>
      <c r="C87" s="19" t="s">
        <v>93</v>
      </c>
      <c r="D87" s="20"/>
      <c r="E87" s="20"/>
      <c r="F87" s="20"/>
      <c r="G87" s="20"/>
      <c r="H87" s="20"/>
      <c r="I87" s="20"/>
      <c r="J87" s="20"/>
      <c r="K87" s="22"/>
      <c r="L87" s="4"/>
      <c r="M87" s="4"/>
      <c r="N87" s="4"/>
    </row>
    <row r="88" ht="15.75" customHeight="1">
      <c r="A88" s="1"/>
      <c r="B88" s="18">
        <v>619.0</v>
      </c>
      <c r="C88" s="19" t="s">
        <v>20</v>
      </c>
      <c r="D88" s="20"/>
      <c r="E88" s="20"/>
      <c r="F88" s="20"/>
      <c r="G88" s="20"/>
      <c r="H88" s="20"/>
      <c r="I88" s="20"/>
      <c r="J88" s="20"/>
      <c r="K88" s="22">
        <f>SUM(J89:J95)</f>
        <v>278600</v>
      </c>
      <c r="L88" s="4"/>
      <c r="M88" s="4"/>
      <c r="N88" s="4"/>
    </row>
    <row r="89" ht="15.75" customHeight="1">
      <c r="A89" s="23"/>
      <c r="B89" s="9"/>
      <c r="C89" s="24" t="s">
        <v>95</v>
      </c>
      <c r="D89" s="25">
        <v>120000.0</v>
      </c>
      <c r="E89" s="25">
        <v>120000.0</v>
      </c>
      <c r="F89" s="20"/>
      <c r="G89" s="20"/>
      <c r="H89" s="20"/>
      <c r="I89" s="20"/>
      <c r="J89" s="20">
        <f t="shared" ref="J89:J93" si="15">SUM(E89:H89)</f>
        <v>120000</v>
      </c>
      <c r="K89" s="22"/>
      <c r="L89" s="4"/>
      <c r="M89" s="4"/>
      <c r="N89" s="4"/>
    </row>
    <row r="90" ht="15.75" customHeight="1">
      <c r="A90" s="23"/>
      <c r="B90" s="9"/>
      <c r="C90" s="24" t="s">
        <v>97</v>
      </c>
      <c r="D90" s="73">
        <v>41000.0</v>
      </c>
      <c r="E90" s="73">
        <v>41000.0</v>
      </c>
      <c r="F90" s="20"/>
      <c r="G90" s="20"/>
      <c r="H90" s="20"/>
      <c r="I90" s="20"/>
      <c r="J90" s="20">
        <f t="shared" si="15"/>
        <v>41000</v>
      </c>
      <c r="K90" s="22"/>
      <c r="L90" s="4"/>
      <c r="M90" s="4"/>
      <c r="N90" s="4"/>
    </row>
    <row r="91" ht="15.75" customHeight="1">
      <c r="A91" s="23"/>
      <c r="B91" s="9"/>
      <c r="C91" s="4" t="s">
        <v>98</v>
      </c>
      <c r="D91" s="73">
        <v>48400.0</v>
      </c>
      <c r="E91" s="73">
        <v>48400.0</v>
      </c>
      <c r="F91" s="20"/>
      <c r="G91" s="20"/>
      <c r="H91" s="20"/>
      <c r="I91" s="20"/>
      <c r="J91" s="20">
        <f t="shared" si="15"/>
        <v>48400</v>
      </c>
      <c r="K91" s="22"/>
      <c r="L91" s="4"/>
      <c r="M91" s="4"/>
      <c r="N91" s="4"/>
    </row>
    <row r="92" ht="15.75" customHeight="1">
      <c r="A92" s="23"/>
      <c r="B92" s="9"/>
      <c r="C92" s="24" t="s">
        <v>99</v>
      </c>
      <c r="D92" s="73">
        <v>18200.0</v>
      </c>
      <c r="E92" s="73">
        <v>18200.0</v>
      </c>
      <c r="F92" s="20"/>
      <c r="G92" s="20"/>
      <c r="H92" s="20"/>
      <c r="I92" s="20"/>
      <c r="J92" s="20">
        <f t="shared" si="15"/>
        <v>18200</v>
      </c>
      <c r="K92" s="22"/>
      <c r="L92" s="4"/>
      <c r="M92" s="4"/>
      <c r="N92" s="4"/>
    </row>
    <row r="93" ht="15.75" customHeight="1">
      <c r="A93" s="23"/>
      <c r="B93" s="9"/>
      <c r="C93" s="24" t="s">
        <v>100</v>
      </c>
      <c r="D93" s="25">
        <v>18000.0</v>
      </c>
      <c r="E93" s="25">
        <v>18000.0</v>
      </c>
      <c r="F93" s="33"/>
      <c r="G93" s="20"/>
      <c r="H93" s="20"/>
      <c r="I93" s="20"/>
      <c r="J93" s="20">
        <f t="shared" si="15"/>
        <v>18000</v>
      </c>
      <c r="K93" s="22"/>
      <c r="L93" s="4"/>
      <c r="M93" s="4"/>
      <c r="N93" s="4"/>
    </row>
    <row r="94" ht="15.75" customHeight="1">
      <c r="A94" s="23"/>
      <c r="B94" s="9"/>
      <c r="C94" s="24" t="s">
        <v>101</v>
      </c>
      <c r="D94" s="25">
        <v>30000.0</v>
      </c>
      <c r="E94" s="25">
        <v>30000.0</v>
      </c>
      <c r="F94" s="33"/>
      <c r="G94" s="20"/>
      <c r="H94" s="20"/>
      <c r="I94" s="20"/>
      <c r="J94" s="25">
        <v>30000.0</v>
      </c>
      <c r="K94" s="22"/>
      <c r="L94" s="4"/>
      <c r="M94" s="4"/>
      <c r="N94" s="4"/>
    </row>
    <row r="95" ht="15.75" customHeight="1">
      <c r="A95" s="23"/>
      <c r="B95" s="9"/>
      <c r="C95" s="24" t="s">
        <v>102</v>
      </c>
      <c r="D95" s="25">
        <v>3000.0</v>
      </c>
      <c r="E95" s="25">
        <v>3000.0</v>
      </c>
      <c r="F95" s="33"/>
      <c r="G95" s="20"/>
      <c r="H95" s="20"/>
      <c r="I95" s="20"/>
      <c r="J95" s="20">
        <f>SUM(E95:H95)</f>
        <v>3000</v>
      </c>
      <c r="K95" s="22"/>
      <c r="L95" s="4"/>
      <c r="M95" s="4"/>
      <c r="N95" s="4"/>
    </row>
    <row r="96" ht="15.75" customHeight="1">
      <c r="A96" s="23"/>
      <c r="B96" s="39">
        <v>623.0</v>
      </c>
      <c r="C96" s="40" t="s">
        <v>94</v>
      </c>
      <c r="D96" s="20"/>
      <c r="E96" s="20"/>
      <c r="F96" s="33"/>
      <c r="G96" s="20"/>
      <c r="H96" s="20"/>
      <c r="I96" s="20"/>
      <c r="J96" s="20"/>
      <c r="K96" s="22">
        <f>SUM(J97:J99)</f>
        <v>86500</v>
      </c>
      <c r="L96" s="4"/>
      <c r="M96" s="4"/>
      <c r="N96" s="4"/>
    </row>
    <row r="97" ht="15.75" customHeight="1">
      <c r="A97" s="23"/>
      <c r="B97" s="9"/>
      <c r="C97" s="24" t="s">
        <v>103</v>
      </c>
      <c r="D97" s="25">
        <v>2000.0</v>
      </c>
      <c r="E97" s="25">
        <v>2000.0</v>
      </c>
      <c r="F97" s="33"/>
      <c r="G97" s="20"/>
      <c r="H97" s="20"/>
      <c r="I97" s="20"/>
      <c r="J97" s="20">
        <f t="shared" ref="J97:J99" si="16">SUM(E97:H97)</f>
        <v>2000</v>
      </c>
      <c r="K97" s="22"/>
      <c r="L97" s="4"/>
      <c r="M97" s="4"/>
      <c r="N97" s="4"/>
    </row>
    <row r="98" ht="15.75" customHeight="1">
      <c r="A98" s="23"/>
      <c r="B98" s="9"/>
      <c r="C98" s="24" t="s">
        <v>104</v>
      </c>
      <c r="D98" s="25">
        <v>80000.0</v>
      </c>
      <c r="E98" s="25">
        <v>80000.0</v>
      </c>
      <c r="F98" s="33"/>
      <c r="G98" s="20"/>
      <c r="H98" s="20"/>
      <c r="I98" s="20"/>
      <c r="J98" s="20">
        <f t="shared" si="16"/>
        <v>80000</v>
      </c>
      <c r="K98" s="22"/>
      <c r="L98" s="4"/>
      <c r="M98" s="4"/>
      <c r="N98" s="4"/>
    </row>
    <row r="99" ht="15.75" customHeight="1">
      <c r="A99" s="23"/>
      <c r="B99" s="9"/>
      <c r="C99" s="24" t="s">
        <v>105</v>
      </c>
      <c r="D99" s="25">
        <v>4500.0</v>
      </c>
      <c r="E99" s="25">
        <v>4500.0</v>
      </c>
      <c r="F99" s="33"/>
      <c r="G99" s="20"/>
      <c r="H99" s="20"/>
      <c r="I99" s="20"/>
      <c r="J99" s="20">
        <f t="shared" si="16"/>
        <v>4500</v>
      </c>
      <c r="K99" s="22"/>
      <c r="L99" s="4"/>
      <c r="M99" s="4"/>
      <c r="N99" s="4"/>
    </row>
    <row r="100" ht="15.75" customHeight="1">
      <c r="A100" s="23"/>
      <c r="B100" s="39">
        <v>624.0</v>
      </c>
      <c r="C100" s="40" t="s">
        <v>17</v>
      </c>
      <c r="D100" s="20"/>
      <c r="E100" s="20"/>
      <c r="F100" s="20"/>
      <c r="G100" s="20"/>
      <c r="H100" s="20"/>
      <c r="I100" s="20"/>
      <c r="J100" s="20"/>
      <c r="K100" s="22">
        <f>SUM(J101)</f>
        <v>5000</v>
      </c>
      <c r="L100" s="4"/>
      <c r="M100" s="4"/>
      <c r="N100" s="4"/>
    </row>
    <row r="101" ht="15.75" customHeight="1">
      <c r="A101" s="23"/>
      <c r="B101" s="9"/>
      <c r="C101" s="24" t="s">
        <v>106</v>
      </c>
      <c r="D101" s="25">
        <v>5000.0</v>
      </c>
      <c r="E101" s="25">
        <v>5000.0</v>
      </c>
      <c r="F101" s="20"/>
      <c r="G101" s="20"/>
      <c r="H101" s="20"/>
      <c r="I101" s="20"/>
      <c r="J101" s="20">
        <f>SUM(E101:H101)</f>
        <v>5000</v>
      </c>
      <c r="K101" s="22"/>
      <c r="L101" s="4"/>
      <c r="M101" s="4"/>
      <c r="N101" s="4"/>
    </row>
    <row r="102" ht="15.75" customHeight="1">
      <c r="A102" s="8"/>
      <c r="B102" s="9"/>
      <c r="C102" s="37" t="s">
        <v>107</v>
      </c>
      <c r="D102" s="36">
        <f t="shared" ref="D102:J102" si="17">SUM(D89:D101)</f>
        <v>370100</v>
      </c>
      <c r="E102" s="36">
        <f t="shared" si="17"/>
        <v>370100</v>
      </c>
      <c r="F102" s="36">
        <f t="shared" si="17"/>
        <v>0</v>
      </c>
      <c r="G102" s="36">
        <f t="shared" si="17"/>
        <v>0</v>
      </c>
      <c r="H102" s="36">
        <f t="shared" si="17"/>
        <v>0</v>
      </c>
      <c r="I102" s="36">
        <f t="shared" si="17"/>
        <v>0</v>
      </c>
      <c r="J102" s="36">
        <f t="shared" si="17"/>
        <v>370100</v>
      </c>
      <c r="K102" s="22"/>
      <c r="L102" s="4"/>
      <c r="M102" s="4"/>
      <c r="N102" s="4"/>
    </row>
    <row r="103" ht="15.75" customHeight="1">
      <c r="A103" s="8"/>
      <c r="B103" s="4"/>
      <c r="C103" s="4"/>
      <c r="D103" s="20"/>
      <c r="E103" s="20"/>
      <c r="F103" s="20"/>
      <c r="G103" s="20"/>
      <c r="H103" s="20"/>
      <c r="I103" s="20"/>
      <c r="J103" s="20"/>
      <c r="K103" s="22"/>
      <c r="L103" s="4"/>
      <c r="M103" s="4"/>
      <c r="N103" s="4"/>
    </row>
    <row r="104" ht="15.75" customHeight="1">
      <c r="A104" s="8"/>
      <c r="B104" s="40">
        <v>1621.0</v>
      </c>
      <c r="C104" s="40" t="s">
        <v>108</v>
      </c>
      <c r="D104" s="20"/>
      <c r="E104" s="20"/>
      <c r="F104" s="20"/>
      <c r="G104" s="20"/>
      <c r="H104" s="20"/>
      <c r="I104" s="20"/>
      <c r="J104" s="20"/>
      <c r="K104" s="22"/>
      <c r="L104" s="4"/>
      <c r="M104" s="4"/>
      <c r="N104" s="4"/>
    </row>
    <row r="105" ht="15.75" customHeight="1">
      <c r="A105" s="8"/>
      <c r="B105" s="40">
        <v>619.0</v>
      </c>
      <c r="C105" s="19" t="s">
        <v>20</v>
      </c>
      <c r="D105" s="20"/>
      <c r="E105" s="20"/>
      <c r="F105" s="20"/>
      <c r="G105" s="20"/>
      <c r="H105" s="20"/>
      <c r="I105" s="20"/>
      <c r="J105" s="20"/>
      <c r="K105" s="22">
        <f>SUM(J106)</f>
        <v>10</v>
      </c>
      <c r="L105" s="4"/>
      <c r="M105" s="4"/>
      <c r="N105" s="4"/>
    </row>
    <row r="106" ht="15.75" customHeight="1">
      <c r="A106" s="23"/>
      <c r="B106" s="4"/>
      <c r="C106" s="24" t="s">
        <v>109</v>
      </c>
      <c r="D106" s="25">
        <v>10.0</v>
      </c>
      <c r="E106" s="25">
        <v>10.0</v>
      </c>
      <c r="F106" s="20"/>
      <c r="G106" s="20"/>
      <c r="H106" s="20"/>
      <c r="I106" s="20"/>
      <c r="J106" s="20">
        <f>SUM(E106:H106)</f>
        <v>10</v>
      </c>
      <c r="K106" s="22"/>
      <c r="L106" s="4"/>
      <c r="M106" s="4"/>
      <c r="N106" s="4"/>
    </row>
    <row r="107" ht="15.75" customHeight="1">
      <c r="A107" s="8"/>
      <c r="B107" s="9"/>
      <c r="C107" s="77" t="s">
        <v>110</v>
      </c>
      <c r="D107" s="36">
        <f t="shared" ref="D107:J107" si="18">SUM(D106)</f>
        <v>10</v>
      </c>
      <c r="E107" s="36">
        <f t="shared" si="18"/>
        <v>10</v>
      </c>
      <c r="F107" s="36">
        <f t="shared" si="18"/>
        <v>0</v>
      </c>
      <c r="G107" s="36">
        <f t="shared" si="18"/>
        <v>0</v>
      </c>
      <c r="H107" s="36">
        <f t="shared" si="18"/>
        <v>0</v>
      </c>
      <c r="I107" s="36">
        <f t="shared" si="18"/>
        <v>0</v>
      </c>
      <c r="J107" s="36">
        <f t="shared" si="18"/>
        <v>10</v>
      </c>
      <c r="K107" s="22"/>
      <c r="L107" s="4"/>
      <c r="M107" s="4"/>
      <c r="N107" s="4"/>
    </row>
    <row r="108" ht="15.75" customHeight="1">
      <c r="A108" s="8"/>
      <c r="B108" s="4"/>
      <c r="C108" s="4"/>
      <c r="D108" s="20"/>
      <c r="E108" s="20"/>
      <c r="F108" s="20"/>
      <c r="G108" s="20"/>
      <c r="H108" s="20"/>
      <c r="I108" s="20"/>
      <c r="J108" s="20"/>
      <c r="K108" s="22"/>
      <c r="L108" s="4"/>
      <c r="M108" s="4"/>
      <c r="N108" s="4"/>
    </row>
    <row r="109" ht="15.75" customHeight="1">
      <c r="A109" s="1"/>
      <c r="B109" s="19">
        <v>1623.0</v>
      </c>
      <c r="C109" s="19" t="s">
        <v>111</v>
      </c>
      <c r="D109" s="20"/>
      <c r="E109" s="20"/>
      <c r="F109" s="20"/>
      <c r="G109" s="20"/>
      <c r="H109" s="20"/>
      <c r="I109" s="20"/>
      <c r="J109" s="20"/>
      <c r="K109" s="22"/>
      <c r="L109" s="4"/>
      <c r="M109" s="4"/>
      <c r="N109" s="4"/>
    </row>
    <row r="110" ht="15.75" customHeight="1">
      <c r="A110" s="1"/>
      <c r="B110" s="19">
        <v>619.0</v>
      </c>
      <c r="C110" s="19" t="s">
        <v>20</v>
      </c>
      <c r="D110" s="20"/>
      <c r="E110" s="20"/>
      <c r="F110" s="20"/>
      <c r="G110" s="20"/>
      <c r="H110" s="20"/>
      <c r="I110" s="20"/>
      <c r="J110" s="20"/>
      <c r="K110" s="22">
        <f>SUM(J111)</f>
        <v>250000</v>
      </c>
      <c r="L110" s="4"/>
      <c r="M110" s="4"/>
      <c r="N110" s="4"/>
    </row>
    <row r="111" ht="15.75" customHeight="1">
      <c r="A111" s="23"/>
      <c r="B111" s="4"/>
      <c r="C111" s="24" t="s">
        <v>112</v>
      </c>
      <c r="D111" s="25">
        <v>250000.0</v>
      </c>
      <c r="E111" s="73">
        <v>250000.0</v>
      </c>
      <c r="F111" s="20"/>
      <c r="G111" s="20"/>
      <c r="H111" s="20"/>
      <c r="I111" s="20"/>
      <c r="J111" s="20">
        <f>SUM(E111:H111)</f>
        <v>250000</v>
      </c>
      <c r="K111" s="22"/>
      <c r="L111" s="4"/>
      <c r="M111" s="4"/>
      <c r="N111" s="4"/>
    </row>
    <row r="112" ht="15.75" customHeight="1">
      <c r="A112" s="8"/>
      <c r="B112" s="9"/>
      <c r="C112" s="37" t="s">
        <v>113</v>
      </c>
      <c r="D112" s="36">
        <f t="shared" ref="D112:J112" si="19">SUM(D111)</f>
        <v>250000</v>
      </c>
      <c r="E112" s="36">
        <f t="shared" si="19"/>
        <v>250000</v>
      </c>
      <c r="F112" s="36">
        <f t="shared" si="19"/>
        <v>0</v>
      </c>
      <c r="G112" s="36">
        <f t="shared" si="19"/>
        <v>0</v>
      </c>
      <c r="H112" s="36">
        <f t="shared" si="19"/>
        <v>0</v>
      </c>
      <c r="I112" s="36">
        <f t="shared" si="19"/>
        <v>0</v>
      </c>
      <c r="J112" s="36">
        <f t="shared" si="19"/>
        <v>250000</v>
      </c>
      <c r="K112" s="22"/>
      <c r="L112" s="4"/>
      <c r="M112" s="4"/>
      <c r="N112" s="4"/>
    </row>
    <row r="113" ht="15.75" customHeight="1">
      <c r="A113" s="8"/>
      <c r="B113" s="9"/>
      <c r="C113" s="4"/>
      <c r="D113" s="41"/>
      <c r="E113" s="20"/>
      <c r="F113" s="20"/>
      <c r="G113" s="20"/>
      <c r="H113" s="20"/>
      <c r="I113" s="20"/>
      <c r="J113" s="20"/>
      <c r="K113" s="22"/>
      <c r="L113" s="4"/>
      <c r="M113" s="4"/>
      <c r="N113" s="4"/>
    </row>
    <row r="114" ht="15.75" customHeight="1">
      <c r="A114" s="1"/>
      <c r="B114" s="18">
        <v>1640.0</v>
      </c>
      <c r="C114" s="19" t="s">
        <v>114</v>
      </c>
      <c r="D114" s="41"/>
      <c r="E114" s="20"/>
      <c r="F114" s="20"/>
      <c r="G114" s="20"/>
      <c r="H114" s="20"/>
      <c r="I114" s="20"/>
      <c r="J114" s="20"/>
      <c r="K114" s="22"/>
      <c r="L114" s="4"/>
      <c r="M114" s="4"/>
      <c r="N114" s="4"/>
    </row>
    <row r="115" ht="15.75" customHeight="1">
      <c r="A115" s="1"/>
      <c r="B115" s="18">
        <v>622.0</v>
      </c>
      <c r="C115" s="19" t="s">
        <v>11</v>
      </c>
      <c r="D115" s="20"/>
      <c r="E115" s="20"/>
      <c r="F115" s="20"/>
      <c r="G115" s="20"/>
      <c r="H115" s="20"/>
      <c r="I115" s="20"/>
      <c r="J115" s="20"/>
      <c r="K115" s="22">
        <f>SUM(J116:J119)</f>
        <v>385000</v>
      </c>
      <c r="L115" s="4"/>
      <c r="M115" s="4"/>
      <c r="N115" s="4"/>
    </row>
    <row r="116" ht="15.75" customHeight="1">
      <c r="A116" s="23"/>
      <c r="B116" s="9"/>
      <c r="C116" s="4" t="s">
        <v>115</v>
      </c>
      <c r="D116" s="25">
        <v>50000.0</v>
      </c>
      <c r="E116" s="25">
        <v>50000.0</v>
      </c>
      <c r="F116" s="20"/>
      <c r="G116" s="20"/>
      <c r="H116" s="20"/>
      <c r="I116" s="20"/>
      <c r="J116" s="20">
        <f t="shared" ref="J116:J117" si="20">SUM(E116:H116)</f>
        <v>50000</v>
      </c>
      <c r="K116" s="22"/>
      <c r="L116" s="4"/>
      <c r="M116" s="4"/>
      <c r="N116" s="4"/>
    </row>
    <row r="117" ht="15.75" customHeight="1">
      <c r="A117" s="23"/>
      <c r="B117" s="9"/>
      <c r="C117" s="24" t="s">
        <v>116</v>
      </c>
      <c r="D117" s="25">
        <v>255000.0</v>
      </c>
      <c r="E117" s="25">
        <v>255000.0</v>
      </c>
      <c r="F117" s="20"/>
      <c r="G117" s="20"/>
      <c r="H117" s="20"/>
      <c r="I117" s="20"/>
      <c r="J117" s="20">
        <f t="shared" si="20"/>
        <v>255000</v>
      </c>
      <c r="K117" s="22"/>
      <c r="L117" s="4"/>
      <c r="M117" s="4"/>
      <c r="N117" s="4"/>
    </row>
    <row r="118" ht="15.75" customHeight="1">
      <c r="A118" s="23"/>
      <c r="B118" s="9"/>
      <c r="C118" s="24" t="s">
        <v>117</v>
      </c>
      <c r="D118" s="25">
        <v>50000.0</v>
      </c>
      <c r="E118" s="25">
        <v>50000.0</v>
      </c>
      <c r="F118" s="20"/>
      <c r="G118" s="20"/>
      <c r="H118" s="20"/>
      <c r="I118" s="20"/>
      <c r="J118" s="25">
        <v>50000.0</v>
      </c>
      <c r="K118" s="22"/>
      <c r="L118" s="4"/>
      <c r="M118" s="4"/>
      <c r="N118" s="4"/>
    </row>
    <row r="119" ht="15.75" customHeight="1">
      <c r="A119" s="23"/>
      <c r="B119" s="9"/>
      <c r="C119" s="24" t="s">
        <v>118</v>
      </c>
      <c r="D119" s="25">
        <v>30000.0</v>
      </c>
      <c r="E119" s="25">
        <v>30000.0</v>
      </c>
      <c r="F119" s="20"/>
      <c r="G119" s="20"/>
      <c r="H119" s="20"/>
      <c r="I119" s="20"/>
      <c r="J119" s="20">
        <f>SUM(E119:H119)</f>
        <v>30000</v>
      </c>
      <c r="K119" s="22"/>
      <c r="L119" s="4"/>
      <c r="M119" s="4"/>
      <c r="N119" s="4"/>
    </row>
    <row r="120" ht="15.75" customHeight="1">
      <c r="A120" s="43"/>
      <c r="B120" s="37">
        <v>629.0</v>
      </c>
      <c r="C120" s="21" t="s">
        <v>90</v>
      </c>
      <c r="D120" s="20"/>
      <c r="E120" s="20"/>
      <c r="F120" s="20"/>
      <c r="G120" s="20"/>
      <c r="H120" s="20"/>
      <c r="I120" s="20"/>
      <c r="J120" s="20"/>
      <c r="K120" s="22">
        <f>SUM(J121)</f>
        <v>18200</v>
      </c>
      <c r="L120" s="4"/>
      <c r="M120" s="4"/>
      <c r="N120" s="4"/>
    </row>
    <row r="121" ht="15.75" customHeight="1">
      <c r="A121" s="23"/>
      <c r="B121" s="9"/>
      <c r="C121" s="24" t="s">
        <v>119</v>
      </c>
      <c r="D121" s="25">
        <v>18200.0</v>
      </c>
      <c r="E121" s="25">
        <v>18200.0</v>
      </c>
      <c r="F121" s="20"/>
      <c r="G121" s="20"/>
      <c r="H121" s="20"/>
      <c r="I121" s="20"/>
      <c r="J121" s="20">
        <f>SUM(E121:H121)</f>
        <v>18200</v>
      </c>
      <c r="K121" s="22"/>
      <c r="L121" s="4"/>
      <c r="M121" s="4"/>
      <c r="N121" s="4"/>
    </row>
    <row r="122" ht="15.75" customHeight="1">
      <c r="A122" s="8"/>
      <c r="B122" s="9"/>
      <c r="C122" s="37" t="s">
        <v>120</v>
      </c>
      <c r="D122" s="36">
        <f t="shared" ref="D122:J122" si="21">SUM(D116:D121)</f>
        <v>403200</v>
      </c>
      <c r="E122" s="36">
        <f t="shared" si="21"/>
        <v>403200</v>
      </c>
      <c r="F122" s="36">
        <f t="shared" si="21"/>
        <v>0</v>
      </c>
      <c r="G122" s="36">
        <f t="shared" si="21"/>
        <v>0</v>
      </c>
      <c r="H122" s="36">
        <f t="shared" si="21"/>
        <v>0</v>
      </c>
      <c r="I122" s="36">
        <f t="shared" si="21"/>
        <v>0</v>
      </c>
      <c r="J122" s="36">
        <f t="shared" si="21"/>
        <v>403200</v>
      </c>
      <c r="K122" s="22"/>
      <c r="L122" s="4"/>
      <c r="M122" s="4"/>
      <c r="N122" s="4"/>
    </row>
    <row r="123" ht="15.75" customHeight="1">
      <c r="A123" s="8"/>
      <c r="B123" s="9"/>
      <c r="C123" s="4"/>
      <c r="D123" s="74"/>
      <c r="E123" s="20"/>
      <c r="F123" s="20"/>
      <c r="G123" s="20"/>
      <c r="H123" s="20"/>
      <c r="I123" s="20"/>
      <c r="J123" s="20"/>
      <c r="K123" s="22"/>
      <c r="L123" s="4"/>
      <c r="M123" s="4"/>
      <c r="N123" s="4"/>
    </row>
    <row r="124" ht="15.75" customHeight="1">
      <c r="A124" s="1"/>
      <c r="B124" s="18">
        <v>1650.0</v>
      </c>
      <c r="C124" s="19" t="s">
        <v>121</v>
      </c>
      <c r="D124" s="74"/>
      <c r="E124" s="20"/>
      <c r="F124" s="20"/>
      <c r="G124" s="20"/>
      <c r="H124" s="20"/>
      <c r="I124" s="20"/>
      <c r="J124" s="20"/>
      <c r="K124" s="22"/>
      <c r="L124" s="4"/>
      <c r="M124" s="4"/>
      <c r="N124" s="4"/>
    </row>
    <row r="125" ht="15.75" customHeight="1">
      <c r="A125" s="1"/>
      <c r="B125" s="18">
        <v>619.0</v>
      </c>
      <c r="C125" s="19" t="s">
        <v>20</v>
      </c>
      <c r="D125" s="74"/>
      <c r="E125" s="74"/>
      <c r="F125" s="20"/>
      <c r="G125" s="20"/>
      <c r="H125" s="20"/>
      <c r="I125" s="20"/>
      <c r="J125" s="20"/>
      <c r="K125" s="22">
        <f>SUM(J126:J128)</f>
        <v>565000</v>
      </c>
      <c r="L125" s="4"/>
      <c r="M125" s="4"/>
      <c r="N125" s="4"/>
    </row>
    <row r="126" ht="15.75" customHeight="1">
      <c r="A126" s="23"/>
      <c r="B126" s="9"/>
      <c r="C126" s="24" t="s">
        <v>122</v>
      </c>
      <c r="D126" s="73">
        <v>40000.0</v>
      </c>
      <c r="E126" s="73">
        <v>40000.0</v>
      </c>
      <c r="F126" s="20"/>
      <c r="G126" s="20"/>
      <c r="H126" s="20"/>
      <c r="I126" s="20"/>
      <c r="J126" s="25">
        <v>40000.0</v>
      </c>
      <c r="K126" s="22"/>
      <c r="L126" s="4"/>
      <c r="M126" s="4"/>
      <c r="N126" s="4"/>
    </row>
    <row r="127" ht="15.75" customHeight="1">
      <c r="A127" s="23"/>
      <c r="B127" s="9"/>
      <c r="C127" s="24" t="s">
        <v>123</v>
      </c>
      <c r="D127" s="73">
        <v>25000.0</v>
      </c>
      <c r="E127" s="73">
        <v>25000.0</v>
      </c>
      <c r="F127" s="20"/>
      <c r="G127" s="20"/>
      <c r="H127" s="20"/>
      <c r="I127" s="20"/>
      <c r="J127" s="25">
        <v>25000.0</v>
      </c>
      <c r="K127" s="22"/>
      <c r="L127" s="4"/>
      <c r="M127" s="4"/>
      <c r="N127" s="4"/>
    </row>
    <row r="128" ht="15.75" customHeight="1">
      <c r="A128" s="23"/>
      <c r="B128" s="9"/>
      <c r="C128" s="4" t="s">
        <v>124</v>
      </c>
      <c r="D128" s="73">
        <v>500000.0</v>
      </c>
      <c r="E128" s="73">
        <v>218000.0</v>
      </c>
      <c r="F128" s="20"/>
      <c r="G128" s="20"/>
      <c r="H128" s="20"/>
      <c r="I128" s="25">
        <v>282000.0</v>
      </c>
      <c r="J128" s="20">
        <f>SUM(E128:I128)</f>
        <v>500000</v>
      </c>
      <c r="K128" s="22"/>
      <c r="L128" s="4"/>
      <c r="M128" s="4"/>
      <c r="N128" s="4"/>
    </row>
    <row r="129" ht="15.75" customHeight="1">
      <c r="A129" s="8"/>
      <c r="B129" s="9"/>
      <c r="C129" s="37" t="s">
        <v>125</v>
      </c>
      <c r="D129" s="36">
        <f t="shared" ref="D129:J129" si="22">SUM(D126:D128)</f>
        <v>565000</v>
      </c>
      <c r="E129" s="36">
        <f t="shared" si="22"/>
        <v>283000</v>
      </c>
      <c r="F129" s="36">
        <f t="shared" si="22"/>
        <v>0</v>
      </c>
      <c r="G129" s="36">
        <f t="shared" si="22"/>
        <v>0</v>
      </c>
      <c r="H129" s="36">
        <f t="shared" si="22"/>
        <v>0</v>
      </c>
      <c r="I129" s="36">
        <f t="shared" si="22"/>
        <v>282000</v>
      </c>
      <c r="J129" s="36">
        <f t="shared" si="22"/>
        <v>565000</v>
      </c>
      <c r="K129" s="22"/>
      <c r="L129" s="4"/>
      <c r="M129" s="4"/>
      <c r="N129" s="4"/>
    </row>
    <row r="130" ht="15.75" customHeight="1">
      <c r="A130" s="8"/>
      <c r="B130" s="9"/>
      <c r="C130" s="4"/>
      <c r="D130" s="20"/>
      <c r="E130" s="20"/>
      <c r="F130" s="20"/>
      <c r="G130" s="20"/>
      <c r="H130" s="20"/>
      <c r="I130" s="20"/>
      <c r="J130" s="20"/>
      <c r="K130" s="22"/>
      <c r="L130" s="4"/>
      <c r="M130" s="4"/>
      <c r="N130" s="4"/>
    </row>
    <row r="131" ht="15.75" customHeight="1">
      <c r="A131" s="1"/>
      <c r="B131" s="18">
        <v>1710.0</v>
      </c>
      <c r="C131" s="19" t="s">
        <v>126</v>
      </c>
      <c r="D131" s="20"/>
      <c r="E131" s="20"/>
      <c r="F131" s="20"/>
      <c r="G131" s="20"/>
      <c r="H131" s="20"/>
      <c r="I131" s="20"/>
      <c r="J131" s="20"/>
      <c r="K131" s="22"/>
      <c r="L131" s="4"/>
      <c r="M131" s="4"/>
      <c r="N131" s="4"/>
    </row>
    <row r="132" ht="15.75" customHeight="1">
      <c r="A132" s="43"/>
      <c r="B132" s="37" t="s">
        <v>127</v>
      </c>
      <c r="C132" s="19" t="s">
        <v>128</v>
      </c>
      <c r="D132" s="20"/>
      <c r="E132" s="20"/>
      <c r="F132" s="20"/>
      <c r="G132" s="20"/>
      <c r="H132" s="20"/>
      <c r="I132" s="20"/>
      <c r="J132" s="20"/>
      <c r="K132" s="22">
        <f>SUM(J133:J140)</f>
        <v>1175000</v>
      </c>
      <c r="L132" s="4"/>
      <c r="M132" s="4"/>
      <c r="N132" s="4"/>
    </row>
    <row r="133" ht="15.75" customHeight="1">
      <c r="A133" s="23"/>
      <c r="B133" s="9"/>
      <c r="C133" s="24" t="s">
        <v>129</v>
      </c>
      <c r="D133" s="25">
        <v>500000.0</v>
      </c>
      <c r="E133" s="25">
        <v>218000.0</v>
      </c>
      <c r="F133" s="20"/>
      <c r="G133" s="20"/>
      <c r="H133" s="20"/>
      <c r="I133" s="25">
        <v>282000.0</v>
      </c>
      <c r="J133" s="20">
        <f>SUM(E133:I133)</f>
        <v>500000</v>
      </c>
      <c r="K133" s="22"/>
      <c r="L133" s="4"/>
      <c r="M133" s="4"/>
      <c r="N133" s="4"/>
    </row>
    <row r="134" ht="15.75" customHeight="1">
      <c r="A134" s="78"/>
      <c r="B134" s="61"/>
      <c r="C134" s="24" t="s">
        <v>130</v>
      </c>
      <c r="D134" s="25">
        <v>60000.0</v>
      </c>
      <c r="E134" s="25">
        <v>60000.0</v>
      </c>
      <c r="F134" s="20"/>
      <c r="G134" s="20"/>
      <c r="H134" s="20"/>
      <c r="I134" s="20"/>
      <c r="J134" s="20">
        <f t="shared" ref="J134:J136" si="23">SUM(E134:H134)</f>
        <v>60000</v>
      </c>
      <c r="K134" s="22"/>
      <c r="L134" s="4"/>
      <c r="M134" s="4"/>
      <c r="N134" s="4"/>
    </row>
    <row r="135" ht="15.75" customHeight="1">
      <c r="A135" s="23"/>
      <c r="B135" s="9"/>
      <c r="C135" s="4" t="s">
        <v>131</v>
      </c>
      <c r="D135" s="20">
        <v>120000.0</v>
      </c>
      <c r="E135" s="20">
        <v>120000.0</v>
      </c>
      <c r="F135" s="20"/>
      <c r="G135" s="20"/>
      <c r="H135" s="20"/>
      <c r="I135" s="20"/>
      <c r="J135" s="20">
        <f t="shared" si="23"/>
        <v>120000</v>
      </c>
      <c r="K135" s="22"/>
      <c r="L135" s="4"/>
      <c r="M135" s="4"/>
      <c r="N135" s="4"/>
    </row>
    <row r="136" ht="15.75" customHeight="1">
      <c r="A136" s="23"/>
      <c r="B136" s="27"/>
      <c r="C136" s="4" t="s">
        <v>132</v>
      </c>
      <c r="D136" s="25">
        <v>80000.0</v>
      </c>
      <c r="E136" s="25">
        <v>80000.0</v>
      </c>
      <c r="F136" s="20"/>
      <c r="G136" s="20"/>
      <c r="H136" s="20"/>
      <c r="I136" s="20"/>
      <c r="J136" s="20">
        <f t="shared" si="23"/>
        <v>80000</v>
      </c>
      <c r="K136" s="22"/>
      <c r="L136" s="4"/>
      <c r="M136" s="4"/>
      <c r="N136" s="4"/>
    </row>
    <row r="137" ht="15.75" customHeight="1">
      <c r="A137" s="78"/>
      <c r="B137" s="61"/>
      <c r="C137" s="4" t="s">
        <v>133</v>
      </c>
      <c r="D137" s="25">
        <v>300000.0</v>
      </c>
      <c r="E137" s="25">
        <v>300000.0</v>
      </c>
      <c r="F137" s="20"/>
      <c r="G137" s="20"/>
      <c r="H137" s="20"/>
      <c r="I137" s="25"/>
      <c r="J137" s="20">
        <f>SUM(E137:I137)</f>
        <v>300000</v>
      </c>
      <c r="K137" s="22"/>
      <c r="L137" s="4"/>
      <c r="M137" s="4"/>
      <c r="N137" s="4"/>
    </row>
    <row r="138" ht="15.75" customHeight="1">
      <c r="A138" s="23"/>
      <c r="B138" s="27"/>
      <c r="C138" s="24" t="s">
        <v>134</v>
      </c>
      <c r="D138" s="79">
        <v>40000.0</v>
      </c>
      <c r="E138" s="79">
        <v>40000.0</v>
      </c>
      <c r="F138" s="20"/>
      <c r="G138" s="20"/>
      <c r="H138" s="20"/>
      <c r="I138" s="20"/>
      <c r="J138" s="20">
        <f t="shared" ref="J138:J140" si="24">SUM(E138:H138)</f>
        <v>40000</v>
      </c>
      <c r="K138" s="22"/>
      <c r="L138" s="4"/>
      <c r="M138" s="4"/>
      <c r="N138" s="4"/>
    </row>
    <row r="139" ht="15.75" customHeight="1">
      <c r="A139" s="23"/>
      <c r="B139" s="27"/>
      <c r="C139" s="24" t="s">
        <v>135</v>
      </c>
      <c r="D139" s="79">
        <v>40000.0</v>
      </c>
      <c r="E139" s="79">
        <v>40000.0</v>
      </c>
      <c r="F139" s="20"/>
      <c r="G139" s="20"/>
      <c r="H139" s="20"/>
      <c r="I139" s="20"/>
      <c r="J139" s="20">
        <f t="shared" si="24"/>
        <v>40000</v>
      </c>
      <c r="K139" s="22"/>
      <c r="L139" s="4"/>
      <c r="M139" s="4"/>
      <c r="N139" s="4"/>
    </row>
    <row r="140" ht="15.75" customHeight="1">
      <c r="A140" s="23"/>
      <c r="B140" s="9"/>
      <c r="C140" s="24" t="s">
        <v>136</v>
      </c>
      <c r="D140" s="79">
        <v>35000.0</v>
      </c>
      <c r="E140" s="79">
        <v>35000.0</v>
      </c>
      <c r="F140" s="20"/>
      <c r="G140" s="20"/>
      <c r="H140" s="20"/>
      <c r="I140" s="20"/>
      <c r="J140" s="20">
        <f t="shared" si="24"/>
        <v>35000</v>
      </c>
      <c r="K140" s="22"/>
      <c r="L140" s="4"/>
      <c r="M140" s="4"/>
      <c r="N140" s="4"/>
    </row>
    <row r="141" ht="15.75" customHeight="1">
      <c r="A141" s="1"/>
      <c r="B141" s="39">
        <v>627.0</v>
      </c>
      <c r="C141" s="40" t="s">
        <v>43</v>
      </c>
      <c r="D141" s="20"/>
      <c r="E141" s="20"/>
      <c r="F141" s="20"/>
      <c r="G141" s="20"/>
      <c r="H141" s="20"/>
      <c r="I141" s="20"/>
      <c r="J141" s="20"/>
      <c r="K141" s="22">
        <f>SUM(J142:J143)</f>
        <v>38200</v>
      </c>
      <c r="L141" s="4"/>
      <c r="M141" s="4"/>
      <c r="N141" s="4"/>
    </row>
    <row r="142" ht="15.75" customHeight="1">
      <c r="A142" s="1"/>
      <c r="B142" s="39"/>
      <c r="C142" s="48" t="s">
        <v>138</v>
      </c>
      <c r="D142" s="25">
        <v>20000.0</v>
      </c>
      <c r="E142" s="25">
        <v>20000.0</v>
      </c>
      <c r="F142" s="20"/>
      <c r="G142" s="20"/>
      <c r="H142" s="20"/>
      <c r="I142" s="20"/>
      <c r="J142" s="25">
        <v>20000.0</v>
      </c>
      <c r="K142" s="22"/>
      <c r="L142" s="4"/>
      <c r="M142" s="4"/>
      <c r="N142" s="4"/>
    </row>
    <row r="143" ht="15.75" customHeight="1">
      <c r="A143" s="1"/>
      <c r="B143" s="39"/>
      <c r="C143" s="48" t="s">
        <v>139</v>
      </c>
      <c r="D143" s="25">
        <v>18200.0</v>
      </c>
      <c r="E143" s="25">
        <v>18200.0</v>
      </c>
      <c r="F143" s="20"/>
      <c r="G143" s="20"/>
      <c r="H143" s="20"/>
      <c r="I143" s="20"/>
      <c r="J143" s="20">
        <f>SUM(E143:H143)</f>
        <v>18200</v>
      </c>
      <c r="K143" s="22"/>
      <c r="L143" s="4"/>
      <c r="M143" s="4"/>
      <c r="N143" s="4"/>
    </row>
    <row r="144" ht="15.75" customHeight="1">
      <c r="A144" s="1"/>
      <c r="B144" s="18">
        <v>650.0</v>
      </c>
      <c r="C144" s="19" t="s">
        <v>140</v>
      </c>
      <c r="D144" s="20"/>
      <c r="E144" s="20"/>
      <c r="F144" s="20"/>
      <c r="G144" s="20"/>
      <c r="H144" s="20"/>
      <c r="I144" s="20"/>
      <c r="J144" s="20"/>
      <c r="K144" s="22">
        <f>SUM(J145)</f>
        <v>720000</v>
      </c>
      <c r="L144" s="4"/>
      <c r="M144" s="4"/>
      <c r="N144" s="4"/>
    </row>
    <row r="145" ht="15.75" customHeight="1">
      <c r="A145" s="23"/>
      <c r="B145" s="27"/>
      <c r="C145" s="4" t="s">
        <v>142</v>
      </c>
      <c r="D145" s="20">
        <v>720000.0</v>
      </c>
      <c r="E145" s="20">
        <v>720000.0</v>
      </c>
      <c r="F145" s="20"/>
      <c r="G145" s="20"/>
      <c r="H145" s="20"/>
      <c r="I145" s="20"/>
      <c r="J145" s="20">
        <f>SUM(E145:H145)</f>
        <v>720000</v>
      </c>
      <c r="K145" s="22"/>
      <c r="L145" s="4"/>
      <c r="M145" s="4"/>
      <c r="N145" s="4"/>
    </row>
    <row r="146" ht="15.75" customHeight="1">
      <c r="A146" s="8"/>
      <c r="B146" s="9"/>
      <c r="C146" s="37" t="s">
        <v>143</v>
      </c>
      <c r="D146" s="36">
        <f t="shared" ref="D146:J146" si="25">SUM(D133:D145)</f>
        <v>1933200</v>
      </c>
      <c r="E146" s="36">
        <f t="shared" si="25"/>
        <v>1651200</v>
      </c>
      <c r="F146" s="36">
        <f t="shared" si="25"/>
        <v>0</v>
      </c>
      <c r="G146" s="36">
        <f t="shared" si="25"/>
        <v>0</v>
      </c>
      <c r="H146" s="36">
        <f t="shared" si="25"/>
        <v>0</v>
      </c>
      <c r="I146" s="36">
        <f t="shared" si="25"/>
        <v>282000</v>
      </c>
      <c r="J146" s="36">
        <f t="shared" si="25"/>
        <v>1933200</v>
      </c>
      <c r="K146" s="22"/>
      <c r="L146" s="4"/>
      <c r="M146" s="4"/>
      <c r="N146" s="4"/>
    </row>
    <row r="147" ht="15.75" customHeight="1">
      <c r="A147" s="8"/>
      <c r="B147" s="9"/>
      <c r="C147" s="4"/>
      <c r="D147" s="20"/>
      <c r="E147" s="20"/>
      <c r="F147" s="20"/>
      <c r="G147" s="20"/>
      <c r="H147" s="20"/>
      <c r="I147" s="20"/>
      <c r="J147" s="20"/>
      <c r="K147" s="22"/>
      <c r="L147" s="4"/>
      <c r="M147" s="4"/>
      <c r="N147" s="4"/>
    </row>
    <row r="148" ht="15.75" customHeight="1">
      <c r="A148" s="1"/>
      <c r="B148" s="18">
        <v>1721.0</v>
      </c>
      <c r="C148" s="19" t="s">
        <v>144</v>
      </c>
      <c r="D148" s="29"/>
      <c r="E148" s="29"/>
      <c r="F148" s="29"/>
      <c r="G148" s="29"/>
      <c r="H148" s="29"/>
      <c r="I148" s="29"/>
      <c r="J148" s="29"/>
      <c r="K148" s="34"/>
      <c r="L148" s="31"/>
      <c r="M148" s="31"/>
      <c r="N148" s="31"/>
    </row>
    <row r="149" ht="15.75" customHeight="1">
      <c r="A149" s="1"/>
      <c r="B149" s="18">
        <v>619.0</v>
      </c>
      <c r="C149" s="19" t="s">
        <v>20</v>
      </c>
      <c r="D149" s="29"/>
      <c r="E149" s="29"/>
      <c r="F149" s="29"/>
      <c r="G149" s="29"/>
      <c r="H149" s="29"/>
      <c r="I149" s="29"/>
      <c r="J149" s="29"/>
      <c r="K149" s="22">
        <f>SUM(J150)</f>
        <v>200000</v>
      </c>
      <c r="L149" s="31"/>
      <c r="M149" s="31"/>
      <c r="N149" s="31"/>
    </row>
    <row r="150" ht="15.75" customHeight="1">
      <c r="A150" s="32"/>
      <c r="B150" s="31"/>
      <c r="C150" s="24" t="s">
        <v>145</v>
      </c>
      <c r="D150" s="73">
        <v>200000.0</v>
      </c>
      <c r="E150" s="73">
        <v>200000.0</v>
      </c>
      <c r="F150" s="29"/>
      <c r="G150" s="29"/>
      <c r="H150" s="29"/>
      <c r="I150" s="29"/>
      <c r="J150" s="20">
        <f>SUM(E150:H150)</f>
        <v>200000</v>
      </c>
      <c r="K150" s="34"/>
      <c r="L150" s="31"/>
      <c r="M150" s="31"/>
      <c r="N150" s="31"/>
    </row>
    <row r="151" ht="15.75" customHeight="1">
      <c r="A151" s="28"/>
      <c r="B151" s="31"/>
      <c r="C151" s="18">
        <v>1721.0</v>
      </c>
      <c r="D151" s="36">
        <f t="shared" ref="D151:J151" si="26">SUM(D150)</f>
        <v>200000</v>
      </c>
      <c r="E151" s="36">
        <f t="shared" si="26"/>
        <v>200000</v>
      </c>
      <c r="F151" s="36">
        <f t="shared" si="26"/>
        <v>0</v>
      </c>
      <c r="G151" s="36">
        <f t="shared" si="26"/>
        <v>0</v>
      </c>
      <c r="H151" s="36">
        <f t="shared" si="26"/>
        <v>0</v>
      </c>
      <c r="I151" s="36">
        <f t="shared" si="26"/>
        <v>0</v>
      </c>
      <c r="J151" s="36">
        <f t="shared" si="26"/>
        <v>200000</v>
      </c>
      <c r="K151" s="34"/>
      <c r="L151" s="31"/>
      <c r="M151" s="31"/>
      <c r="N151" s="31"/>
    </row>
    <row r="152" ht="15.75" customHeight="1">
      <c r="A152" s="8"/>
      <c r="B152" s="9"/>
      <c r="C152" s="4"/>
      <c r="D152" s="20"/>
      <c r="E152" s="20"/>
      <c r="F152" s="20"/>
      <c r="G152" s="20"/>
      <c r="H152" s="20"/>
      <c r="I152" s="20"/>
      <c r="J152" s="20"/>
      <c r="K152" s="22"/>
      <c r="L152" s="4"/>
      <c r="M152" s="4"/>
      <c r="N152" s="4"/>
    </row>
    <row r="153" ht="15.75" customHeight="1">
      <c r="A153" s="1"/>
      <c r="B153" s="18">
        <v>2310.0</v>
      </c>
      <c r="C153" s="19" t="s">
        <v>146</v>
      </c>
      <c r="D153" s="20"/>
      <c r="E153" s="20"/>
      <c r="F153" s="20"/>
      <c r="G153" s="20"/>
      <c r="H153" s="20"/>
      <c r="I153" s="20"/>
      <c r="J153" s="20"/>
      <c r="K153" s="22"/>
      <c r="L153" s="4"/>
      <c r="M153" s="4"/>
      <c r="N153" s="4"/>
    </row>
    <row r="154" ht="15.75" customHeight="1">
      <c r="A154" s="1"/>
      <c r="B154" s="18">
        <v>632.0</v>
      </c>
      <c r="C154" s="19" t="s">
        <v>11</v>
      </c>
      <c r="D154" s="20"/>
      <c r="E154" s="20"/>
      <c r="F154" s="20"/>
      <c r="G154" s="20"/>
      <c r="H154" s="20"/>
      <c r="I154" s="20"/>
      <c r="J154" s="20"/>
      <c r="K154" s="22">
        <f>SUM(J155:J156)</f>
        <v>156000</v>
      </c>
      <c r="L154" s="4"/>
      <c r="M154" s="4"/>
      <c r="N154" s="4"/>
    </row>
    <row r="155" ht="15.75" customHeight="1">
      <c r="A155" s="23"/>
      <c r="B155" s="9"/>
      <c r="C155" s="24" t="s">
        <v>147</v>
      </c>
      <c r="D155" s="25">
        <v>150000.0</v>
      </c>
      <c r="E155" s="25">
        <v>150000.0</v>
      </c>
      <c r="F155" s="20"/>
      <c r="G155" s="20"/>
      <c r="H155" s="20"/>
      <c r="I155" s="20"/>
      <c r="J155" s="20">
        <f t="shared" ref="J155:J156" si="27">SUM(E155:H155)</f>
        <v>150000</v>
      </c>
      <c r="K155" s="80"/>
      <c r="L155" s="4"/>
      <c r="M155" s="4"/>
      <c r="N155" s="4"/>
    </row>
    <row r="156" ht="15.75" customHeight="1">
      <c r="A156" s="23"/>
      <c r="B156" s="9"/>
      <c r="C156" s="24" t="s">
        <v>148</v>
      </c>
      <c r="D156" s="20">
        <v>6000.0</v>
      </c>
      <c r="E156" s="20">
        <v>6000.0</v>
      </c>
      <c r="F156" s="20"/>
      <c r="G156" s="20"/>
      <c r="H156" s="20"/>
      <c r="I156" s="20"/>
      <c r="J156" s="20">
        <f t="shared" si="27"/>
        <v>6000</v>
      </c>
      <c r="K156" s="80"/>
      <c r="L156" s="4"/>
      <c r="M156" s="4"/>
      <c r="N156" s="4"/>
    </row>
    <row r="157" ht="15.75" customHeight="1">
      <c r="A157" s="1"/>
      <c r="B157" s="18">
        <v>635.0</v>
      </c>
      <c r="C157" s="19" t="s">
        <v>79</v>
      </c>
      <c r="D157" s="20"/>
      <c r="E157" s="20"/>
      <c r="F157" s="20"/>
      <c r="G157" s="20"/>
      <c r="H157" s="20"/>
      <c r="I157" s="20"/>
      <c r="J157" s="20"/>
      <c r="K157" s="22">
        <f>SUM(J158)</f>
        <v>18200</v>
      </c>
      <c r="L157" s="4"/>
      <c r="M157" s="4"/>
      <c r="N157" s="4"/>
    </row>
    <row r="158" ht="15.75" customHeight="1">
      <c r="A158" s="23"/>
      <c r="B158" s="9"/>
      <c r="C158" s="4" t="s">
        <v>149</v>
      </c>
      <c r="D158" s="25">
        <v>18200.0</v>
      </c>
      <c r="E158" s="25">
        <v>18200.0</v>
      </c>
      <c r="F158" s="20"/>
      <c r="G158" s="20"/>
      <c r="H158" s="20"/>
      <c r="I158" s="20"/>
      <c r="J158" s="20">
        <f>SUM(E158:H158)</f>
        <v>18200</v>
      </c>
      <c r="K158" s="22"/>
      <c r="L158" s="4"/>
      <c r="M158" s="4"/>
      <c r="N158" s="4"/>
    </row>
    <row r="159" ht="15.75" customHeight="1">
      <c r="A159" s="8"/>
      <c r="B159" s="9"/>
      <c r="C159" s="37" t="s">
        <v>150</v>
      </c>
      <c r="D159" s="36">
        <f t="shared" ref="D159:J159" si="28">SUM(D154:D158)</f>
        <v>174200</v>
      </c>
      <c r="E159" s="36">
        <f t="shared" si="28"/>
        <v>174200</v>
      </c>
      <c r="F159" s="36">
        <f t="shared" si="28"/>
        <v>0</v>
      </c>
      <c r="G159" s="36">
        <f t="shared" si="28"/>
        <v>0</v>
      </c>
      <c r="H159" s="36">
        <f t="shared" si="28"/>
        <v>0</v>
      </c>
      <c r="I159" s="36">
        <f t="shared" si="28"/>
        <v>0</v>
      </c>
      <c r="J159" s="36">
        <f t="shared" si="28"/>
        <v>174200</v>
      </c>
      <c r="K159" s="22"/>
      <c r="L159" s="4"/>
      <c r="M159" s="4"/>
      <c r="N159" s="4"/>
    </row>
    <row r="160" ht="15.75" customHeight="1">
      <c r="A160" s="8"/>
      <c r="B160" s="4"/>
      <c r="C160" s="4"/>
      <c r="D160" s="20"/>
      <c r="E160" s="20"/>
      <c r="F160" s="20"/>
      <c r="G160" s="20"/>
      <c r="H160" s="20"/>
      <c r="I160" s="20"/>
      <c r="J160" s="20"/>
      <c r="K160" s="22"/>
      <c r="L160" s="4"/>
      <c r="M160" s="4"/>
      <c r="N160" s="4"/>
    </row>
    <row r="161" ht="15.75" customHeight="1">
      <c r="A161" s="1"/>
      <c r="B161" s="19">
        <v>3110.0</v>
      </c>
      <c r="C161" s="19" t="s">
        <v>151</v>
      </c>
      <c r="D161" s="20"/>
      <c r="E161" s="20"/>
      <c r="F161" s="20"/>
      <c r="G161" s="20"/>
      <c r="H161" s="20"/>
      <c r="I161" s="20"/>
      <c r="J161" s="20"/>
      <c r="K161" s="22"/>
      <c r="L161" s="4"/>
      <c r="M161" s="4"/>
      <c r="N161" s="4"/>
    </row>
    <row r="162" ht="15.75" customHeight="1">
      <c r="A162" s="1"/>
      <c r="B162" s="18">
        <v>609.0</v>
      </c>
      <c r="C162" s="19" t="s">
        <v>152</v>
      </c>
      <c r="D162" s="20"/>
      <c r="E162" s="20"/>
      <c r="F162" s="20"/>
      <c r="G162" s="20"/>
      <c r="H162" s="20"/>
      <c r="I162" s="20"/>
      <c r="J162" s="20"/>
      <c r="K162" s="22">
        <f>SUM(J163)</f>
        <v>30000</v>
      </c>
      <c r="L162" s="4"/>
      <c r="M162" s="4"/>
      <c r="N162" s="4"/>
    </row>
    <row r="163" ht="15.75" customHeight="1">
      <c r="A163" s="23"/>
      <c r="B163" s="9"/>
      <c r="C163" s="24" t="s">
        <v>153</v>
      </c>
      <c r="D163" s="25">
        <v>30000.0</v>
      </c>
      <c r="E163" s="25">
        <v>30000.0</v>
      </c>
      <c r="F163" s="20"/>
      <c r="G163" s="20"/>
      <c r="H163" s="20"/>
      <c r="I163" s="20"/>
      <c r="J163" s="20">
        <f>SUM(E163:H163)</f>
        <v>30000</v>
      </c>
      <c r="K163" s="22"/>
      <c r="L163" s="4"/>
      <c r="M163" s="4"/>
      <c r="N163" s="4"/>
    </row>
    <row r="164" ht="15.75" customHeight="1">
      <c r="A164" s="8"/>
      <c r="B164" s="9"/>
      <c r="C164" s="37" t="s">
        <v>155</v>
      </c>
      <c r="D164" s="36">
        <f t="shared" ref="D164:J164" si="29">SUM(D163)</f>
        <v>30000</v>
      </c>
      <c r="E164" s="36">
        <f t="shared" si="29"/>
        <v>30000</v>
      </c>
      <c r="F164" s="36">
        <f t="shared" si="29"/>
        <v>0</v>
      </c>
      <c r="G164" s="36">
        <f t="shared" si="29"/>
        <v>0</v>
      </c>
      <c r="H164" s="36">
        <f t="shared" si="29"/>
        <v>0</v>
      </c>
      <c r="I164" s="36">
        <f t="shared" si="29"/>
        <v>0</v>
      </c>
      <c r="J164" s="36">
        <f t="shared" si="29"/>
        <v>30000</v>
      </c>
      <c r="K164" s="22"/>
      <c r="L164" s="4"/>
      <c r="M164" s="4"/>
      <c r="N164" s="4"/>
    </row>
    <row r="165" ht="15.75" customHeight="1">
      <c r="A165" s="8"/>
      <c r="B165" s="9"/>
      <c r="C165" s="4"/>
      <c r="D165" s="20"/>
      <c r="E165" s="20"/>
      <c r="F165" s="20"/>
      <c r="G165" s="20"/>
      <c r="H165" s="20"/>
      <c r="I165" s="20"/>
      <c r="J165" s="20"/>
      <c r="K165" s="22"/>
      <c r="L165" s="4"/>
      <c r="M165" s="4"/>
      <c r="N165" s="4"/>
    </row>
    <row r="166" ht="15.75" customHeight="1">
      <c r="A166" s="1"/>
      <c r="B166" s="18">
        <v>3200.0</v>
      </c>
      <c r="C166" s="19" t="s">
        <v>157</v>
      </c>
      <c r="D166" s="20"/>
      <c r="E166" s="20"/>
      <c r="F166" s="20"/>
      <c r="G166" s="20"/>
      <c r="H166" s="20"/>
      <c r="I166" s="20"/>
      <c r="J166" s="20"/>
      <c r="K166" s="22"/>
      <c r="L166" s="4"/>
      <c r="M166" s="4"/>
      <c r="N166" s="4"/>
    </row>
    <row r="167" ht="15.75" customHeight="1">
      <c r="A167" s="1"/>
      <c r="B167" s="18">
        <v>641.0</v>
      </c>
      <c r="C167" s="19" t="s">
        <v>158</v>
      </c>
      <c r="D167" s="20"/>
      <c r="E167" s="20"/>
      <c r="F167" s="20"/>
      <c r="G167" s="20"/>
      <c r="H167" s="20"/>
      <c r="I167" s="20"/>
      <c r="J167" s="20"/>
      <c r="K167" s="22">
        <f>SUM(J168)</f>
        <v>18200</v>
      </c>
      <c r="L167" s="4"/>
      <c r="M167" s="4"/>
      <c r="N167" s="4"/>
    </row>
    <row r="168" ht="15.75" customHeight="1">
      <c r="A168" s="23"/>
      <c r="B168" s="9"/>
      <c r="C168" s="4" t="s">
        <v>159</v>
      </c>
      <c r="D168" s="25">
        <v>18200.0</v>
      </c>
      <c r="E168" s="25">
        <v>18200.0</v>
      </c>
      <c r="F168" s="20"/>
      <c r="G168" s="20"/>
      <c r="H168" s="20"/>
      <c r="I168" s="20"/>
      <c r="J168" s="20">
        <f>SUM(E168:H168)</f>
        <v>18200</v>
      </c>
      <c r="K168" s="22"/>
      <c r="L168" s="4"/>
      <c r="M168" s="4"/>
      <c r="N168" s="4"/>
    </row>
    <row r="169" ht="15.75" customHeight="1">
      <c r="A169" s="8"/>
      <c r="B169" s="9"/>
      <c r="C169" s="37" t="s">
        <v>160</v>
      </c>
      <c r="D169" s="36">
        <f t="shared" ref="D169:J169" si="30">SUM(D168)</f>
        <v>18200</v>
      </c>
      <c r="E169" s="36">
        <f t="shared" si="30"/>
        <v>18200</v>
      </c>
      <c r="F169" s="36">
        <f t="shared" si="30"/>
        <v>0</v>
      </c>
      <c r="G169" s="36">
        <f t="shared" si="30"/>
        <v>0</v>
      </c>
      <c r="H169" s="36">
        <f t="shared" si="30"/>
        <v>0</v>
      </c>
      <c r="I169" s="36">
        <f t="shared" si="30"/>
        <v>0</v>
      </c>
      <c r="J169" s="36">
        <f t="shared" si="30"/>
        <v>18200</v>
      </c>
      <c r="K169" s="22"/>
      <c r="L169" s="4"/>
      <c r="M169" s="4"/>
      <c r="N169" s="4"/>
    </row>
    <row r="170" ht="15.75" customHeight="1">
      <c r="A170" s="8"/>
      <c r="B170" s="9"/>
      <c r="C170" s="4"/>
      <c r="D170" s="41"/>
      <c r="E170" s="20"/>
      <c r="F170" s="20"/>
      <c r="G170" s="20"/>
      <c r="H170" s="20"/>
      <c r="I170" s="20"/>
      <c r="J170" s="20"/>
      <c r="K170" s="22"/>
      <c r="L170" s="4"/>
      <c r="M170" s="4"/>
      <c r="N170" s="4"/>
    </row>
    <row r="171" ht="15.75" customHeight="1">
      <c r="A171" s="1"/>
      <c r="B171" s="18">
        <v>3230.0</v>
      </c>
      <c r="C171" s="19" t="s">
        <v>161</v>
      </c>
      <c r="D171" s="29"/>
      <c r="E171" s="29"/>
      <c r="F171" s="29"/>
      <c r="G171" s="29"/>
      <c r="H171" s="29"/>
      <c r="I171" s="29"/>
      <c r="J171" s="29"/>
      <c r="K171" s="34"/>
      <c r="L171" s="31"/>
      <c r="M171" s="31"/>
      <c r="N171" s="31"/>
    </row>
    <row r="172" ht="15.75" customHeight="1">
      <c r="A172" s="43"/>
      <c r="B172" s="37" t="s">
        <v>127</v>
      </c>
      <c r="C172" s="19" t="s">
        <v>128</v>
      </c>
      <c r="D172" s="29"/>
      <c r="E172" s="29"/>
      <c r="F172" s="29"/>
      <c r="G172" s="29"/>
      <c r="H172" s="29"/>
      <c r="I172" s="29"/>
      <c r="J172" s="29"/>
      <c r="K172" s="22">
        <f>SUM(J173)</f>
        <v>18200</v>
      </c>
      <c r="L172" s="31"/>
      <c r="M172" s="31"/>
      <c r="N172" s="31"/>
    </row>
    <row r="173" ht="15.75" customHeight="1">
      <c r="A173" s="32"/>
      <c r="B173" s="31"/>
      <c r="C173" s="24" t="s">
        <v>109</v>
      </c>
      <c r="D173" s="25">
        <v>18200.0</v>
      </c>
      <c r="E173" s="25">
        <v>18200.0</v>
      </c>
      <c r="F173" s="29"/>
      <c r="G173" s="29"/>
      <c r="H173" s="29"/>
      <c r="I173" s="29"/>
      <c r="J173" s="20">
        <f>SUM(E173:H173)</f>
        <v>18200</v>
      </c>
      <c r="K173" s="34"/>
      <c r="L173" s="31"/>
      <c r="M173" s="31"/>
      <c r="N173" s="31"/>
    </row>
    <row r="174" ht="15.75" customHeight="1">
      <c r="A174" s="28"/>
      <c r="B174" s="31"/>
      <c r="C174" s="37" t="s">
        <v>162</v>
      </c>
      <c r="D174" s="36">
        <f t="shared" ref="D174:J174" si="31">SUM(D173)</f>
        <v>18200</v>
      </c>
      <c r="E174" s="36">
        <f t="shared" si="31"/>
        <v>18200</v>
      </c>
      <c r="F174" s="36">
        <f t="shared" si="31"/>
        <v>0</v>
      </c>
      <c r="G174" s="36">
        <f t="shared" si="31"/>
        <v>0</v>
      </c>
      <c r="H174" s="36">
        <f t="shared" si="31"/>
        <v>0</v>
      </c>
      <c r="I174" s="36">
        <f t="shared" si="31"/>
        <v>0</v>
      </c>
      <c r="J174" s="36">
        <f t="shared" si="31"/>
        <v>18200</v>
      </c>
      <c r="K174" s="34"/>
      <c r="L174" s="31"/>
      <c r="M174" s="31"/>
      <c r="N174" s="31"/>
    </row>
    <row r="175" ht="15.75" customHeight="1">
      <c r="A175" s="28"/>
      <c r="B175" s="31"/>
      <c r="C175" s="31"/>
      <c r="D175" s="82"/>
      <c r="E175" s="29"/>
      <c r="F175" s="29"/>
      <c r="G175" s="29"/>
      <c r="H175" s="29"/>
      <c r="I175" s="29"/>
      <c r="J175" s="29"/>
      <c r="K175" s="34"/>
      <c r="L175" s="31"/>
      <c r="M175" s="31"/>
      <c r="N175" s="31"/>
    </row>
    <row r="176" ht="15.75" customHeight="1">
      <c r="A176" s="83"/>
      <c r="B176" s="84" t="s">
        <v>163</v>
      </c>
      <c r="C176" s="85" t="s">
        <v>164</v>
      </c>
      <c r="D176" s="29"/>
      <c r="E176" s="29"/>
      <c r="F176" s="29"/>
      <c r="G176" s="29"/>
      <c r="H176" s="29"/>
      <c r="I176" s="29"/>
      <c r="J176" s="29"/>
      <c r="K176" s="34"/>
      <c r="L176" s="31"/>
      <c r="M176" s="31"/>
      <c r="N176" s="31"/>
    </row>
    <row r="177" ht="15.75" customHeight="1">
      <c r="A177" s="86"/>
      <c r="B177" s="87">
        <v>629.0</v>
      </c>
      <c r="C177" s="85" t="s">
        <v>165</v>
      </c>
      <c r="D177" s="29"/>
      <c r="E177" s="29"/>
      <c r="F177" s="29"/>
      <c r="G177" s="29"/>
      <c r="H177" s="29"/>
      <c r="I177" s="29"/>
      <c r="J177" s="29"/>
      <c r="K177" s="22">
        <f>SUM(J178:J179)</f>
        <v>36400</v>
      </c>
      <c r="L177" s="31"/>
      <c r="M177" s="31"/>
      <c r="N177" s="31"/>
    </row>
    <row r="178" ht="15.75" customHeight="1">
      <c r="A178" s="88"/>
      <c r="B178" s="89"/>
      <c r="C178" s="90" t="s">
        <v>166</v>
      </c>
      <c r="D178" s="79">
        <v>18200.0</v>
      </c>
      <c r="E178" s="79">
        <v>18200.0</v>
      </c>
      <c r="F178" s="33"/>
      <c r="G178" s="29"/>
      <c r="H178" s="29"/>
      <c r="I178" s="29"/>
      <c r="J178" s="91">
        <f t="shared" ref="J178:J179" si="32">SUM(E178:I178)</f>
        <v>18200</v>
      </c>
      <c r="K178" s="34"/>
      <c r="L178" s="31"/>
      <c r="M178" s="31"/>
      <c r="N178" s="31"/>
    </row>
    <row r="179" ht="15.75" customHeight="1">
      <c r="A179" s="88"/>
      <c r="B179" s="89"/>
      <c r="C179" s="92" t="s">
        <v>167</v>
      </c>
      <c r="D179" s="79">
        <v>18200.0</v>
      </c>
      <c r="E179" s="79">
        <v>18200.0</v>
      </c>
      <c r="F179" s="29"/>
      <c r="G179" s="29"/>
      <c r="H179" s="29"/>
      <c r="I179" s="29"/>
      <c r="J179" s="91">
        <f t="shared" si="32"/>
        <v>18200</v>
      </c>
      <c r="K179" s="34"/>
      <c r="L179" s="31"/>
      <c r="M179" s="31"/>
      <c r="N179" s="31"/>
    </row>
    <row r="180" ht="15.75" customHeight="1">
      <c r="A180" s="28"/>
      <c r="B180" s="31"/>
      <c r="C180" s="87">
        <v>3261.0</v>
      </c>
      <c r="D180" s="93">
        <f t="shared" ref="D180:J180" si="33">SUM(D178:D179)</f>
        <v>36400</v>
      </c>
      <c r="E180" s="93">
        <f t="shared" si="33"/>
        <v>36400</v>
      </c>
      <c r="F180" s="93">
        <f t="shared" si="33"/>
        <v>0</v>
      </c>
      <c r="G180" s="93">
        <f t="shared" si="33"/>
        <v>0</v>
      </c>
      <c r="H180" s="93">
        <f t="shared" si="33"/>
        <v>0</v>
      </c>
      <c r="I180" s="93">
        <f t="shared" si="33"/>
        <v>0</v>
      </c>
      <c r="J180" s="93">
        <f t="shared" si="33"/>
        <v>36400</v>
      </c>
      <c r="K180" s="34"/>
      <c r="L180" s="31"/>
      <c r="M180" s="31"/>
      <c r="N180" s="31"/>
    </row>
    <row r="181" ht="15.75" customHeight="1">
      <c r="A181" s="94"/>
      <c r="B181" s="95"/>
      <c r="C181" s="31"/>
      <c r="D181" s="29"/>
      <c r="E181" s="29"/>
      <c r="F181" s="29"/>
      <c r="G181" s="29"/>
      <c r="H181" s="29"/>
      <c r="I181" s="29"/>
      <c r="J181" s="29"/>
      <c r="K181" s="34"/>
      <c r="L181" s="31"/>
      <c r="M181" s="31"/>
      <c r="N181" s="31"/>
    </row>
    <row r="182" ht="15.75" customHeight="1">
      <c r="A182" s="83"/>
      <c r="B182" s="84" t="s">
        <v>168</v>
      </c>
      <c r="C182" s="85" t="s">
        <v>169</v>
      </c>
      <c r="D182" s="29"/>
      <c r="E182" s="29"/>
      <c r="F182" s="29"/>
      <c r="G182" s="29"/>
      <c r="H182" s="29"/>
      <c r="I182" s="29"/>
      <c r="J182" s="29"/>
      <c r="K182" s="34"/>
      <c r="L182" s="31"/>
      <c r="M182" s="31"/>
      <c r="N182" s="31"/>
    </row>
    <row r="183" ht="15.75" customHeight="1">
      <c r="A183" s="86"/>
      <c r="B183" s="87">
        <v>629.0</v>
      </c>
      <c r="C183" s="85" t="s">
        <v>165</v>
      </c>
      <c r="D183" s="29"/>
      <c r="E183" s="29"/>
      <c r="F183" s="29"/>
      <c r="G183" s="29"/>
      <c r="H183" s="29"/>
      <c r="I183" s="29"/>
      <c r="J183" s="29"/>
      <c r="K183" s="22">
        <f>SUM(J184)</f>
        <v>18200</v>
      </c>
      <c r="L183" s="31"/>
      <c r="M183" s="31"/>
      <c r="N183" s="31"/>
    </row>
    <row r="184" ht="15.75" customHeight="1">
      <c r="A184" s="32"/>
      <c r="B184" s="31"/>
      <c r="C184" s="92" t="s">
        <v>167</v>
      </c>
      <c r="D184" s="79">
        <v>18200.0</v>
      </c>
      <c r="E184" s="79">
        <v>18200.0</v>
      </c>
      <c r="F184" s="29"/>
      <c r="G184" s="29"/>
      <c r="H184" s="29"/>
      <c r="I184" s="29"/>
      <c r="J184" s="91">
        <f>SUM(E184:I184)</f>
        <v>18200</v>
      </c>
      <c r="K184" s="34"/>
      <c r="L184" s="31"/>
      <c r="M184" s="31"/>
      <c r="N184" s="31"/>
    </row>
    <row r="185" ht="15.75" customHeight="1">
      <c r="A185" s="28"/>
      <c r="B185" s="31"/>
      <c r="C185" s="87">
        <v>3262.0</v>
      </c>
      <c r="D185" s="93">
        <f t="shared" ref="D185:J185" si="34">SUM(D184)</f>
        <v>18200</v>
      </c>
      <c r="E185" s="93">
        <f t="shared" si="34"/>
        <v>18200</v>
      </c>
      <c r="F185" s="93">
        <f t="shared" si="34"/>
        <v>0</v>
      </c>
      <c r="G185" s="93">
        <f t="shared" si="34"/>
        <v>0</v>
      </c>
      <c r="H185" s="93">
        <f t="shared" si="34"/>
        <v>0</v>
      </c>
      <c r="I185" s="93">
        <f t="shared" si="34"/>
        <v>0</v>
      </c>
      <c r="J185" s="93">
        <f t="shared" si="34"/>
        <v>18200</v>
      </c>
      <c r="K185" s="34"/>
      <c r="L185" s="31"/>
      <c r="M185" s="31"/>
      <c r="N185" s="31"/>
    </row>
    <row r="186" ht="15.75" customHeight="1">
      <c r="A186" s="1"/>
      <c r="B186" s="19"/>
      <c r="C186" s="19"/>
      <c r="D186" s="20"/>
      <c r="E186" s="20"/>
      <c r="F186" s="20"/>
      <c r="G186" s="20"/>
      <c r="H186" s="20"/>
      <c r="I186" s="20"/>
      <c r="J186" s="20"/>
      <c r="K186" s="22"/>
      <c r="L186" s="4"/>
      <c r="M186" s="4"/>
      <c r="N186" s="4"/>
    </row>
    <row r="187" ht="15.75" customHeight="1">
      <c r="A187" s="1"/>
      <c r="B187" s="19">
        <v>3321.0</v>
      </c>
      <c r="C187" s="19" t="s">
        <v>170</v>
      </c>
      <c r="D187" s="20"/>
      <c r="E187" s="20"/>
      <c r="F187" s="20"/>
      <c r="G187" s="20"/>
      <c r="H187" s="20"/>
      <c r="I187" s="20"/>
      <c r="J187" s="20"/>
      <c r="K187" s="22"/>
      <c r="L187" s="4"/>
      <c r="M187" s="4"/>
      <c r="N187" s="4"/>
    </row>
    <row r="188" ht="15.75" customHeight="1">
      <c r="A188" s="1"/>
      <c r="B188" s="18">
        <v>623.0</v>
      </c>
      <c r="C188" s="19" t="s">
        <v>94</v>
      </c>
      <c r="D188" s="20"/>
      <c r="E188" s="20"/>
      <c r="F188" s="20"/>
      <c r="G188" s="20"/>
      <c r="H188" s="20"/>
      <c r="I188" s="20"/>
      <c r="J188" s="20"/>
      <c r="K188" s="22">
        <f>SUM(J189)</f>
        <v>25000</v>
      </c>
      <c r="L188" s="4"/>
      <c r="M188" s="4"/>
      <c r="N188" s="4"/>
    </row>
    <row r="189" ht="15.75" customHeight="1">
      <c r="A189" s="23"/>
      <c r="B189" s="4"/>
      <c r="C189" s="24" t="s">
        <v>109</v>
      </c>
      <c r="D189" s="20">
        <v>25000.0</v>
      </c>
      <c r="E189" s="20">
        <v>25000.0</v>
      </c>
      <c r="F189" s="20"/>
      <c r="G189" s="20"/>
      <c r="H189" s="20"/>
      <c r="I189" s="20"/>
      <c r="J189" s="20">
        <f>SUM(E189:H189)</f>
        <v>25000</v>
      </c>
      <c r="K189" s="22"/>
      <c r="L189" s="4"/>
      <c r="M189" s="4"/>
      <c r="N189" s="4"/>
    </row>
    <row r="190" ht="15.75" customHeight="1">
      <c r="A190" s="23"/>
      <c r="B190" s="87">
        <v>629.0</v>
      </c>
      <c r="C190" s="85" t="s">
        <v>165</v>
      </c>
      <c r="D190" s="20"/>
      <c r="E190" s="20"/>
      <c r="F190" s="20"/>
      <c r="G190" s="20"/>
      <c r="H190" s="20"/>
      <c r="I190" s="20"/>
      <c r="J190" s="20"/>
      <c r="K190" s="22">
        <f>SUM(J191)</f>
        <v>40000</v>
      </c>
      <c r="L190" s="4"/>
      <c r="M190" s="4"/>
      <c r="N190" s="4"/>
    </row>
    <row r="191" ht="15.75" customHeight="1">
      <c r="A191" s="23"/>
      <c r="B191" s="4"/>
      <c r="C191" s="24" t="s">
        <v>171</v>
      </c>
      <c r="D191" s="25">
        <v>40000.0</v>
      </c>
      <c r="E191" s="25">
        <v>40000.0</v>
      </c>
      <c r="F191" s="20"/>
      <c r="G191" s="20"/>
      <c r="H191" s="20"/>
      <c r="I191" s="20"/>
      <c r="J191" s="20">
        <f>SUM(E191:H191)</f>
        <v>40000</v>
      </c>
      <c r="K191" s="22"/>
      <c r="L191" s="4"/>
      <c r="M191" s="4"/>
      <c r="N191" s="4"/>
    </row>
    <row r="192" ht="15.75" customHeight="1">
      <c r="A192" s="8"/>
      <c r="B192" s="9"/>
      <c r="C192" s="37" t="s">
        <v>172</v>
      </c>
      <c r="D192" s="36">
        <f t="shared" ref="D192:J192" si="35">SUM(D189:D191)</f>
        <v>65000</v>
      </c>
      <c r="E192" s="36">
        <f t="shared" si="35"/>
        <v>65000</v>
      </c>
      <c r="F192" s="36">
        <f t="shared" si="35"/>
        <v>0</v>
      </c>
      <c r="G192" s="36">
        <f t="shared" si="35"/>
        <v>0</v>
      </c>
      <c r="H192" s="36">
        <f t="shared" si="35"/>
        <v>0</v>
      </c>
      <c r="I192" s="36">
        <f t="shared" si="35"/>
        <v>0</v>
      </c>
      <c r="J192" s="36">
        <f t="shared" si="35"/>
        <v>65000</v>
      </c>
      <c r="K192" s="22"/>
      <c r="L192" s="4"/>
      <c r="M192" s="4"/>
      <c r="N192" s="4"/>
    </row>
    <row r="193" ht="15.75" customHeight="1">
      <c r="A193" s="28"/>
      <c r="B193" s="31"/>
      <c r="C193" s="31"/>
      <c r="D193" s="29"/>
      <c r="E193" s="29"/>
      <c r="F193" s="29"/>
      <c r="G193" s="29"/>
      <c r="H193" s="29"/>
      <c r="I193" s="29"/>
      <c r="J193" s="29"/>
      <c r="K193" s="34"/>
      <c r="L193" s="31"/>
      <c r="M193" s="31"/>
      <c r="N193" s="31"/>
    </row>
    <row r="194" ht="15.75" customHeight="1">
      <c r="A194" s="83"/>
      <c r="B194" s="84" t="s">
        <v>173</v>
      </c>
      <c r="C194" s="85" t="s">
        <v>174</v>
      </c>
      <c r="D194" s="29"/>
      <c r="E194" s="29"/>
      <c r="F194" s="29"/>
      <c r="G194" s="29"/>
      <c r="H194" s="29"/>
      <c r="I194" s="29"/>
      <c r="J194" s="29"/>
      <c r="K194" s="34"/>
      <c r="L194" s="31"/>
      <c r="M194" s="31"/>
      <c r="N194" s="31"/>
    </row>
    <row r="195" ht="15.75" customHeight="1">
      <c r="A195" s="86"/>
      <c r="B195" s="87">
        <v>650.0</v>
      </c>
      <c r="C195" s="85" t="s">
        <v>46</v>
      </c>
      <c r="D195" s="29"/>
      <c r="E195" s="29"/>
      <c r="F195" s="29"/>
      <c r="G195" s="29"/>
      <c r="H195" s="29"/>
      <c r="I195" s="29"/>
      <c r="J195" s="29"/>
      <c r="K195" s="22">
        <f>SUM(J196)</f>
        <v>40000</v>
      </c>
      <c r="L195" s="31"/>
      <c r="M195" s="31"/>
      <c r="N195" s="31"/>
    </row>
    <row r="196" ht="15.75" customHeight="1">
      <c r="A196" s="88"/>
      <c r="B196" s="89"/>
      <c r="C196" s="96" t="s">
        <v>175</v>
      </c>
      <c r="D196" s="97">
        <v>40000.0</v>
      </c>
      <c r="E196" s="97">
        <v>40000.0</v>
      </c>
      <c r="F196" s="29"/>
      <c r="G196" s="29"/>
      <c r="H196" s="29"/>
      <c r="I196" s="29"/>
      <c r="J196" s="91">
        <f>SUM(E196:I196)</f>
        <v>40000</v>
      </c>
      <c r="K196" s="34"/>
      <c r="L196" s="31"/>
      <c r="M196" s="31"/>
      <c r="N196" s="31"/>
    </row>
    <row r="197" ht="15.75" customHeight="1">
      <c r="A197" s="28"/>
      <c r="B197" s="31"/>
      <c r="C197" s="87">
        <v>3330.0</v>
      </c>
      <c r="D197" s="93">
        <f t="shared" ref="D197:J197" si="36">SUM(D195:D196)</f>
        <v>40000</v>
      </c>
      <c r="E197" s="93">
        <f t="shared" si="36"/>
        <v>40000</v>
      </c>
      <c r="F197" s="93">
        <f t="shared" si="36"/>
        <v>0</v>
      </c>
      <c r="G197" s="93">
        <f t="shared" si="36"/>
        <v>0</v>
      </c>
      <c r="H197" s="93">
        <f t="shared" si="36"/>
        <v>0</v>
      </c>
      <c r="I197" s="93">
        <f t="shared" si="36"/>
        <v>0</v>
      </c>
      <c r="J197" s="93">
        <f t="shared" si="36"/>
        <v>40000</v>
      </c>
      <c r="K197" s="34"/>
      <c r="L197" s="31"/>
      <c r="M197" s="31"/>
      <c r="N197" s="31"/>
    </row>
    <row r="198" ht="15.75" customHeight="1">
      <c r="A198" s="8"/>
      <c r="B198" s="39"/>
      <c r="C198" s="40"/>
      <c r="D198" s="41"/>
      <c r="E198" s="25"/>
      <c r="F198" s="20"/>
      <c r="G198" s="20"/>
      <c r="H198" s="20"/>
      <c r="I198" s="20"/>
      <c r="J198" s="20"/>
      <c r="K198" s="22"/>
      <c r="L198" s="4"/>
      <c r="M198" s="4"/>
      <c r="N198" s="4"/>
    </row>
    <row r="199" ht="15.75" customHeight="1">
      <c r="A199" s="8"/>
      <c r="B199" s="39">
        <v>3331.0</v>
      </c>
      <c r="C199" s="40" t="s">
        <v>176</v>
      </c>
      <c r="D199" s="25"/>
      <c r="E199" s="46"/>
      <c r="F199" s="20"/>
      <c r="G199" s="20"/>
      <c r="H199" s="20"/>
      <c r="I199" s="20"/>
      <c r="J199" s="20"/>
      <c r="K199" s="22"/>
      <c r="L199" s="4"/>
      <c r="M199" s="4"/>
      <c r="N199" s="4"/>
    </row>
    <row r="200" ht="15.75" customHeight="1">
      <c r="A200" s="8"/>
      <c r="B200" s="39">
        <v>619.0</v>
      </c>
      <c r="C200" s="40" t="s">
        <v>20</v>
      </c>
      <c r="D200" s="46"/>
      <c r="E200" s="46"/>
      <c r="F200" s="20"/>
      <c r="G200" s="20"/>
      <c r="H200" s="20"/>
      <c r="I200" s="20"/>
      <c r="J200" s="20"/>
      <c r="K200" s="22">
        <f>SUM(J201:J202)</f>
        <v>50000</v>
      </c>
      <c r="L200" s="4"/>
      <c r="M200" s="4"/>
      <c r="N200" s="4"/>
    </row>
    <row r="201" ht="15.75" customHeight="1">
      <c r="A201" s="23"/>
      <c r="B201" s="9"/>
      <c r="C201" s="24" t="s">
        <v>177</v>
      </c>
      <c r="D201" s="25">
        <v>30000.0</v>
      </c>
      <c r="E201" s="25">
        <v>30000.0</v>
      </c>
      <c r="F201" s="20"/>
      <c r="G201" s="20"/>
      <c r="H201" s="20"/>
      <c r="I201" s="20"/>
      <c r="J201" s="91">
        <f t="shared" ref="J201:J202" si="37">SUM(E201:I201)</f>
        <v>30000</v>
      </c>
      <c r="K201" s="22"/>
      <c r="L201" s="4"/>
      <c r="M201" s="4"/>
      <c r="N201" s="4"/>
    </row>
    <row r="202" ht="15.75" customHeight="1">
      <c r="A202" s="23"/>
      <c r="B202" s="9"/>
      <c r="C202" s="24" t="s">
        <v>178</v>
      </c>
      <c r="D202" s="25">
        <v>20000.0</v>
      </c>
      <c r="E202" s="25">
        <v>20000.0</v>
      </c>
      <c r="F202" s="20"/>
      <c r="G202" s="20"/>
      <c r="H202" s="20"/>
      <c r="I202" s="20"/>
      <c r="J202" s="91">
        <f t="shared" si="37"/>
        <v>20000</v>
      </c>
      <c r="K202" s="22"/>
      <c r="L202" s="4"/>
      <c r="M202" s="4"/>
      <c r="N202" s="4"/>
    </row>
    <row r="203" ht="15.75" customHeight="1">
      <c r="A203" s="8"/>
      <c r="B203" s="9"/>
      <c r="C203" s="39">
        <v>3331.0</v>
      </c>
      <c r="D203" s="36">
        <f t="shared" ref="D203:J203" si="38">SUM(D201:D202)</f>
        <v>50000</v>
      </c>
      <c r="E203" s="36">
        <f t="shared" si="38"/>
        <v>50000</v>
      </c>
      <c r="F203" s="36">
        <f t="shared" si="38"/>
        <v>0</v>
      </c>
      <c r="G203" s="36">
        <f t="shared" si="38"/>
        <v>0</v>
      </c>
      <c r="H203" s="36">
        <f t="shared" si="38"/>
        <v>0</v>
      </c>
      <c r="I203" s="36">
        <f t="shared" si="38"/>
        <v>0</v>
      </c>
      <c r="J203" s="36">
        <f t="shared" si="38"/>
        <v>50000</v>
      </c>
      <c r="K203" s="22"/>
      <c r="L203" s="4"/>
      <c r="M203" s="4"/>
      <c r="N203" s="4"/>
    </row>
    <row r="204" ht="15.75" customHeight="1">
      <c r="A204" s="94"/>
      <c r="B204" s="95"/>
      <c r="C204" s="31"/>
      <c r="D204" s="29"/>
      <c r="E204" s="29"/>
      <c r="F204" s="29"/>
      <c r="G204" s="29"/>
      <c r="H204" s="29"/>
      <c r="I204" s="29"/>
      <c r="J204" s="29"/>
      <c r="K204" s="34"/>
      <c r="L204" s="31"/>
      <c r="M204" s="31"/>
      <c r="N204" s="31"/>
    </row>
    <row r="205" ht="15.75" customHeight="1">
      <c r="A205" s="1"/>
      <c r="B205" s="18">
        <v>3340.0</v>
      </c>
      <c r="C205" s="19" t="s">
        <v>179</v>
      </c>
      <c r="D205" s="20"/>
      <c r="E205" s="20"/>
      <c r="F205" s="20"/>
      <c r="G205" s="20"/>
      <c r="H205" s="20"/>
      <c r="I205" s="20"/>
      <c r="J205" s="20"/>
      <c r="K205" s="22"/>
      <c r="L205" s="4"/>
      <c r="M205" s="4"/>
      <c r="N205" s="4"/>
    </row>
    <row r="206" ht="15.75" customHeight="1">
      <c r="A206" s="43"/>
      <c r="B206" s="37" t="s">
        <v>180</v>
      </c>
      <c r="C206" s="19" t="s">
        <v>11</v>
      </c>
      <c r="D206" s="20"/>
      <c r="E206" s="20"/>
      <c r="F206" s="20"/>
      <c r="G206" s="20"/>
      <c r="H206" s="20"/>
      <c r="I206" s="20"/>
      <c r="J206" s="20"/>
      <c r="K206" s="22">
        <f>SUM(J207:J208)</f>
        <v>318200</v>
      </c>
      <c r="L206" s="4"/>
      <c r="M206" s="4"/>
      <c r="N206" s="4"/>
    </row>
    <row r="207" ht="15.75" customHeight="1">
      <c r="A207" s="23"/>
      <c r="B207" s="9"/>
      <c r="C207" s="24" t="s">
        <v>109</v>
      </c>
      <c r="D207" s="25">
        <v>18200.0</v>
      </c>
      <c r="E207" s="25"/>
      <c r="F207" s="25">
        <v>18200.0</v>
      </c>
      <c r="G207" s="20"/>
      <c r="H207" s="20"/>
      <c r="I207" s="20"/>
      <c r="J207" s="20">
        <f t="shared" ref="J207:J208" si="39">SUM(E207:I207)</f>
        <v>18200</v>
      </c>
      <c r="K207" s="22"/>
      <c r="L207" s="4"/>
      <c r="M207" s="4"/>
      <c r="N207" s="4"/>
    </row>
    <row r="208" ht="15.75" customHeight="1">
      <c r="A208" s="23"/>
      <c r="B208" s="9"/>
      <c r="C208" s="24" t="s">
        <v>181</v>
      </c>
      <c r="D208" s="25">
        <v>300000.0</v>
      </c>
      <c r="E208" s="25">
        <v>300000.0</v>
      </c>
      <c r="F208" s="20"/>
      <c r="G208" s="20"/>
      <c r="H208" s="20"/>
      <c r="I208" s="20"/>
      <c r="J208" s="20">
        <f t="shared" si="39"/>
        <v>300000</v>
      </c>
      <c r="K208" s="22"/>
      <c r="L208" s="4"/>
      <c r="M208" s="4"/>
      <c r="N208" s="4"/>
    </row>
    <row r="209" ht="15.75" customHeight="1">
      <c r="A209" s="8"/>
      <c r="B209" s="9"/>
      <c r="C209" s="37" t="s">
        <v>182</v>
      </c>
      <c r="D209" s="36">
        <f t="shared" ref="D209:J209" si="40">SUM(D207:D208)</f>
        <v>318200</v>
      </c>
      <c r="E209" s="36">
        <f t="shared" si="40"/>
        <v>300000</v>
      </c>
      <c r="F209" s="36">
        <f t="shared" si="40"/>
        <v>18200</v>
      </c>
      <c r="G209" s="36">
        <f t="shared" si="40"/>
        <v>0</v>
      </c>
      <c r="H209" s="36">
        <f t="shared" si="40"/>
        <v>0</v>
      </c>
      <c r="I209" s="36">
        <f t="shared" si="40"/>
        <v>0</v>
      </c>
      <c r="J209" s="36">
        <f t="shared" si="40"/>
        <v>318200</v>
      </c>
      <c r="K209" s="22"/>
      <c r="L209" s="4"/>
      <c r="M209" s="4"/>
      <c r="N209" s="4"/>
    </row>
    <row r="210" ht="15.75" customHeight="1">
      <c r="A210" s="8"/>
      <c r="B210" s="9"/>
      <c r="C210" s="4"/>
      <c r="D210" s="41"/>
      <c r="E210" s="20"/>
      <c r="F210" s="20"/>
      <c r="G210" s="20"/>
      <c r="H210" s="20"/>
      <c r="I210" s="20"/>
      <c r="J210" s="20"/>
      <c r="K210" s="22"/>
      <c r="L210" s="4"/>
      <c r="M210" s="4"/>
      <c r="N210" s="4"/>
    </row>
    <row r="211" ht="15.75" customHeight="1">
      <c r="A211" s="83"/>
      <c r="B211" s="101" t="s">
        <v>183</v>
      </c>
      <c r="C211" s="102" t="s">
        <v>184</v>
      </c>
      <c r="D211" s="29"/>
      <c r="E211" s="29"/>
      <c r="F211" s="29"/>
      <c r="G211" s="29"/>
      <c r="H211" s="29"/>
      <c r="I211" s="29"/>
      <c r="J211" s="29"/>
      <c r="K211" s="34"/>
      <c r="L211" s="31"/>
      <c r="M211" s="31"/>
      <c r="N211" s="31"/>
    </row>
    <row r="212" ht="15.75" customHeight="1">
      <c r="A212" s="86"/>
      <c r="B212" s="87">
        <v>629.0</v>
      </c>
      <c r="C212" s="85" t="s">
        <v>165</v>
      </c>
      <c r="D212" s="29"/>
      <c r="E212" s="29"/>
      <c r="F212" s="29"/>
      <c r="G212" s="29"/>
      <c r="H212" s="29"/>
      <c r="I212" s="29"/>
      <c r="J212" s="29"/>
      <c r="K212" s="22">
        <f>SUM(J213)</f>
        <v>18200</v>
      </c>
      <c r="L212" s="31"/>
      <c r="M212" s="31"/>
      <c r="N212" s="31"/>
    </row>
    <row r="213" ht="15.75" customHeight="1">
      <c r="A213" s="32"/>
      <c r="B213" s="31"/>
      <c r="C213" s="92" t="s">
        <v>167</v>
      </c>
      <c r="D213" s="79">
        <v>18200.0</v>
      </c>
      <c r="E213" s="79">
        <v>18200.0</v>
      </c>
      <c r="F213" s="29"/>
      <c r="G213" s="29"/>
      <c r="H213" s="29"/>
      <c r="I213" s="29"/>
      <c r="J213" s="91">
        <f>SUM(E213:I213)</f>
        <v>18200</v>
      </c>
      <c r="K213" s="34"/>
      <c r="L213" s="31"/>
      <c r="M213" s="31"/>
      <c r="N213" s="31"/>
    </row>
    <row r="214" ht="15.75" customHeight="1">
      <c r="A214" s="28"/>
      <c r="B214" s="31"/>
      <c r="C214" s="103">
        <v>3341.0</v>
      </c>
      <c r="D214" s="93">
        <f t="shared" ref="D214:J214" si="41">SUM(D213)</f>
        <v>18200</v>
      </c>
      <c r="E214" s="93">
        <f t="shared" si="41"/>
        <v>18200</v>
      </c>
      <c r="F214" s="93">
        <f t="shared" si="41"/>
        <v>0</v>
      </c>
      <c r="G214" s="93">
        <f t="shared" si="41"/>
        <v>0</v>
      </c>
      <c r="H214" s="93">
        <f t="shared" si="41"/>
        <v>0</v>
      </c>
      <c r="I214" s="93">
        <f t="shared" si="41"/>
        <v>0</v>
      </c>
      <c r="J214" s="93">
        <f t="shared" si="41"/>
        <v>18200</v>
      </c>
      <c r="K214" s="34"/>
      <c r="L214" s="31"/>
      <c r="M214" s="31"/>
      <c r="N214" s="31"/>
    </row>
    <row r="215" ht="15.75" customHeight="1">
      <c r="A215" s="8"/>
      <c r="B215" s="9"/>
      <c r="C215" s="4"/>
      <c r="D215" s="41"/>
      <c r="E215" s="20"/>
      <c r="F215" s="20"/>
      <c r="G215" s="20"/>
      <c r="H215" s="20"/>
      <c r="I215" s="20"/>
      <c r="J215" s="20"/>
      <c r="K215" s="22"/>
      <c r="L215" s="4"/>
      <c r="M215" s="4"/>
      <c r="N215" s="4"/>
    </row>
    <row r="216" ht="15.75" customHeight="1">
      <c r="A216" s="1"/>
      <c r="B216" s="18">
        <v>3370.0</v>
      </c>
      <c r="C216" s="19" t="s">
        <v>185</v>
      </c>
      <c r="D216" s="41"/>
      <c r="E216" s="20"/>
      <c r="F216" s="20"/>
      <c r="G216" s="20"/>
      <c r="H216" s="20"/>
      <c r="I216" s="20"/>
      <c r="J216" s="20"/>
      <c r="K216" s="22"/>
      <c r="L216" s="4"/>
      <c r="M216" s="4"/>
      <c r="N216" s="4"/>
    </row>
    <row r="217" ht="15.75" customHeight="1">
      <c r="A217" s="8"/>
      <c r="B217" s="18">
        <v>625.0</v>
      </c>
      <c r="C217" s="19" t="s">
        <v>79</v>
      </c>
      <c r="D217" s="73"/>
      <c r="E217" s="73"/>
      <c r="F217" s="20"/>
      <c r="G217" s="20"/>
      <c r="H217" s="25"/>
      <c r="I217" s="20"/>
      <c r="J217" s="20"/>
      <c r="K217" s="22">
        <f>SUM(J218)</f>
        <v>18200</v>
      </c>
      <c r="L217" s="10"/>
      <c r="M217" s="10"/>
      <c r="N217" s="10"/>
    </row>
    <row r="218" ht="15.75" customHeight="1">
      <c r="A218" s="23"/>
      <c r="B218" s="18"/>
      <c r="C218" s="48" t="s">
        <v>186</v>
      </c>
      <c r="D218" s="73">
        <v>18200.0</v>
      </c>
      <c r="E218" s="73">
        <v>18200.0</v>
      </c>
      <c r="F218" s="20"/>
      <c r="G218" s="20"/>
      <c r="H218" s="25"/>
      <c r="I218" s="20"/>
      <c r="J218" s="20">
        <f>SUM(E218:H218)</f>
        <v>18200</v>
      </c>
      <c r="K218" s="22"/>
      <c r="L218" s="10"/>
      <c r="M218" s="10"/>
      <c r="N218" s="10"/>
    </row>
    <row r="219" ht="15.75" customHeight="1">
      <c r="A219" s="43"/>
      <c r="B219" s="37" t="s">
        <v>180</v>
      </c>
      <c r="C219" s="19" t="s">
        <v>11</v>
      </c>
      <c r="D219" s="20"/>
      <c r="E219" s="20"/>
      <c r="F219" s="20"/>
      <c r="G219" s="20"/>
      <c r="H219" s="20"/>
      <c r="I219" s="20"/>
      <c r="J219" s="20"/>
      <c r="K219" s="22">
        <f>SUM(J220)</f>
        <v>1627000</v>
      </c>
      <c r="L219" s="10"/>
      <c r="M219" s="26" t="s">
        <v>187</v>
      </c>
      <c r="N219" s="104">
        <v>1774525.0</v>
      </c>
    </row>
    <row r="220" ht="15.75" customHeight="1">
      <c r="A220" s="23"/>
      <c r="B220" s="60" t="s">
        <v>188</v>
      </c>
      <c r="C220" s="71" t="s">
        <v>189</v>
      </c>
      <c r="D220" s="105">
        <v>1627000.0</v>
      </c>
      <c r="E220" s="106">
        <v>1443469.85</v>
      </c>
      <c r="F220" s="56"/>
      <c r="G220" s="56"/>
      <c r="H220" s="56">
        <v>183530.1499999999</v>
      </c>
      <c r="I220" s="56"/>
      <c r="J220" s="56">
        <f>SUM(E220:H220)</f>
        <v>1627000</v>
      </c>
      <c r="K220" s="22"/>
      <c r="L220" s="59"/>
      <c r="M220" s="27">
        <v>2024.0</v>
      </c>
      <c r="N220" s="26">
        <v>101575.0</v>
      </c>
    </row>
    <row r="221" ht="15.75" customHeight="1">
      <c r="A221" s="8"/>
      <c r="B221" s="9"/>
      <c r="C221" s="37" t="s">
        <v>190</v>
      </c>
      <c r="D221" s="36">
        <f t="shared" ref="D221:J221" si="42">SUM(D218:D220)</f>
        <v>1645200</v>
      </c>
      <c r="E221" s="36">
        <f t="shared" si="42"/>
        <v>1461669.85</v>
      </c>
      <c r="F221" s="36">
        <f t="shared" si="42"/>
        <v>0</v>
      </c>
      <c r="G221" s="36">
        <f t="shared" si="42"/>
        <v>0</v>
      </c>
      <c r="H221" s="36">
        <f t="shared" si="42"/>
        <v>183530.15</v>
      </c>
      <c r="I221" s="36">
        <f t="shared" si="42"/>
        <v>0</v>
      </c>
      <c r="J221" s="36">
        <f t="shared" si="42"/>
        <v>1645200</v>
      </c>
      <c r="K221" s="22"/>
      <c r="L221" s="4"/>
      <c r="M221" s="24">
        <v>2025.0</v>
      </c>
      <c r="N221" s="107">
        <v>1489419.85</v>
      </c>
    </row>
    <row r="222" ht="15.75" customHeight="1">
      <c r="A222" s="94"/>
      <c r="B222" s="95"/>
      <c r="C222" s="31"/>
      <c r="D222" s="29"/>
      <c r="E222" s="29"/>
      <c r="F222" s="29"/>
      <c r="G222" s="29"/>
      <c r="H222" s="29"/>
      <c r="I222" s="29"/>
      <c r="J222" s="29"/>
      <c r="K222" s="34"/>
      <c r="L222" s="31"/>
      <c r="M222" s="109">
        <v>2026.0</v>
      </c>
      <c r="N222" s="110">
        <f>N219-N220-N221</f>
        <v>183530.15</v>
      </c>
    </row>
    <row r="223" ht="15.75" customHeight="1">
      <c r="A223" s="1"/>
      <c r="B223" s="18">
        <v>3373.0</v>
      </c>
      <c r="C223" s="111" t="s">
        <v>191</v>
      </c>
      <c r="D223" s="74"/>
      <c r="E223" s="20"/>
      <c r="F223" s="20"/>
      <c r="G223" s="20"/>
      <c r="H223" s="20"/>
      <c r="I223" s="20"/>
      <c r="J223" s="20"/>
      <c r="K223" s="22"/>
      <c r="L223" s="4"/>
      <c r="M223" s="4"/>
      <c r="N223" s="4"/>
    </row>
    <row r="224" ht="15.75" customHeight="1">
      <c r="A224" s="23"/>
      <c r="B224" s="39">
        <v>632.0</v>
      </c>
      <c r="C224" s="19" t="s">
        <v>11</v>
      </c>
      <c r="D224" s="73"/>
      <c r="E224" s="25"/>
      <c r="F224" s="20"/>
      <c r="G224" s="20"/>
      <c r="H224" s="20"/>
      <c r="I224" s="25"/>
      <c r="J224" s="20"/>
      <c r="K224" s="22">
        <f>SUM(J225:J227)</f>
        <v>915000</v>
      </c>
      <c r="L224" s="4"/>
      <c r="M224" s="4"/>
      <c r="N224" s="4"/>
    </row>
    <row r="225" ht="15.75" customHeight="1">
      <c r="A225" s="23"/>
      <c r="B225" s="9"/>
      <c r="C225" s="109" t="s">
        <v>192</v>
      </c>
      <c r="D225" s="73">
        <v>55000.0</v>
      </c>
      <c r="E225" s="25">
        <v>55000.0</v>
      </c>
      <c r="F225" s="33"/>
      <c r="G225" s="20"/>
      <c r="H225" s="20"/>
      <c r="I225" s="25"/>
      <c r="J225" s="20">
        <f t="shared" ref="J225:J227" si="43">SUM(E225:I225)</f>
        <v>55000</v>
      </c>
      <c r="K225" s="22"/>
      <c r="L225" s="4"/>
      <c r="M225" s="4"/>
      <c r="N225" s="4"/>
    </row>
    <row r="226" ht="15.75" customHeight="1">
      <c r="A226" s="23"/>
      <c r="B226" s="9"/>
      <c r="C226" s="109" t="s">
        <v>193</v>
      </c>
      <c r="D226" s="73">
        <v>800000.0</v>
      </c>
      <c r="E226" s="25">
        <v>800000.0</v>
      </c>
      <c r="F226" s="33"/>
      <c r="G226" s="20"/>
      <c r="H226" s="20"/>
      <c r="I226" s="25"/>
      <c r="J226" s="20">
        <f t="shared" si="43"/>
        <v>800000</v>
      </c>
      <c r="K226" s="22"/>
      <c r="L226" s="4"/>
      <c r="M226" s="4"/>
      <c r="N226" s="4"/>
    </row>
    <row r="227" ht="15.75" customHeight="1">
      <c r="A227" s="23"/>
      <c r="B227" s="39"/>
      <c r="C227" s="48" t="s">
        <v>194</v>
      </c>
      <c r="D227" s="73">
        <v>60000.0</v>
      </c>
      <c r="E227" s="25">
        <v>60000.0</v>
      </c>
      <c r="F227" s="20"/>
      <c r="G227" s="20"/>
      <c r="H227" s="20"/>
      <c r="I227" s="25"/>
      <c r="J227" s="20">
        <f t="shared" si="43"/>
        <v>60000</v>
      </c>
      <c r="K227" s="22"/>
      <c r="L227" s="4"/>
      <c r="M227" s="4"/>
      <c r="N227" s="4"/>
    </row>
    <row r="228" ht="15.75" customHeight="1">
      <c r="A228" s="8"/>
      <c r="B228" s="9"/>
      <c r="C228" s="37" t="s">
        <v>195</v>
      </c>
      <c r="D228" s="36">
        <f t="shared" ref="D228:J228" si="44">SUM(D224:D227)</f>
        <v>915000</v>
      </c>
      <c r="E228" s="36">
        <f t="shared" si="44"/>
        <v>915000</v>
      </c>
      <c r="F228" s="36">
        <f t="shared" si="44"/>
        <v>0</v>
      </c>
      <c r="G228" s="36">
        <f t="shared" si="44"/>
        <v>0</v>
      </c>
      <c r="H228" s="36">
        <f t="shared" si="44"/>
        <v>0</v>
      </c>
      <c r="I228" s="36">
        <f t="shared" si="44"/>
        <v>0</v>
      </c>
      <c r="J228" s="36">
        <f t="shared" si="44"/>
        <v>915000</v>
      </c>
      <c r="K228" s="22"/>
      <c r="L228" s="4"/>
      <c r="M228" s="4"/>
      <c r="N228" s="4"/>
    </row>
    <row r="229" ht="15.75" customHeight="1">
      <c r="A229" s="94"/>
      <c r="B229" s="95"/>
      <c r="C229" s="31"/>
      <c r="D229" s="29"/>
      <c r="E229" s="29"/>
      <c r="F229" s="29"/>
      <c r="G229" s="29"/>
      <c r="H229" s="29"/>
      <c r="I229" s="29"/>
      <c r="J229" s="29"/>
      <c r="K229" s="34"/>
      <c r="L229" s="31"/>
      <c r="M229" s="31"/>
      <c r="N229" s="31"/>
    </row>
    <row r="230" ht="15.75" customHeight="1">
      <c r="A230" s="83"/>
      <c r="B230" s="101" t="s">
        <v>196</v>
      </c>
      <c r="C230" s="102" t="s">
        <v>197</v>
      </c>
      <c r="D230" s="29"/>
      <c r="E230" s="29"/>
      <c r="F230" s="29"/>
      <c r="G230" s="29"/>
      <c r="H230" s="29"/>
      <c r="I230" s="29"/>
      <c r="J230" s="29"/>
      <c r="K230" s="34"/>
      <c r="L230" s="31"/>
      <c r="M230" s="31"/>
      <c r="N230" s="31"/>
    </row>
    <row r="231" ht="15.75" customHeight="1">
      <c r="A231" s="86"/>
      <c r="B231" s="87">
        <v>629.0</v>
      </c>
      <c r="C231" s="85" t="s">
        <v>165</v>
      </c>
      <c r="D231" s="29"/>
      <c r="E231" s="29"/>
      <c r="F231" s="29"/>
      <c r="G231" s="29"/>
      <c r="H231" s="29"/>
      <c r="I231" s="29"/>
      <c r="J231" s="29"/>
      <c r="K231" s="22">
        <f>SUM(J232)</f>
        <v>18200</v>
      </c>
      <c r="L231" s="31"/>
      <c r="M231" s="31"/>
      <c r="N231" s="31"/>
    </row>
    <row r="232" ht="15.75" customHeight="1">
      <c r="A232" s="88"/>
      <c r="B232" s="89"/>
      <c r="C232" s="90" t="s">
        <v>109</v>
      </c>
      <c r="D232" s="79">
        <v>18200.0</v>
      </c>
      <c r="E232" s="79">
        <v>18200.0</v>
      </c>
      <c r="F232" s="29"/>
      <c r="G232" s="29"/>
      <c r="H232" s="29"/>
      <c r="I232" s="29"/>
      <c r="J232" s="91">
        <f>SUM(E232:I232)</f>
        <v>18200</v>
      </c>
      <c r="K232" s="34"/>
      <c r="L232" s="31"/>
      <c r="M232" s="31"/>
      <c r="N232" s="31"/>
    </row>
    <row r="233" ht="15.75" customHeight="1">
      <c r="A233" s="28"/>
      <c r="B233" s="31"/>
      <c r="C233" s="101" t="s">
        <v>196</v>
      </c>
      <c r="D233" s="93">
        <f t="shared" ref="D233:J233" si="45">SUM(D232)</f>
        <v>18200</v>
      </c>
      <c r="E233" s="93">
        <f t="shared" si="45"/>
        <v>18200</v>
      </c>
      <c r="F233" s="93">
        <f t="shared" si="45"/>
        <v>0</v>
      </c>
      <c r="G233" s="93">
        <f t="shared" si="45"/>
        <v>0</v>
      </c>
      <c r="H233" s="93">
        <f t="shared" si="45"/>
        <v>0</v>
      </c>
      <c r="I233" s="93">
        <f t="shared" si="45"/>
        <v>0</v>
      </c>
      <c r="J233" s="93">
        <f t="shared" si="45"/>
        <v>18200</v>
      </c>
      <c r="K233" s="34"/>
      <c r="L233" s="31"/>
      <c r="M233" s="31"/>
      <c r="N233" s="31"/>
    </row>
    <row r="234" ht="15.75" customHeight="1">
      <c r="A234" s="94"/>
      <c r="B234" s="95"/>
      <c r="C234" s="31"/>
      <c r="D234" s="29"/>
      <c r="E234" s="29"/>
      <c r="F234" s="29"/>
      <c r="G234" s="29"/>
      <c r="H234" s="29"/>
      <c r="I234" s="29"/>
      <c r="J234" s="29"/>
      <c r="K234" s="34"/>
      <c r="L234" s="31"/>
      <c r="M234" s="31"/>
      <c r="N234" s="31"/>
    </row>
    <row r="235" ht="15.75" customHeight="1">
      <c r="A235" s="83"/>
      <c r="B235" s="101" t="s">
        <v>198</v>
      </c>
      <c r="C235" s="102" t="s">
        <v>199</v>
      </c>
      <c r="D235" s="29"/>
      <c r="E235" s="29"/>
      <c r="F235" s="29"/>
      <c r="G235" s="29"/>
      <c r="H235" s="29"/>
      <c r="I235" s="29"/>
      <c r="J235" s="29"/>
      <c r="K235" s="34"/>
      <c r="L235" s="31"/>
      <c r="M235" s="31"/>
      <c r="N235" s="31"/>
    </row>
    <row r="236" ht="15.75" customHeight="1">
      <c r="A236" s="86"/>
      <c r="B236" s="87">
        <v>629.0</v>
      </c>
      <c r="C236" s="85" t="s">
        <v>165</v>
      </c>
      <c r="D236" s="29"/>
      <c r="E236" s="29"/>
      <c r="F236" s="29"/>
      <c r="G236" s="29"/>
      <c r="H236" s="29"/>
      <c r="I236" s="29"/>
      <c r="J236" s="29"/>
      <c r="K236" s="22">
        <f>SUM(J237)</f>
        <v>50000</v>
      </c>
      <c r="L236" s="31"/>
      <c r="M236" s="31"/>
      <c r="N236" s="31"/>
    </row>
    <row r="237" ht="15.75" customHeight="1">
      <c r="A237" s="88"/>
      <c r="B237" s="89"/>
      <c r="C237" s="90" t="s">
        <v>109</v>
      </c>
      <c r="D237" s="79">
        <v>50000.0</v>
      </c>
      <c r="E237" s="79">
        <v>50000.0</v>
      </c>
      <c r="F237" s="29"/>
      <c r="G237" s="29"/>
      <c r="H237" s="29"/>
      <c r="I237" s="29"/>
      <c r="J237" s="91">
        <f>SUM(E237:I237)</f>
        <v>50000</v>
      </c>
      <c r="K237" s="34"/>
      <c r="L237" s="31"/>
      <c r="M237" s="31"/>
      <c r="N237" s="31"/>
    </row>
    <row r="238" ht="15.75" customHeight="1">
      <c r="A238" s="28"/>
      <c r="B238" s="31"/>
      <c r="C238" s="101" t="s">
        <v>198</v>
      </c>
      <c r="D238" s="93">
        <f t="shared" ref="D238:J238" si="46">SUM(D237)</f>
        <v>50000</v>
      </c>
      <c r="E238" s="93">
        <f t="shared" si="46"/>
        <v>50000</v>
      </c>
      <c r="F238" s="93">
        <f t="shared" si="46"/>
        <v>0</v>
      </c>
      <c r="G238" s="93">
        <f t="shared" si="46"/>
        <v>0</v>
      </c>
      <c r="H238" s="93">
        <f t="shared" si="46"/>
        <v>0</v>
      </c>
      <c r="I238" s="93">
        <f t="shared" si="46"/>
        <v>0</v>
      </c>
      <c r="J238" s="93">
        <f t="shared" si="46"/>
        <v>50000</v>
      </c>
      <c r="K238" s="34"/>
      <c r="L238" s="31"/>
      <c r="M238" s="31"/>
      <c r="N238" s="31"/>
    </row>
    <row r="239" ht="15.75" customHeight="1">
      <c r="A239" s="94"/>
      <c r="B239" s="95"/>
      <c r="C239" s="31"/>
      <c r="D239" s="29"/>
      <c r="E239" s="29"/>
      <c r="F239" s="29"/>
      <c r="G239" s="29"/>
      <c r="H239" s="29"/>
      <c r="I239" s="29"/>
      <c r="J239" s="29"/>
      <c r="K239" s="34"/>
      <c r="L239" s="31"/>
      <c r="M239" s="31"/>
      <c r="N239" s="31"/>
    </row>
    <row r="240" ht="15.75" customHeight="1">
      <c r="A240" s="1"/>
      <c r="B240" s="18">
        <v>3380.0</v>
      </c>
      <c r="C240" s="19" t="s">
        <v>200</v>
      </c>
      <c r="D240" s="74"/>
      <c r="E240" s="20"/>
      <c r="F240" s="20"/>
      <c r="G240" s="20"/>
      <c r="H240" s="20"/>
      <c r="I240" s="20"/>
      <c r="J240" s="20"/>
      <c r="K240" s="22"/>
      <c r="L240" s="4"/>
      <c r="M240" s="4"/>
      <c r="N240" s="4"/>
    </row>
    <row r="241" ht="15.75" customHeight="1">
      <c r="A241" s="86"/>
      <c r="B241" s="87">
        <v>623.0</v>
      </c>
      <c r="C241" s="85" t="s">
        <v>94</v>
      </c>
      <c r="D241" s="20"/>
      <c r="E241" s="20"/>
      <c r="F241" s="20"/>
      <c r="G241" s="20"/>
      <c r="H241" s="20"/>
      <c r="I241" s="20"/>
      <c r="J241" s="20"/>
      <c r="K241" s="22">
        <f>SUM(J242:J243)</f>
        <v>140000</v>
      </c>
      <c r="L241" s="4"/>
      <c r="M241" s="4"/>
      <c r="N241" s="4"/>
    </row>
    <row r="242" ht="15.75" customHeight="1">
      <c r="A242" s="23"/>
      <c r="B242" s="9"/>
      <c r="C242" s="24" t="s">
        <v>201</v>
      </c>
      <c r="D242" s="79">
        <v>20000.0</v>
      </c>
      <c r="E242" s="79">
        <v>20000.0</v>
      </c>
      <c r="F242" s="33"/>
      <c r="G242" s="20"/>
      <c r="H242" s="20"/>
      <c r="I242" s="20"/>
      <c r="J242" s="20">
        <f t="shared" ref="J242:J243" si="47">SUM(E242:H242)</f>
        <v>20000</v>
      </c>
      <c r="K242" s="22"/>
      <c r="L242" s="4"/>
      <c r="M242" s="4"/>
      <c r="N242" s="4"/>
    </row>
    <row r="243" ht="15.75" customHeight="1">
      <c r="A243" s="23"/>
      <c r="B243" s="27"/>
      <c r="C243" s="24" t="s">
        <v>202</v>
      </c>
      <c r="D243" s="79">
        <v>120000.0</v>
      </c>
      <c r="E243" s="79">
        <v>120000.0</v>
      </c>
      <c r="F243" s="20"/>
      <c r="G243" s="20"/>
      <c r="H243" s="20"/>
      <c r="I243" s="20"/>
      <c r="J243" s="20">
        <f t="shared" si="47"/>
        <v>120000</v>
      </c>
      <c r="K243" s="22"/>
      <c r="L243" s="4"/>
      <c r="M243" s="4"/>
      <c r="N243" s="4"/>
    </row>
    <row r="244" ht="15.75" customHeight="1">
      <c r="A244" s="8"/>
      <c r="B244" s="9"/>
      <c r="C244" s="37" t="s">
        <v>203</v>
      </c>
      <c r="D244" s="36">
        <f t="shared" ref="D244:J244" si="48">SUM(D242:D243)</f>
        <v>140000</v>
      </c>
      <c r="E244" s="36">
        <f t="shared" si="48"/>
        <v>140000</v>
      </c>
      <c r="F244" s="36">
        <f t="shared" si="48"/>
        <v>0</v>
      </c>
      <c r="G244" s="36">
        <f t="shared" si="48"/>
        <v>0</v>
      </c>
      <c r="H244" s="36">
        <f t="shared" si="48"/>
        <v>0</v>
      </c>
      <c r="I244" s="36">
        <f t="shared" si="48"/>
        <v>0</v>
      </c>
      <c r="J244" s="36">
        <f t="shared" si="48"/>
        <v>140000</v>
      </c>
      <c r="K244" s="22"/>
      <c r="L244" s="4"/>
      <c r="M244" s="4"/>
      <c r="N244" s="4"/>
    </row>
    <row r="245" ht="15.75" customHeight="1">
      <c r="A245" s="8"/>
      <c r="B245" s="9"/>
      <c r="C245" s="4"/>
      <c r="D245" s="20"/>
      <c r="E245" s="20"/>
      <c r="F245" s="20"/>
      <c r="G245" s="20"/>
      <c r="H245" s="20"/>
      <c r="I245" s="20"/>
      <c r="J245" s="20"/>
      <c r="K245" s="22"/>
      <c r="L245" s="4"/>
      <c r="M245" s="4"/>
      <c r="N245" s="4"/>
    </row>
    <row r="246" ht="15.75" customHeight="1">
      <c r="A246" s="43"/>
      <c r="B246" s="112" t="s">
        <v>204</v>
      </c>
      <c r="C246" s="114" t="s">
        <v>205</v>
      </c>
      <c r="D246" s="115"/>
      <c r="E246" s="20"/>
      <c r="F246" s="20"/>
      <c r="G246" s="20"/>
      <c r="H246" s="20"/>
      <c r="I246" s="20"/>
      <c r="J246" s="20"/>
      <c r="K246" s="22"/>
      <c r="L246" s="4"/>
      <c r="M246" s="4"/>
      <c r="N246" s="4"/>
    </row>
    <row r="247" ht="15.75" customHeight="1">
      <c r="A247" s="43"/>
      <c r="B247" s="116">
        <v>641.0</v>
      </c>
      <c r="C247" s="117" t="s">
        <v>158</v>
      </c>
      <c r="D247" s="115"/>
      <c r="E247" s="20"/>
      <c r="F247" s="29"/>
      <c r="G247" s="20"/>
      <c r="H247" s="20"/>
      <c r="I247" s="44"/>
      <c r="J247" s="44"/>
      <c r="K247" s="118">
        <f>SUM(J248)</f>
        <v>45000</v>
      </c>
      <c r="L247" s="4"/>
      <c r="M247" s="4"/>
      <c r="N247" s="4"/>
    </row>
    <row r="248" ht="15.75" customHeight="1">
      <c r="A248" s="119"/>
      <c r="B248" s="120"/>
      <c r="C248" s="121" t="s">
        <v>206</v>
      </c>
      <c r="D248" s="122">
        <v>45000.0</v>
      </c>
      <c r="E248" s="122">
        <v>45000.0</v>
      </c>
      <c r="F248" s="29"/>
      <c r="G248" s="29"/>
      <c r="H248" s="29"/>
      <c r="I248" s="29"/>
      <c r="J248" s="20">
        <f>SUM(E248:H248)</f>
        <v>45000</v>
      </c>
      <c r="K248" s="22"/>
      <c r="L248" s="4"/>
      <c r="M248" s="4"/>
      <c r="N248" s="4"/>
    </row>
    <row r="249" ht="15.75" customHeight="1">
      <c r="A249" s="50"/>
      <c r="B249" s="123"/>
      <c r="C249" s="124" t="s">
        <v>204</v>
      </c>
      <c r="D249" s="36">
        <f t="shared" ref="D249:J249" si="49">SUM(D248)</f>
        <v>45000</v>
      </c>
      <c r="E249" s="36">
        <f t="shared" si="49"/>
        <v>45000</v>
      </c>
      <c r="F249" s="36">
        <f t="shared" si="49"/>
        <v>0</v>
      </c>
      <c r="G249" s="36">
        <f t="shared" si="49"/>
        <v>0</v>
      </c>
      <c r="H249" s="36">
        <f t="shared" si="49"/>
        <v>0</v>
      </c>
      <c r="I249" s="36">
        <f t="shared" si="49"/>
        <v>0</v>
      </c>
      <c r="J249" s="36">
        <f t="shared" si="49"/>
        <v>45000</v>
      </c>
      <c r="K249" s="22"/>
      <c r="L249" s="4"/>
      <c r="M249" s="4"/>
      <c r="N249" s="4"/>
    </row>
    <row r="250" ht="15.75" customHeight="1">
      <c r="A250" s="43"/>
      <c r="B250" s="37"/>
      <c r="C250" s="19"/>
      <c r="D250" s="20"/>
      <c r="E250" s="20"/>
      <c r="F250" s="44"/>
      <c r="G250" s="20"/>
      <c r="H250" s="20"/>
      <c r="I250" s="44"/>
      <c r="J250" s="44"/>
      <c r="K250" s="22"/>
      <c r="L250" s="4"/>
      <c r="M250" s="4"/>
      <c r="N250" s="4"/>
    </row>
    <row r="251" ht="15.75" customHeight="1">
      <c r="A251" s="43"/>
      <c r="B251" s="37" t="s">
        <v>208</v>
      </c>
      <c r="C251" s="19" t="s">
        <v>209</v>
      </c>
      <c r="D251" s="20"/>
      <c r="E251" s="20"/>
      <c r="F251" s="44"/>
      <c r="G251" s="20"/>
      <c r="H251" s="20"/>
      <c r="I251" s="44"/>
      <c r="J251" s="44"/>
      <c r="K251" s="22"/>
      <c r="L251" s="4"/>
      <c r="M251" s="4"/>
      <c r="N251" s="4"/>
    </row>
    <row r="252" ht="15.75" customHeight="1">
      <c r="A252" s="94"/>
      <c r="B252" s="37">
        <v>624.0</v>
      </c>
      <c r="C252" s="19" t="s">
        <v>17</v>
      </c>
      <c r="D252" s="29"/>
      <c r="E252" s="29"/>
      <c r="F252" s="29"/>
      <c r="G252" s="29"/>
      <c r="H252" s="29"/>
      <c r="I252" s="29"/>
      <c r="J252" s="29"/>
      <c r="K252" s="22">
        <f>SUM(J253)</f>
        <v>45000</v>
      </c>
      <c r="L252" s="31"/>
      <c r="M252" s="31"/>
      <c r="N252" s="31"/>
    </row>
    <row r="253" ht="15.75" customHeight="1">
      <c r="A253" s="119"/>
      <c r="B253" s="95"/>
      <c r="C253" s="4" t="s">
        <v>18</v>
      </c>
      <c r="D253" s="25">
        <v>45000.0</v>
      </c>
      <c r="E253" s="25">
        <v>45000.0</v>
      </c>
      <c r="F253" s="33"/>
      <c r="G253" s="29"/>
      <c r="H253" s="29"/>
      <c r="I253" s="29"/>
      <c r="J253" s="20">
        <f>SUM(E253:H253)</f>
        <v>45000</v>
      </c>
      <c r="K253" s="34"/>
      <c r="L253" s="31"/>
      <c r="M253" s="31"/>
      <c r="N253" s="31"/>
    </row>
    <row r="254" ht="15.75" customHeight="1">
      <c r="A254" s="83"/>
      <c r="B254" s="84" t="s">
        <v>180</v>
      </c>
      <c r="C254" s="85" t="s">
        <v>11</v>
      </c>
      <c r="D254" s="20"/>
      <c r="E254" s="20"/>
      <c r="F254" s="44"/>
      <c r="G254" s="20"/>
      <c r="H254" s="20"/>
      <c r="I254" s="44"/>
      <c r="J254" s="44"/>
      <c r="K254" s="22">
        <f>SUM(J255:J260)</f>
        <v>720000</v>
      </c>
      <c r="L254" s="4"/>
      <c r="M254" s="4"/>
      <c r="N254" s="4"/>
    </row>
    <row r="255" ht="15.75" customHeight="1">
      <c r="A255" s="78"/>
      <c r="B255" s="61"/>
      <c r="C255" s="125" t="s">
        <v>210</v>
      </c>
      <c r="D255" s="126">
        <v>100000.0</v>
      </c>
      <c r="E255" s="66">
        <v>50000.0</v>
      </c>
      <c r="F255" s="126">
        <v>50000.0</v>
      </c>
      <c r="G255" s="20"/>
      <c r="H255" s="20"/>
      <c r="I255" s="127"/>
      <c r="J255" s="20">
        <f t="shared" ref="J255:J257" si="50">SUM(E255:I255)</f>
        <v>100000</v>
      </c>
      <c r="K255" s="22"/>
      <c r="L255" s="4"/>
      <c r="M255" s="4"/>
      <c r="N255" s="4"/>
    </row>
    <row r="256" ht="15.75" customHeight="1">
      <c r="A256" s="78"/>
      <c r="B256" s="61"/>
      <c r="C256" s="125" t="s">
        <v>211</v>
      </c>
      <c r="D256" s="126">
        <v>200000.0</v>
      </c>
      <c r="E256" s="66">
        <v>200000.0</v>
      </c>
      <c r="F256" s="126"/>
      <c r="G256" s="20"/>
      <c r="H256" s="20"/>
      <c r="I256" s="127"/>
      <c r="J256" s="20">
        <f t="shared" si="50"/>
        <v>200000</v>
      </c>
      <c r="K256" s="22"/>
      <c r="L256" s="4"/>
      <c r="M256" s="4"/>
      <c r="N256" s="4"/>
    </row>
    <row r="257" ht="15.75" customHeight="1">
      <c r="A257" s="23"/>
      <c r="B257" s="39"/>
      <c r="C257" s="48" t="s">
        <v>212</v>
      </c>
      <c r="D257" s="73">
        <v>50000.0</v>
      </c>
      <c r="E257" s="25">
        <v>50000.0</v>
      </c>
      <c r="F257" s="20"/>
      <c r="G257" s="20"/>
      <c r="H257" s="20"/>
      <c r="I257" s="25"/>
      <c r="J257" s="20">
        <f t="shared" si="50"/>
        <v>50000</v>
      </c>
      <c r="K257" s="22"/>
      <c r="L257" s="4"/>
      <c r="M257" s="4"/>
      <c r="N257" s="4"/>
    </row>
    <row r="258" ht="15.75" customHeight="1">
      <c r="A258" s="78"/>
      <c r="B258" s="61"/>
      <c r="C258" s="24" t="s">
        <v>213</v>
      </c>
      <c r="D258" s="25">
        <v>50000.0</v>
      </c>
      <c r="E258" s="25">
        <v>50000.0</v>
      </c>
      <c r="F258" s="44"/>
      <c r="G258" s="20"/>
      <c r="H258" s="20"/>
      <c r="I258" s="127"/>
      <c r="J258" s="20">
        <f t="shared" ref="J258:J260" si="51">SUM(E258:H258)</f>
        <v>50000</v>
      </c>
      <c r="K258" s="22"/>
      <c r="L258" s="4"/>
      <c r="M258" s="4"/>
      <c r="N258" s="4"/>
    </row>
    <row r="259" ht="15.75" customHeight="1">
      <c r="A259" s="78"/>
      <c r="B259" s="61"/>
      <c r="C259" s="125" t="s">
        <v>215</v>
      </c>
      <c r="D259" s="126">
        <v>20000.0</v>
      </c>
      <c r="E259" s="126">
        <v>20000.0</v>
      </c>
      <c r="F259" s="44"/>
      <c r="G259" s="20"/>
      <c r="H259" s="20"/>
      <c r="I259" s="127"/>
      <c r="J259" s="20">
        <f t="shared" si="51"/>
        <v>20000</v>
      </c>
      <c r="K259" s="22"/>
      <c r="L259" s="4"/>
      <c r="M259" s="4"/>
      <c r="N259" s="4"/>
    </row>
    <row r="260" ht="15.75" customHeight="1">
      <c r="A260" s="78"/>
      <c r="B260" s="61"/>
      <c r="C260" s="24" t="s">
        <v>217</v>
      </c>
      <c r="D260" s="126">
        <v>300000.0</v>
      </c>
      <c r="E260" s="126">
        <v>300000.0</v>
      </c>
      <c r="F260" s="44"/>
      <c r="G260" s="20"/>
      <c r="H260" s="20"/>
      <c r="I260" s="127"/>
      <c r="J260" s="20">
        <f t="shared" si="51"/>
        <v>300000</v>
      </c>
      <c r="K260" s="22"/>
      <c r="L260" s="4"/>
      <c r="M260" s="4"/>
      <c r="N260" s="4"/>
    </row>
    <row r="261" ht="15.75" customHeight="1">
      <c r="A261" s="50"/>
      <c r="B261" s="61"/>
      <c r="C261" s="63">
        <v>3420.0</v>
      </c>
      <c r="D261" s="36">
        <f t="shared" ref="D261:J261" si="52">SUM(D253:D260)</f>
        <v>765000</v>
      </c>
      <c r="E261" s="36">
        <f t="shared" si="52"/>
        <v>715000</v>
      </c>
      <c r="F261" s="36">
        <f t="shared" si="52"/>
        <v>50000</v>
      </c>
      <c r="G261" s="36">
        <f t="shared" si="52"/>
        <v>0</v>
      </c>
      <c r="H261" s="36">
        <f t="shared" si="52"/>
        <v>0</v>
      </c>
      <c r="I261" s="36">
        <f t="shared" si="52"/>
        <v>0</v>
      </c>
      <c r="J261" s="36">
        <f t="shared" si="52"/>
        <v>765000</v>
      </c>
      <c r="K261" s="22"/>
      <c r="L261" s="4"/>
      <c r="M261" s="4"/>
      <c r="N261" s="4"/>
    </row>
    <row r="262" ht="15.75" customHeight="1">
      <c r="A262" s="1"/>
      <c r="B262" s="18"/>
      <c r="C262" s="19"/>
      <c r="D262" s="20"/>
      <c r="E262" s="20"/>
      <c r="F262" s="20"/>
      <c r="G262" s="20"/>
      <c r="H262" s="20"/>
      <c r="I262" s="20"/>
      <c r="J262" s="20"/>
      <c r="K262" s="22"/>
      <c r="L262" s="4"/>
      <c r="M262" s="4"/>
      <c r="N262" s="4"/>
    </row>
    <row r="263" ht="15.75" customHeight="1">
      <c r="A263" s="1"/>
      <c r="B263" s="18">
        <v>4320.0</v>
      </c>
      <c r="C263" s="19" t="s">
        <v>218</v>
      </c>
      <c r="D263" s="20"/>
      <c r="E263" s="20"/>
      <c r="F263" s="20"/>
      <c r="G263" s="20"/>
      <c r="H263" s="20"/>
      <c r="I263" s="20"/>
      <c r="J263" s="20"/>
      <c r="K263" s="22"/>
      <c r="L263" s="4"/>
      <c r="M263" s="4"/>
      <c r="N263" s="4"/>
    </row>
    <row r="264" ht="15.75" customHeight="1">
      <c r="A264" s="43"/>
      <c r="B264" s="37">
        <v>619.0</v>
      </c>
      <c r="C264" s="21" t="s">
        <v>20</v>
      </c>
      <c r="D264" s="29"/>
      <c r="E264" s="29"/>
      <c r="F264" s="29"/>
      <c r="G264" s="29"/>
      <c r="H264" s="29"/>
      <c r="I264" s="29"/>
      <c r="J264" s="29"/>
      <c r="K264" s="118">
        <f>SUM(J265)</f>
        <v>200000</v>
      </c>
      <c r="L264" s="30"/>
      <c r="M264" s="30"/>
      <c r="N264" s="30"/>
    </row>
    <row r="265" ht="15.75" customHeight="1">
      <c r="A265" s="119"/>
      <c r="B265" s="120"/>
      <c r="C265" s="128" t="s">
        <v>219</v>
      </c>
      <c r="D265" s="25">
        <v>200000.0</v>
      </c>
      <c r="E265" s="25">
        <v>200000.0</v>
      </c>
      <c r="F265" s="29"/>
      <c r="G265" s="29"/>
      <c r="H265" s="25"/>
      <c r="I265" s="20"/>
      <c r="J265" s="20">
        <f>SUM(E265:H265)</f>
        <v>200000</v>
      </c>
      <c r="K265" s="22"/>
      <c r="L265" s="10"/>
      <c r="M265" s="10"/>
      <c r="N265" s="10"/>
    </row>
    <row r="266" ht="15.75" customHeight="1">
      <c r="A266" s="43"/>
      <c r="B266" s="37">
        <v>622.0</v>
      </c>
      <c r="C266" s="21" t="s">
        <v>11</v>
      </c>
      <c r="D266" s="29"/>
      <c r="E266" s="29"/>
      <c r="F266" s="29"/>
      <c r="G266" s="29"/>
      <c r="H266" s="29"/>
      <c r="I266" s="29"/>
      <c r="J266" s="29"/>
      <c r="K266" s="118">
        <f>SUM(J267)</f>
        <v>370000</v>
      </c>
      <c r="L266" s="30"/>
      <c r="M266" s="30"/>
      <c r="N266" s="30"/>
    </row>
    <row r="267" ht="15.75" customHeight="1">
      <c r="A267" s="119"/>
      <c r="B267" s="129" t="s">
        <v>220</v>
      </c>
      <c r="C267" s="130" t="s">
        <v>221</v>
      </c>
      <c r="D267" s="55">
        <v>370000.0</v>
      </c>
      <c r="E267" s="55">
        <v>370000.0</v>
      </c>
      <c r="F267" s="131"/>
      <c r="G267" s="131"/>
      <c r="H267" s="56"/>
      <c r="I267" s="56"/>
      <c r="J267" s="56">
        <f>SUM(E267:H267)</f>
        <v>370000</v>
      </c>
      <c r="K267" s="22"/>
      <c r="L267" s="10"/>
      <c r="M267" s="10"/>
      <c r="N267" s="10"/>
    </row>
    <row r="268" ht="15.75" customHeight="1">
      <c r="A268" s="1"/>
      <c r="B268" s="18">
        <v>625.0</v>
      </c>
      <c r="C268" s="19" t="s">
        <v>79</v>
      </c>
      <c r="D268" s="44"/>
      <c r="E268" s="44"/>
      <c r="F268" s="20"/>
      <c r="G268" s="20"/>
      <c r="H268" s="20"/>
      <c r="I268" s="44"/>
      <c r="J268" s="127"/>
      <c r="K268" s="118">
        <f>SUM(J269)</f>
        <v>150000</v>
      </c>
      <c r="L268" s="4"/>
      <c r="M268" s="4"/>
      <c r="N268" s="4"/>
    </row>
    <row r="269" ht="15.75" customHeight="1">
      <c r="A269" s="23"/>
      <c r="B269" s="9"/>
      <c r="C269" s="24" t="s">
        <v>222</v>
      </c>
      <c r="D269" s="25">
        <v>150000.0</v>
      </c>
      <c r="E269" s="33"/>
      <c r="F269" s="25">
        <v>150000.0</v>
      </c>
      <c r="G269" s="20"/>
      <c r="H269" s="20"/>
      <c r="I269" s="20"/>
      <c r="J269" s="20">
        <f>SUM(F269:H269)</f>
        <v>150000</v>
      </c>
      <c r="K269" s="22"/>
      <c r="L269" s="4"/>
      <c r="M269" s="4"/>
      <c r="N269" s="4"/>
    </row>
    <row r="270" ht="15.75" customHeight="1">
      <c r="A270" s="83"/>
      <c r="B270" s="84" t="s">
        <v>180</v>
      </c>
      <c r="C270" s="85" t="s">
        <v>11</v>
      </c>
      <c r="D270" s="20"/>
      <c r="E270" s="20"/>
      <c r="F270" s="44"/>
      <c r="G270" s="20"/>
      <c r="H270" s="20"/>
      <c r="I270" s="44"/>
      <c r="J270" s="44"/>
      <c r="K270" s="22">
        <f>SUM(J271:J272)</f>
        <v>260000</v>
      </c>
      <c r="L270" s="4"/>
      <c r="M270" s="4"/>
      <c r="N270" s="4"/>
    </row>
    <row r="271" ht="15.75" customHeight="1">
      <c r="A271" s="132"/>
      <c r="B271" s="101"/>
      <c r="C271" s="133" t="s">
        <v>223</v>
      </c>
      <c r="D271" s="25">
        <v>100000.0</v>
      </c>
      <c r="E271" s="25">
        <v>100000.0</v>
      </c>
      <c r="F271" s="44"/>
      <c r="G271" s="20"/>
      <c r="H271" s="20"/>
      <c r="I271" s="44"/>
      <c r="J271" s="20">
        <f t="shared" ref="J271:J272" si="53">SUM(E271:H271)</f>
        <v>100000</v>
      </c>
      <c r="K271" s="22"/>
      <c r="L271" s="4"/>
      <c r="M271" s="4"/>
      <c r="N271" s="4"/>
    </row>
    <row r="272" ht="15.75" customHeight="1">
      <c r="A272" s="132"/>
      <c r="B272" s="101"/>
      <c r="C272" s="133" t="s">
        <v>224</v>
      </c>
      <c r="D272" s="25">
        <v>160000.0</v>
      </c>
      <c r="E272" s="25">
        <v>160000.0</v>
      </c>
      <c r="F272" s="44"/>
      <c r="G272" s="20"/>
      <c r="H272" s="20"/>
      <c r="I272" s="44"/>
      <c r="J272" s="20">
        <f t="shared" si="53"/>
        <v>160000</v>
      </c>
      <c r="K272" s="22"/>
      <c r="L272" s="4"/>
      <c r="M272" s="4"/>
      <c r="N272" s="4"/>
    </row>
    <row r="273" ht="15.75" customHeight="1">
      <c r="A273" s="1"/>
      <c r="B273" s="39">
        <v>633.0</v>
      </c>
      <c r="C273" s="40" t="s">
        <v>94</v>
      </c>
      <c r="D273" s="44"/>
      <c r="E273" s="44"/>
      <c r="F273" s="20"/>
      <c r="G273" s="20"/>
      <c r="H273" s="20"/>
      <c r="I273" s="44"/>
      <c r="J273" s="127"/>
      <c r="K273" s="118">
        <f>SUM(J274:J275)</f>
        <v>31000</v>
      </c>
      <c r="L273" s="4"/>
      <c r="M273" s="4"/>
      <c r="N273" s="4"/>
    </row>
    <row r="274" ht="15.75" customHeight="1">
      <c r="A274" s="23"/>
      <c r="B274" s="9"/>
      <c r="C274" s="24" t="s">
        <v>225</v>
      </c>
      <c r="D274" s="25">
        <v>25000.0</v>
      </c>
      <c r="E274" s="25">
        <v>25000.0</v>
      </c>
      <c r="F274" s="20"/>
      <c r="G274" s="20"/>
      <c r="H274" s="20"/>
      <c r="I274" s="20"/>
      <c r="J274" s="20">
        <f t="shared" ref="J274:J275" si="54">SUM(E274:H274)</f>
        <v>25000</v>
      </c>
      <c r="K274" s="22"/>
      <c r="L274" s="4"/>
      <c r="M274" s="4"/>
      <c r="N274" s="4"/>
    </row>
    <row r="275" ht="15.75" customHeight="1">
      <c r="A275" s="23"/>
      <c r="B275" s="9"/>
      <c r="C275" s="24" t="s">
        <v>227</v>
      </c>
      <c r="D275" s="25">
        <v>6000.0</v>
      </c>
      <c r="E275" s="25">
        <v>6000.0</v>
      </c>
      <c r="F275" s="20"/>
      <c r="G275" s="20"/>
      <c r="H275" s="20"/>
      <c r="I275" s="20"/>
      <c r="J275" s="20">
        <f t="shared" si="54"/>
        <v>6000</v>
      </c>
      <c r="K275" s="22"/>
      <c r="L275" s="4"/>
      <c r="M275" s="4"/>
      <c r="N275" s="4"/>
    </row>
    <row r="276" ht="15.75" customHeight="1">
      <c r="A276" s="83"/>
      <c r="B276" s="101" t="s">
        <v>228</v>
      </c>
      <c r="C276" s="85" t="s">
        <v>11</v>
      </c>
      <c r="D276" s="20"/>
      <c r="E276" s="20"/>
      <c r="F276" s="44"/>
      <c r="G276" s="20"/>
      <c r="H276" s="20"/>
      <c r="I276" s="44"/>
      <c r="J276" s="44"/>
      <c r="K276" s="22">
        <f>SUM(J277)</f>
        <v>100000</v>
      </c>
      <c r="L276" s="4"/>
      <c r="M276" s="4"/>
      <c r="N276" s="4"/>
    </row>
    <row r="277" ht="15.75" customHeight="1">
      <c r="A277" s="23"/>
      <c r="B277" s="27"/>
      <c r="C277" s="24" t="s">
        <v>229</v>
      </c>
      <c r="D277" s="25">
        <v>100000.0</v>
      </c>
      <c r="E277" s="25">
        <v>100000.0</v>
      </c>
      <c r="F277" s="20"/>
      <c r="G277" s="20"/>
      <c r="H277" s="20"/>
      <c r="I277" s="20"/>
      <c r="J277" s="20">
        <f>SUM(E277:H277)</f>
        <v>100000</v>
      </c>
      <c r="K277" s="22"/>
      <c r="L277" s="4"/>
      <c r="M277" s="4"/>
      <c r="N277" s="4"/>
    </row>
    <row r="278" ht="15.75" customHeight="1">
      <c r="A278" s="94"/>
      <c r="B278" s="120"/>
      <c r="C278" s="134" t="s">
        <v>230</v>
      </c>
      <c r="D278" s="136">
        <f t="shared" ref="D278:J278" si="55">SUM(D265:D277)</f>
        <v>1111000</v>
      </c>
      <c r="E278" s="136">
        <f t="shared" si="55"/>
        <v>961000</v>
      </c>
      <c r="F278" s="136">
        <f t="shared" si="55"/>
        <v>150000</v>
      </c>
      <c r="G278" s="136">
        <f t="shared" si="55"/>
        <v>0</v>
      </c>
      <c r="H278" s="136">
        <f t="shared" si="55"/>
        <v>0</v>
      </c>
      <c r="I278" s="136">
        <f t="shared" si="55"/>
        <v>0</v>
      </c>
      <c r="J278" s="136">
        <f t="shared" si="55"/>
        <v>1111000</v>
      </c>
      <c r="K278" s="118"/>
      <c r="L278" s="30"/>
      <c r="M278" s="30"/>
      <c r="N278" s="30"/>
    </row>
    <row r="279" ht="15.75" customHeight="1">
      <c r="A279" s="8"/>
      <c r="B279" s="9"/>
      <c r="C279" s="4"/>
      <c r="D279" s="41"/>
      <c r="E279" s="20"/>
      <c r="F279" s="20"/>
      <c r="G279" s="20"/>
      <c r="H279" s="20"/>
      <c r="I279" s="20"/>
      <c r="J279" s="20"/>
      <c r="K279" s="22"/>
      <c r="L279" s="4"/>
      <c r="M279" s="4"/>
      <c r="N279" s="4"/>
    </row>
    <row r="280" ht="15.75" customHeight="1">
      <c r="A280" s="1"/>
      <c r="B280" s="18">
        <v>4330.0</v>
      </c>
      <c r="C280" s="19" t="s">
        <v>231</v>
      </c>
      <c r="D280" s="41"/>
      <c r="E280" s="20"/>
      <c r="F280" s="20"/>
      <c r="G280" s="20"/>
      <c r="H280" s="20"/>
      <c r="I280" s="20"/>
      <c r="J280" s="20"/>
      <c r="K280" s="22"/>
      <c r="L280" s="4"/>
      <c r="M280" s="4"/>
      <c r="N280" s="4"/>
    </row>
    <row r="281" ht="15.75" customHeight="1">
      <c r="A281" s="43"/>
      <c r="B281" s="137" t="s">
        <v>232</v>
      </c>
      <c r="C281" s="117" t="s">
        <v>152</v>
      </c>
      <c r="D281" s="115"/>
      <c r="E281" s="20"/>
      <c r="F281" s="20"/>
      <c r="G281" s="20"/>
      <c r="H281" s="20"/>
      <c r="I281" s="20"/>
      <c r="J281" s="20"/>
      <c r="K281" s="118">
        <f>SUM(J282:J283)</f>
        <v>300000</v>
      </c>
      <c r="L281" s="4"/>
      <c r="M281" s="4"/>
      <c r="N281" s="4"/>
    </row>
    <row r="282" ht="15.75" customHeight="1">
      <c r="A282" s="119"/>
      <c r="B282" s="120"/>
      <c r="C282" s="138" t="s">
        <v>234</v>
      </c>
      <c r="D282" s="127">
        <v>200000.0</v>
      </c>
      <c r="E282" s="127">
        <v>200000.0</v>
      </c>
      <c r="F282" s="20"/>
      <c r="G282" s="20"/>
      <c r="H282" s="20"/>
      <c r="I282" s="20"/>
      <c r="J282" s="20">
        <f t="shared" ref="J282:J283" si="56">SUM(E282:H282)</f>
        <v>200000</v>
      </c>
      <c r="K282" s="22"/>
      <c r="L282" s="4"/>
      <c r="M282" s="4"/>
      <c r="N282" s="4"/>
    </row>
    <row r="283" ht="15.75" customHeight="1">
      <c r="A283" s="78"/>
      <c r="B283" s="123"/>
      <c r="C283" s="138" t="s">
        <v>235</v>
      </c>
      <c r="D283" s="127">
        <v>100000.0</v>
      </c>
      <c r="E283" s="127">
        <v>100000.0</v>
      </c>
      <c r="F283" s="20"/>
      <c r="G283" s="20"/>
      <c r="H283" s="20"/>
      <c r="I283" s="20"/>
      <c r="J283" s="20">
        <f t="shared" si="56"/>
        <v>100000</v>
      </c>
      <c r="K283" s="22"/>
      <c r="L283" s="4"/>
      <c r="M283" s="4"/>
      <c r="N283" s="4"/>
    </row>
    <row r="284" ht="15.75" customHeight="1">
      <c r="A284" s="78"/>
      <c r="B284" s="112" t="s">
        <v>236</v>
      </c>
      <c r="C284" s="114" t="s">
        <v>11</v>
      </c>
      <c r="D284" s="127"/>
      <c r="E284" s="127"/>
      <c r="F284" s="20"/>
      <c r="G284" s="20"/>
      <c r="H284" s="20"/>
      <c r="I284" s="20"/>
      <c r="J284" s="20"/>
      <c r="K284" s="22">
        <f>SUM(J285)</f>
        <v>40000</v>
      </c>
      <c r="L284" s="4"/>
      <c r="M284" s="4"/>
      <c r="N284" s="4"/>
    </row>
    <row r="285" ht="15.75" customHeight="1">
      <c r="A285" s="23"/>
      <c r="B285" s="27"/>
      <c r="C285" s="24" t="s">
        <v>237</v>
      </c>
      <c r="D285" s="25">
        <v>40000.0</v>
      </c>
      <c r="E285" s="25">
        <v>40000.0</v>
      </c>
      <c r="F285" s="20"/>
      <c r="G285" s="20"/>
      <c r="H285" s="20"/>
      <c r="I285" s="20"/>
      <c r="J285" s="20">
        <f>SUM(E285:H285)</f>
        <v>40000</v>
      </c>
      <c r="K285" s="22"/>
      <c r="L285" s="4"/>
      <c r="M285" s="4"/>
      <c r="N285" s="4"/>
    </row>
    <row r="286" ht="15.75" customHeight="1">
      <c r="A286" s="23"/>
      <c r="B286" s="18">
        <v>625.0</v>
      </c>
      <c r="C286" s="19" t="s">
        <v>79</v>
      </c>
      <c r="D286" s="25"/>
      <c r="E286" s="25"/>
      <c r="F286" s="20"/>
      <c r="G286" s="20"/>
      <c r="H286" s="20"/>
      <c r="I286" s="20"/>
      <c r="J286" s="20"/>
      <c r="K286" s="118">
        <f>SUM(J287)</f>
        <v>20000</v>
      </c>
      <c r="L286" s="4"/>
      <c r="M286" s="4"/>
      <c r="N286" s="4"/>
    </row>
    <row r="287" ht="15.75" customHeight="1">
      <c r="A287" s="23"/>
      <c r="B287" s="9"/>
      <c r="C287" s="24" t="s">
        <v>238</v>
      </c>
      <c r="D287" s="25">
        <v>20000.0</v>
      </c>
      <c r="E287" s="33"/>
      <c r="F287" s="25">
        <v>20000.0</v>
      </c>
      <c r="G287" s="20"/>
      <c r="H287" s="20"/>
      <c r="I287" s="20"/>
      <c r="J287" s="20">
        <f>SUM(F287:H287)</f>
        <v>20000</v>
      </c>
      <c r="K287" s="22"/>
      <c r="L287" s="4"/>
      <c r="M287" s="4"/>
      <c r="N287" s="4"/>
    </row>
    <row r="288" ht="15.75" customHeight="1">
      <c r="A288" s="8"/>
      <c r="B288" s="9"/>
      <c r="C288" s="37" t="s">
        <v>239</v>
      </c>
      <c r="D288" s="36">
        <f t="shared" ref="D288:J288" si="57">SUM(D282:D287)</f>
        <v>360000</v>
      </c>
      <c r="E288" s="36">
        <f t="shared" si="57"/>
        <v>340000</v>
      </c>
      <c r="F288" s="36">
        <f t="shared" si="57"/>
        <v>20000</v>
      </c>
      <c r="G288" s="36">
        <f t="shared" si="57"/>
        <v>0</v>
      </c>
      <c r="H288" s="36">
        <f t="shared" si="57"/>
        <v>0</v>
      </c>
      <c r="I288" s="36">
        <f t="shared" si="57"/>
        <v>0</v>
      </c>
      <c r="J288" s="36">
        <f t="shared" si="57"/>
        <v>360000</v>
      </c>
      <c r="K288" s="22"/>
      <c r="L288" s="4"/>
      <c r="M288" s="4"/>
      <c r="N288" s="4"/>
    </row>
    <row r="289" ht="15.75" customHeight="1">
      <c r="A289" s="8"/>
      <c r="B289" s="4"/>
      <c r="C289" s="4"/>
      <c r="D289" s="20"/>
      <c r="E289" s="20"/>
      <c r="F289" s="20"/>
      <c r="G289" s="20"/>
      <c r="H289" s="20"/>
      <c r="I289" s="20"/>
      <c r="J289" s="20"/>
      <c r="K289" s="22"/>
      <c r="L289" s="4"/>
      <c r="M289" s="4"/>
      <c r="N289" s="4"/>
    </row>
    <row r="290" ht="15.75" customHeight="1">
      <c r="A290" s="43"/>
      <c r="B290" s="137" t="s">
        <v>240</v>
      </c>
      <c r="C290" s="117" t="s">
        <v>241</v>
      </c>
      <c r="D290" s="115"/>
      <c r="E290" s="20"/>
      <c r="F290" s="20"/>
      <c r="G290" s="20"/>
      <c r="H290" s="20"/>
      <c r="I290" s="20"/>
      <c r="J290" s="20"/>
      <c r="K290" s="22"/>
      <c r="L290" s="4"/>
      <c r="M290" s="4"/>
      <c r="N290" s="4"/>
    </row>
    <row r="291" ht="15.75" customHeight="1">
      <c r="A291" s="43"/>
      <c r="B291" s="137" t="s">
        <v>242</v>
      </c>
      <c r="C291" s="117" t="s">
        <v>33</v>
      </c>
      <c r="D291" s="115"/>
      <c r="E291" s="20"/>
      <c r="F291" s="29"/>
      <c r="G291" s="20"/>
      <c r="H291" s="20"/>
      <c r="I291" s="44"/>
      <c r="J291" s="44"/>
      <c r="K291" s="118">
        <f>SUM(J292)</f>
        <v>30000</v>
      </c>
      <c r="L291" s="4"/>
      <c r="M291" s="4"/>
      <c r="N291" s="4"/>
    </row>
    <row r="292" ht="15.75" customHeight="1">
      <c r="A292" s="119"/>
      <c r="B292" s="120"/>
      <c r="C292" s="141" t="s">
        <v>243</v>
      </c>
      <c r="D292" s="122">
        <v>30000.0</v>
      </c>
      <c r="E292" s="122">
        <v>30000.0</v>
      </c>
      <c r="F292" s="33"/>
      <c r="G292" s="29"/>
      <c r="H292" s="29"/>
      <c r="I292" s="29"/>
      <c r="J292" s="20">
        <f>SUM(E292:H292)</f>
        <v>30000</v>
      </c>
      <c r="K292" s="22"/>
      <c r="L292" s="4"/>
      <c r="M292" s="4"/>
      <c r="N292" s="4"/>
    </row>
    <row r="293" ht="15.75" customHeight="1">
      <c r="A293" s="50"/>
      <c r="B293" s="123"/>
      <c r="C293" s="143" t="s">
        <v>240</v>
      </c>
      <c r="D293" s="36">
        <f t="shared" ref="D293:J293" si="58">SUM(D292)</f>
        <v>30000</v>
      </c>
      <c r="E293" s="36">
        <f t="shared" si="58"/>
        <v>30000</v>
      </c>
      <c r="F293" s="36">
        <f t="shared" si="58"/>
        <v>0</v>
      </c>
      <c r="G293" s="36">
        <f t="shared" si="58"/>
        <v>0</v>
      </c>
      <c r="H293" s="36">
        <f t="shared" si="58"/>
        <v>0</v>
      </c>
      <c r="I293" s="36">
        <f t="shared" si="58"/>
        <v>0</v>
      </c>
      <c r="J293" s="36">
        <f t="shared" si="58"/>
        <v>30000</v>
      </c>
      <c r="K293" s="22"/>
      <c r="L293" s="4"/>
      <c r="M293" s="4"/>
      <c r="N293" s="4"/>
    </row>
    <row r="294" ht="15.75" customHeight="1">
      <c r="A294" s="8"/>
      <c r="B294" s="9"/>
      <c r="C294" s="4"/>
      <c r="D294" s="41"/>
      <c r="E294" s="20"/>
      <c r="F294" s="29"/>
      <c r="G294" s="20"/>
      <c r="H294" s="20"/>
      <c r="I294" s="44"/>
      <c r="J294" s="44"/>
      <c r="K294" s="22"/>
      <c r="L294" s="4"/>
      <c r="M294" s="4"/>
      <c r="N294" s="4"/>
    </row>
    <row r="295" ht="15.75" customHeight="1">
      <c r="A295" s="43"/>
      <c r="B295" s="137" t="s">
        <v>245</v>
      </c>
      <c r="C295" s="117" t="s">
        <v>246</v>
      </c>
      <c r="D295" s="115"/>
      <c r="E295" s="20"/>
      <c r="F295" s="20"/>
      <c r="G295" s="20"/>
      <c r="H295" s="20"/>
      <c r="I295" s="20"/>
      <c r="J295" s="20"/>
      <c r="K295" s="22"/>
      <c r="L295" s="4"/>
      <c r="M295" s="4"/>
      <c r="N295" s="4"/>
    </row>
    <row r="296" ht="15.75" customHeight="1">
      <c r="A296" s="43"/>
      <c r="B296" s="137" t="s">
        <v>232</v>
      </c>
      <c r="C296" s="117" t="s">
        <v>152</v>
      </c>
      <c r="D296" s="115"/>
      <c r="E296" s="20"/>
      <c r="F296" s="29"/>
      <c r="G296" s="20"/>
      <c r="H296" s="20"/>
      <c r="I296" s="44"/>
      <c r="J296" s="44"/>
      <c r="K296" s="118">
        <f>SUM(J297)</f>
        <v>300000</v>
      </c>
      <c r="L296" s="4"/>
      <c r="M296" s="4"/>
      <c r="N296" s="4"/>
    </row>
    <row r="297" ht="15.75" customHeight="1">
      <c r="A297" s="119"/>
      <c r="B297" s="120"/>
      <c r="C297" s="138" t="s">
        <v>248</v>
      </c>
      <c r="D297" s="122">
        <v>300000.0</v>
      </c>
      <c r="E297" s="66">
        <v>200000.0</v>
      </c>
      <c r="F297" s="149">
        <v>100000.0</v>
      </c>
      <c r="G297" s="29"/>
      <c r="H297" s="29"/>
      <c r="I297" s="29"/>
      <c r="J297" s="20">
        <f>SUM(E297:I297)</f>
        <v>300000</v>
      </c>
      <c r="K297" s="22"/>
      <c r="L297" s="4"/>
      <c r="M297" s="4"/>
      <c r="N297" s="4"/>
    </row>
    <row r="298" ht="15.75" customHeight="1">
      <c r="A298" s="50"/>
      <c r="B298" s="123"/>
      <c r="C298" s="143" t="s">
        <v>245</v>
      </c>
      <c r="D298" s="36">
        <f t="shared" ref="D298:J298" si="59">SUM(D297)</f>
        <v>300000</v>
      </c>
      <c r="E298" s="36">
        <f t="shared" si="59"/>
        <v>200000</v>
      </c>
      <c r="F298" s="36">
        <f t="shared" si="59"/>
        <v>100000</v>
      </c>
      <c r="G298" s="36">
        <f t="shared" si="59"/>
        <v>0</v>
      </c>
      <c r="H298" s="36">
        <f t="shared" si="59"/>
        <v>0</v>
      </c>
      <c r="I298" s="36">
        <f t="shared" si="59"/>
        <v>0</v>
      </c>
      <c r="J298" s="36">
        <f t="shared" si="59"/>
        <v>300000</v>
      </c>
      <c r="K298" s="22"/>
      <c r="L298" s="4"/>
      <c r="M298" s="4"/>
      <c r="N298" s="4"/>
    </row>
    <row r="299" ht="15.75" customHeight="1">
      <c r="A299" s="50"/>
      <c r="B299" s="123"/>
      <c r="C299" s="137"/>
      <c r="D299" s="150"/>
      <c r="E299" s="150"/>
      <c r="F299" s="150"/>
      <c r="G299" s="150"/>
      <c r="H299" s="150"/>
      <c r="I299" s="150"/>
      <c r="J299" s="150"/>
      <c r="K299" s="22"/>
      <c r="L299" s="4"/>
      <c r="M299" s="4"/>
      <c r="N299" s="4"/>
    </row>
    <row r="300" ht="15.75" customHeight="1">
      <c r="A300" s="43"/>
      <c r="B300" s="112" t="s">
        <v>249</v>
      </c>
      <c r="C300" s="114" t="s">
        <v>250</v>
      </c>
      <c r="D300" s="115"/>
      <c r="E300" s="20"/>
      <c r="F300" s="20"/>
      <c r="G300" s="20"/>
      <c r="H300" s="20"/>
      <c r="I300" s="20"/>
      <c r="J300" s="20"/>
      <c r="K300" s="22"/>
      <c r="L300" s="4"/>
      <c r="M300" s="4"/>
      <c r="N300" s="4"/>
    </row>
    <row r="301" ht="15.75" customHeight="1">
      <c r="A301" s="43"/>
      <c r="B301" s="112" t="s">
        <v>251</v>
      </c>
      <c r="C301" s="114" t="s">
        <v>158</v>
      </c>
      <c r="D301" s="115"/>
      <c r="E301" s="20"/>
      <c r="F301" s="29"/>
      <c r="G301" s="20"/>
      <c r="H301" s="20"/>
      <c r="I301" s="44"/>
      <c r="J301" s="44"/>
      <c r="K301" s="118">
        <f>SUM(J302)</f>
        <v>20000</v>
      </c>
      <c r="L301" s="4"/>
      <c r="M301" s="4"/>
      <c r="N301" s="4"/>
    </row>
    <row r="302" ht="15.75" customHeight="1">
      <c r="A302" s="119"/>
      <c r="B302" s="120"/>
      <c r="C302" s="141" t="s">
        <v>252</v>
      </c>
      <c r="D302" s="122">
        <v>20000.0</v>
      </c>
      <c r="E302" s="122">
        <v>20000.0</v>
      </c>
      <c r="F302" s="29"/>
      <c r="G302" s="29"/>
      <c r="H302" s="29"/>
      <c r="I302" s="29"/>
      <c r="J302" s="20">
        <f>SUM(E302:H302)</f>
        <v>20000</v>
      </c>
      <c r="K302" s="22"/>
      <c r="L302" s="4"/>
      <c r="M302" s="4"/>
      <c r="N302" s="4"/>
    </row>
    <row r="303" ht="15.75" customHeight="1">
      <c r="A303" s="50"/>
      <c r="B303" s="123"/>
      <c r="C303" s="124" t="s">
        <v>249</v>
      </c>
      <c r="D303" s="36">
        <f t="shared" ref="D303:J303" si="60">SUM(D302)</f>
        <v>20000</v>
      </c>
      <c r="E303" s="36">
        <f t="shared" si="60"/>
        <v>20000</v>
      </c>
      <c r="F303" s="36">
        <f t="shared" si="60"/>
        <v>0</v>
      </c>
      <c r="G303" s="36">
        <f t="shared" si="60"/>
        <v>0</v>
      </c>
      <c r="H303" s="36">
        <f t="shared" si="60"/>
        <v>0</v>
      </c>
      <c r="I303" s="36">
        <f t="shared" si="60"/>
        <v>0</v>
      </c>
      <c r="J303" s="36">
        <f t="shared" si="60"/>
        <v>20000</v>
      </c>
      <c r="K303" s="22"/>
      <c r="L303" s="4"/>
      <c r="M303" s="4"/>
      <c r="N303" s="4"/>
    </row>
    <row r="304" ht="15.75" customHeight="1">
      <c r="A304" s="8"/>
      <c r="B304" s="9"/>
      <c r="C304" s="4"/>
      <c r="D304" s="41"/>
      <c r="E304" s="20"/>
      <c r="F304" s="29"/>
      <c r="G304" s="20"/>
      <c r="H304" s="20"/>
      <c r="I304" s="44"/>
      <c r="J304" s="44"/>
      <c r="K304" s="22"/>
      <c r="L304" s="4"/>
      <c r="M304" s="4"/>
      <c r="N304" s="4"/>
    </row>
    <row r="305" ht="15.75" customHeight="1">
      <c r="A305" s="1"/>
      <c r="B305" s="18">
        <v>9200.0</v>
      </c>
      <c r="C305" s="19" t="s">
        <v>256</v>
      </c>
      <c r="D305" s="41"/>
      <c r="E305" s="20"/>
      <c r="F305" s="29"/>
      <c r="G305" s="20"/>
      <c r="H305" s="20"/>
      <c r="I305" s="44"/>
      <c r="J305" s="44"/>
      <c r="K305" s="22"/>
      <c r="L305" s="4"/>
      <c r="M305" s="4"/>
      <c r="N305" s="4"/>
    </row>
    <row r="306" ht="15.75" customHeight="1">
      <c r="A306" s="1"/>
      <c r="B306" s="18">
        <v>623.0</v>
      </c>
      <c r="C306" s="19" t="s">
        <v>94</v>
      </c>
      <c r="D306" s="20"/>
      <c r="E306" s="20"/>
      <c r="F306" s="20"/>
      <c r="G306" s="20"/>
      <c r="H306" s="20"/>
      <c r="I306" s="20"/>
      <c r="J306" s="20"/>
      <c r="K306" s="118">
        <f>SUM(J307)</f>
        <v>40000</v>
      </c>
      <c r="L306" s="4"/>
      <c r="M306" s="4"/>
      <c r="N306" s="4"/>
    </row>
    <row r="307" ht="15.75" customHeight="1">
      <c r="A307" s="23"/>
      <c r="B307" s="9"/>
      <c r="C307" s="4" t="s">
        <v>257</v>
      </c>
      <c r="D307" s="20">
        <v>40000.0</v>
      </c>
      <c r="E307" s="25">
        <v>40000.0</v>
      </c>
      <c r="F307" s="66"/>
      <c r="G307" s="20"/>
      <c r="H307" s="20"/>
      <c r="I307" s="20"/>
      <c r="J307" s="20">
        <f>SUM(E307:H307)</f>
        <v>40000</v>
      </c>
      <c r="K307" s="22"/>
      <c r="L307" s="4"/>
      <c r="M307" s="4"/>
      <c r="N307" s="4"/>
    </row>
    <row r="308" ht="15.75" customHeight="1">
      <c r="A308" s="1"/>
      <c r="B308" s="18">
        <v>625.0</v>
      </c>
      <c r="C308" s="19" t="s">
        <v>79</v>
      </c>
      <c r="D308" s="20"/>
      <c r="E308" s="20"/>
      <c r="F308" s="20"/>
      <c r="G308" s="20"/>
      <c r="H308" s="20"/>
      <c r="I308" s="20"/>
      <c r="J308" s="20"/>
      <c r="K308" s="118">
        <f>SUM(J309)</f>
        <v>50000</v>
      </c>
      <c r="L308" s="4"/>
      <c r="M308" s="4"/>
      <c r="N308" s="4"/>
    </row>
    <row r="309" ht="15.75" customHeight="1">
      <c r="A309" s="23"/>
      <c r="B309" s="9"/>
      <c r="C309" s="24" t="s">
        <v>258</v>
      </c>
      <c r="D309" s="20">
        <v>50000.0</v>
      </c>
      <c r="E309" s="153"/>
      <c r="F309" s="66">
        <v>50000.0</v>
      </c>
      <c r="G309" s="20"/>
      <c r="H309" s="20"/>
      <c r="I309" s="20"/>
      <c r="J309" s="20">
        <f>SUM(E309:H309)</f>
        <v>50000</v>
      </c>
      <c r="K309" s="22"/>
      <c r="L309" s="4"/>
      <c r="M309" s="4"/>
      <c r="N309" s="4"/>
    </row>
    <row r="310" ht="15.75" customHeight="1">
      <c r="A310" s="43"/>
      <c r="B310" s="37" t="s">
        <v>259</v>
      </c>
      <c r="C310" s="19" t="s">
        <v>260</v>
      </c>
      <c r="D310" s="41"/>
      <c r="E310" s="29"/>
      <c r="F310" s="33"/>
      <c r="G310" s="20"/>
      <c r="H310" s="20"/>
      <c r="I310" s="44"/>
      <c r="J310" s="44"/>
      <c r="K310" s="118">
        <f>SUM(J311)</f>
        <v>50000</v>
      </c>
      <c r="L310" s="4"/>
      <c r="M310" s="4"/>
      <c r="N310" s="4"/>
    </row>
    <row r="311" ht="15.75" customHeight="1">
      <c r="A311" s="119"/>
      <c r="B311" s="120"/>
      <c r="C311" s="4" t="s">
        <v>261</v>
      </c>
      <c r="D311" s="41">
        <v>50000.0</v>
      </c>
      <c r="E311" s="66">
        <v>50000.0</v>
      </c>
      <c r="F311" s="153"/>
      <c r="G311" s="20"/>
      <c r="H311" s="20"/>
      <c r="I311" s="44"/>
      <c r="J311" s="20">
        <f>SUM(E311:I311)</f>
        <v>50000</v>
      </c>
      <c r="K311" s="22"/>
      <c r="L311" s="4"/>
      <c r="M311" s="4"/>
      <c r="N311" s="4"/>
    </row>
    <row r="312" ht="15.75" customHeight="1">
      <c r="A312" s="43"/>
      <c r="B312" s="37" t="s">
        <v>262</v>
      </c>
      <c r="C312" s="19" t="s">
        <v>263</v>
      </c>
      <c r="D312" s="20"/>
      <c r="E312" s="20"/>
      <c r="F312" s="20"/>
      <c r="G312" s="20"/>
      <c r="H312" s="20"/>
      <c r="I312" s="20"/>
      <c r="J312" s="20"/>
      <c r="K312" s="118">
        <f>SUM(J313:J314)</f>
        <v>72600</v>
      </c>
      <c r="L312" s="4"/>
      <c r="M312" s="4"/>
      <c r="N312" s="4"/>
    </row>
    <row r="313" ht="15.75" customHeight="1">
      <c r="A313" s="78"/>
      <c r="B313" s="37"/>
      <c r="C313" s="4" t="s">
        <v>264</v>
      </c>
      <c r="D313" s="25">
        <v>54600.0</v>
      </c>
      <c r="E313" s="25">
        <v>54600.0</v>
      </c>
      <c r="F313" s="20"/>
      <c r="G313" s="20"/>
      <c r="H313" s="20"/>
      <c r="I313" s="20"/>
      <c r="J313" s="20">
        <f t="shared" ref="J313:J314" si="61">SUM(E313:H313)</f>
        <v>54600</v>
      </c>
      <c r="K313" s="154"/>
      <c r="L313" s="4"/>
      <c r="M313" s="4"/>
      <c r="N313" s="4"/>
    </row>
    <row r="314" ht="15.75" customHeight="1">
      <c r="A314" s="78"/>
      <c r="B314" s="37"/>
      <c r="C314" s="24" t="s">
        <v>265</v>
      </c>
      <c r="D314" s="25">
        <v>18000.0</v>
      </c>
      <c r="E314" s="25">
        <v>18000.0</v>
      </c>
      <c r="F314" s="20"/>
      <c r="G314" s="20"/>
      <c r="H314" s="20"/>
      <c r="I314" s="20"/>
      <c r="J314" s="20">
        <f t="shared" si="61"/>
        <v>18000</v>
      </c>
      <c r="K314" s="154"/>
      <c r="L314" s="4"/>
      <c r="M314" s="4"/>
      <c r="N314" s="4"/>
    </row>
    <row r="315" ht="15.75" customHeight="1">
      <c r="A315" s="1"/>
      <c r="B315" s="37" t="s">
        <v>180</v>
      </c>
      <c r="C315" s="19" t="s">
        <v>11</v>
      </c>
      <c r="D315" s="20"/>
      <c r="E315" s="20"/>
      <c r="F315" s="20"/>
      <c r="G315" s="20"/>
      <c r="H315" s="20"/>
      <c r="I315" s="44"/>
      <c r="J315" s="20"/>
      <c r="K315" s="118">
        <f>SUM(J316)</f>
        <v>40000</v>
      </c>
      <c r="L315" s="4"/>
      <c r="M315" s="4"/>
      <c r="N315" s="4"/>
    </row>
    <row r="316" ht="15.75" customHeight="1">
      <c r="A316" s="23"/>
      <c r="B316" s="9"/>
      <c r="C316" s="24" t="s">
        <v>266</v>
      </c>
      <c r="D316" s="25">
        <v>40000.0</v>
      </c>
      <c r="E316" s="25">
        <v>40000.0</v>
      </c>
      <c r="F316" s="20"/>
      <c r="G316" s="20"/>
      <c r="H316" s="20"/>
      <c r="I316" s="44"/>
      <c r="J316" s="20">
        <f>SUM(E316:H316)</f>
        <v>40000</v>
      </c>
      <c r="K316" s="22"/>
      <c r="L316" s="4"/>
      <c r="M316" s="4"/>
      <c r="N316" s="4"/>
    </row>
    <row r="317" ht="15.75" customHeight="1">
      <c r="A317" s="1"/>
      <c r="B317" s="18">
        <v>641.0</v>
      </c>
      <c r="C317" s="19" t="s">
        <v>158</v>
      </c>
      <c r="D317" s="20"/>
      <c r="E317" s="20"/>
      <c r="F317" s="20"/>
      <c r="G317" s="20"/>
      <c r="H317" s="20"/>
      <c r="I317" s="44"/>
      <c r="J317" s="20"/>
      <c r="K317" s="118">
        <f>SUM(J318:J320)</f>
        <v>450000</v>
      </c>
      <c r="L317" s="4"/>
      <c r="M317" s="4"/>
      <c r="N317" s="4"/>
    </row>
    <row r="318" ht="15.75" customHeight="1">
      <c r="A318" s="23"/>
      <c r="B318" s="9"/>
      <c r="C318" s="24" t="s">
        <v>267</v>
      </c>
      <c r="D318" s="25">
        <v>40000.0</v>
      </c>
      <c r="E318" s="25">
        <v>40000.0</v>
      </c>
      <c r="F318" s="20"/>
      <c r="G318" s="20"/>
      <c r="H318" s="20"/>
      <c r="I318" s="44"/>
      <c r="J318" s="20">
        <f t="shared" ref="J318:J320" si="62">SUM(E318:H318)</f>
        <v>40000</v>
      </c>
      <c r="K318" s="22"/>
      <c r="L318" s="4"/>
      <c r="M318" s="4"/>
      <c r="N318" s="4"/>
    </row>
    <row r="319" ht="15.75" customHeight="1">
      <c r="A319" s="23"/>
      <c r="B319" s="9"/>
      <c r="C319" s="24" t="s">
        <v>268</v>
      </c>
      <c r="D319" s="25">
        <v>40000.0</v>
      </c>
      <c r="E319" s="25">
        <v>40000.0</v>
      </c>
      <c r="F319" s="20"/>
      <c r="G319" s="20"/>
      <c r="H319" s="20"/>
      <c r="I319" s="44"/>
      <c r="J319" s="20">
        <f t="shared" si="62"/>
        <v>40000</v>
      </c>
      <c r="K319" s="22"/>
      <c r="L319" s="4"/>
      <c r="M319" s="4"/>
      <c r="N319" s="4"/>
    </row>
    <row r="320" ht="15.75" customHeight="1">
      <c r="A320" s="23"/>
      <c r="B320" s="9"/>
      <c r="C320" s="24" t="s">
        <v>269</v>
      </c>
      <c r="D320" s="25">
        <v>370000.0</v>
      </c>
      <c r="E320" s="25">
        <v>370000.0</v>
      </c>
      <c r="F320" s="20"/>
      <c r="G320" s="20"/>
      <c r="H320" s="20"/>
      <c r="I320" s="44"/>
      <c r="J320" s="20">
        <f t="shared" si="62"/>
        <v>370000</v>
      </c>
      <c r="K320" s="22"/>
      <c r="L320" s="4"/>
      <c r="M320" s="4"/>
      <c r="N320" s="4"/>
    </row>
    <row r="321" ht="15.75" customHeight="1">
      <c r="A321" s="8"/>
      <c r="B321" s="9"/>
      <c r="C321" s="37" t="s">
        <v>270</v>
      </c>
      <c r="D321" s="36">
        <f t="shared" ref="D321:J321" si="63">SUM(D307:D320)</f>
        <v>702600</v>
      </c>
      <c r="E321" s="36">
        <f t="shared" si="63"/>
        <v>652600</v>
      </c>
      <c r="F321" s="36">
        <f t="shared" si="63"/>
        <v>50000</v>
      </c>
      <c r="G321" s="36">
        <f t="shared" si="63"/>
        <v>0</v>
      </c>
      <c r="H321" s="36">
        <f t="shared" si="63"/>
        <v>0</v>
      </c>
      <c r="I321" s="36">
        <f t="shared" si="63"/>
        <v>0</v>
      </c>
      <c r="J321" s="36">
        <f t="shared" si="63"/>
        <v>702600</v>
      </c>
      <c r="K321" s="154"/>
      <c r="L321" s="4"/>
      <c r="M321" s="4"/>
      <c r="N321" s="4"/>
    </row>
    <row r="322" ht="15.75" customHeight="1">
      <c r="A322" s="8"/>
      <c r="B322" s="4"/>
      <c r="C322" s="4"/>
      <c r="D322" s="20"/>
      <c r="E322" s="20"/>
      <c r="F322" s="20"/>
      <c r="G322" s="20"/>
      <c r="H322" s="20"/>
      <c r="I322" s="20"/>
      <c r="J322" s="20"/>
      <c r="K322" s="154"/>
      <c r="L322" s="4"/>
      <c r="M322" s="4"/>
      <c r="N322" s="4"/>
    </row>
    <row r="323" ht="15.75" customHeight="1">
      <c r="A323" s="83"/>
      <c r="B323" s="84" t="s">
        <v>271</v>
      </c>
      <c r="C323" s="85" t="s">
        <v>272</v>
      </c>
      <c r="D323" s="29"/>
      <c r="E323" s="29"/>
      <c r="F323" s="29"/>
      <c r="G323" s="29"/>
      <c r="H323" s="29"/>
      <c r="I323" s="29"/>
      <c r="J323" s="29"/>
      <c r="K323" s="34"/>
      <c r="L323" s="31"/>
      <c r="M323" s="31"/>
      <c r="N323" s="31"/>
    </row>
    <row r="324" ht="15.75" customHeight="1">
      <c r="A324" s="23"/>
      <c r="B324" s="39">
        <v>627.0</v>
      </c>
      <c r="C324" s="40" t="s">
        <v>43</v>
      </c>
      <c r="D324" s="25"/>
      <c r="E324" s="25"/>
      <c r="F324" s="20"/>
      <c r="G324" s="20"/>
      <c r="H324" s="20"/>
      <c r="I324" s="20"/>
      <c r="J324" s="20"/>
      <c r="K324" s="22">
        <f>SUM(J325)</f>
        <v>200000</v>
      </c>
      <c r="L324" s="4"/>
      <c r="M324" s="4"/>
      <c r="N324" s="4"/>
    </row>
    <row r="325" ht="15.75" customHeight="1">
      <c r="A325" s="23"/>
      <c r="B325" s="27"/>
      <c r="C325" s="24" t="s">
        <v>273</v>
      </c>
      <c r="D325" s="25">
        <v>200000.0</v>
      </c>
      <c r="E325" s="25">
        <v>150000.0</v>
      </c>
      <c r="F325" s="25">
        <v>50000.0</v>
      </c>
      <c r="G325" s="20"/>
      <c r="H325" s="20"/>
      <c r="I325" s="20"/>
      <c r="J325" s="20">
        <f>SUM(E325:H325)</f>
        <v>200000</v>
      </c>
      <c r="K325" s="22"/>
      <c r="L325" s="4"/>
      <c r="M325" s="4"/>
      <c r="N325" s="4"/>
    </row>
    <row r="326" ht="15.75" customHeight="1">
      <c r="A326" s="83"/>
      <c r="B326" s="84" t="s">
        <v>180</v>
      </c>
      <c r="C326" s="85" t="s">
        <v>11</v>
      </c>
      <c r="D326" s="29"/>
      <c r="E326" s="29"/>
      <c r="F326" s="29"/>
      <c r="G326" s="29"/>
      <c r="H326" s="29"/>
      <c r="I326" s="29"/>
      <c r="J326" s="29"/>
      <c r="K326" s="118">
        <f>SUM(J327:J328)</f>
        <v>255000</v>
      </c>
      <c r="L326" s="31"/>
      <c r="M326" s="31"/>
      <c r="N326" s="31"/>
    </row>
    <row r="327" ht="15.75" customHeight="1">
      <c r="A327" s="23"/>
      <c r="B327" s="9"/>
      <c r="C327" s="24" t="s">
        <v>274</v>
      </c>
      <c r="D327" s="25">
        <v>10000.0</v>
      </c>
      <c r="E327" s="25">
        <v>10000.0</v>
      </c>
      <c r="F327" s="20"/>
      <c r="G327" s="20"/>
      <c r="H327" s="20"/>
      <c r="I327" s="20"/>
      <c r="J327" s="20">
        <f t="shared" ref="J327:J328" si="64">SUM(E327:H327)</f>
        <v>10000</v>
      </c>
      <c r="K327" s="22"/>
      <c r="L327" s="4"/>
      <c r="M327" s="4"/>
      <c r="N327" s="4"/>
    </row>
    <row r="328" ht="15.75" customHeight="1">
      <c r="A328" s="23"/>
      <c r="B328" s="27"/>
      <c r="C328" s="24" t="s">
        <v>275</v>
      </c>
      <c r="D328" s="25">
        <v>245000.0</v>
      </c>
      <c r="E328" s="25">
        <v>245000.0</v>
      </c>
      <c r="F328" s="20"/>
      <c r="G328" s="20"/>
      <c r="H328" s="20"/>
      <c r="I328" s="20"/>
      <c r="J328" s="20">
        <f t="shared" si="64"/>
        <v>245000</v>
      </c>
      <c r="K328" s="22"/>
      <c r="L328" s="4"/>
      <c r="M328" s="4"/>
      <c r="N328" s="4"/>
    </row>
    <row r="329" ht="15.75" customHeight="1">
      <c r="A329" s="94"/>
      <c r="B329" s="95"/>
      <c r="C329" s="156">
        <v>9240.0</v>
      </c>
      <c r="D329" s="93">
        <f t="shared" ref="D329:J329" si="65">SUM(D325:D328)</f>
        <v>455000</v>
      </c>
      <c r="E329" s="93">
        <f t="shared" si="65"/>
        <v>405000</v>
      </c>
      <c r="F329" s="93">
        <f t="shared" si="65"/>
        <v>50000</v>
      </c>
      <c r="G329" s="93">
        <f t="shared" si="65"/>
        <v>0</v>
      </c>
      <c r="H329" s="93">
        <f t="shared" si="65"/>
        <v>0</v>
      </c>
      <c r="I329" s="93">
        <f t="shared" si="65"/>
        <v>0</v>
      </c>
      <c r="J329" s="93">
        <f t="shared" si="65"/>
        <v>455000</v>
      </c>
      <c r="K329" s="34"/>
      <c r="L329" s="31"/>
      <c r="M329" s="31"/>
      <c r="N329" s="31"/>
    </row>
    <row r="330" ht="15.75" customHeight="1">
      <c r="A330" s="94"/>
      <c r="B330" s="95"/>
      <c r="C330" s="31"/>
      <c r="D330" s="29"/>
      <c r="E330" s="29"/>
      <c r="F330" s="29"/>
      <c r="G330" s="29"/>
      <c r="H330" s="29"/>
      <c r="I330" s="29"/>
      <c r="J330" s="29"/>
      <c r="K330" s="34"/>
      <c r="L330" s="31"/>
      <c r="M330" s="31"/>
      <c r="N330" s="31"/>
    </row>
    <row r="331" ht="15.75" customHeight="1">
      <c r="A331" s="83"/>
      <c r="B331" s="101" t="s">
        <v>276</v>
      </c>
      <c r="C331" s="102" t="s">
        <v>277</v>
      </c>
      <c r="D331" s="29"/>
      <c r="E331" s="29"/>
      <c r="F331" s="29"/>
      <c r="G331" s="29"/>
      <c r="H331" s="29"/>
      <c r="I331" s="29"/>
      <c r="J331" s="29"/>
      <c r="K331" s="34"/>
      <c r="L331" s="31"/>
      <c r="M331" s="31"/>
      <c r="N331" s="31"/>
    </row>
    <row r="332" ht="15.75" customHeight="1">
      <c r="A332" s="83"/>
      <c r="B332" s="84" t="s">
        <v>180</v>
      </c>
      <c r="C332" s="85" t="s">
        <v>11</v>
      </c>
      <c r="D332" s="29"/>
      <c r="E332" s="29"/>
      <c r="F332" s="29"/>
      <c r="G332" s="29"/>
      <c r="H332" s="29"/>
      <c r="I332" s="29"/>
      <c r="J332" s="29"/>
      <c r="K332" s="118">
        <f>SUM(J333)</f>
        <v>6000</v>
      </c>
      <c r="L332" s="31"/>
      <c r="M332" s="31"/>
      <c r="N332" s="31"/>
    </row>
    <row r="333" ht="15.75" customHeight="1">
      <c r="A333" s="23"/>
      <c r="B333" s="9"/>
      <c r="C333" s="24" t="s">
        <v>278</v>
      </c>
      <c r="D333" s="25">
        <v>6000.0</v>
      </c>
      <c r="E333" s="25">
        <v>6000.0</v>
      </c>
      <c r="F333" s="33"/>
      <c r="G333" s="20"/>
      <c r="H333" s="20"/>
      <c r="I333" s="20"/>
      <c r="J333" s="20">
        <f>SUM(E333:I333)</f>
        <v>6000</v>
      </c>
      <c r="K333" s="157"/>
      <c r="L333" s="4"/>
      <c r="M333" s="4"/>
      <c r="N333" s="4"/>
    </row>
    <row r="334" ht="15.75" customHeight="1">
      <c r="A334" s="94"/>
      <c r="B334" s="95"/>
      <c r="C334" s="158">
        <v>9300.0</v>
      </c>
      <c r="D334" s="93">
        <f t="shared" ref="D334:J334" si="66">SUM(D333)</f>
        <v>6000</v>
      </c>
      <c r="E334" s="93">
        <f t="shared" si="66"/>
        <v>6000</v>
      </c>
      <c r="F334" s="93">
        <f t="shared" si="66"/>
        <v>0</v>
      </c>
      <c r="G334" s="93">
        <f t="shared" si="66"/>
        <v>0</v>
      </c>
      <c r="H334" s="93">
        <f t="shared" si="66"/>
        <v>0</v>
      </c>
      <c r="I334" s="93">
        <f t="shared" si="66"/>
        <v>0</v>
      </c>
      <c r="J334" s="93">
        <f t="shared" si="66"/>
        <v>6000</v>
      </c>
      <c r="K334" s="159"/>
      <c r="L334" s="31"/>
      <c r="M334" s="31"/>
      <c r="N334" s="31"/>
    </row>
    <row r="335" ht="15.75" customHeight="1">
      <c r="A335" s="94"/>
      <c r="B335" s="95"/>
      <c r="C335" s="31"/>
      <c r="D335" s="29"/>
      <c r="E335" s="29"/>
      <c r="F335" s="29"/>
      <c r="G335" s="29"/>
      <c r="H335" s="29"/>
      <c r="I335" s="29"/>
      <c r="J335" s="29"/>
      <c r="K335" s="30"/>
      <c r="L335" s="31"/>
      <c r="M335" s="31"/>
      <c r="N335" s="31"/>
    </row>
    <row r="336" ht="15.75" customHeight="1">
      <c r="A336" s="8"/>
      <c r="B336" s="4"/>
      <c r="C336" s="4"/>
      <c r="D336" s="20"/>
      <c r="E336" s="20"/>
      <c r="F336" s="20"/>
      <c r="G336" s="20"/>
      <c r="H336" s="20"/>
      <c r="I336" s="20"/>
      <c r="J336" s="20"/>
      <c r="K336" s="17"/>
      <c r="L336" s="24" t="s">
        <v>279</v>
      </c>
      <c r="M336" s="4"/>
      <c r="N336" s="4"/>
    </row>
    <row r="337" ht="15.75" customHeight="1">
      <c r="A337" s="8"/>
      <c r="B337" s="4"/>
      <c r="C337" s="161" t="s">
        <v>280</v>
      </c>
      <c r="D337" s="163">
        <f t="shared" ref="D337:J337" si="67">SUM(D11,D18,D25,D32,D37,D44,D76,D85,D102,D107,D112,D122,D129,D146,D151,D159,D164,D169,D174,D180,D185,D192,D197,D203,D209,D214,D221,D228,D233,D238,D244,D249,D261,D278,D288,D293,D298,D303,D321,D329,D334)</f>
        <v>24206942.85</v>
      </c>
      <c r="E337" s="163">
        <f t="shared" si="67"/>
        <v>20161623.64</v>
      </c>
      <c r="F337" s="163">
        <f t="shared" si="67"/>
        <v>2416188.11</v>
      </c>
      <c r="G337" s="163">
        <f t="shared" si="67"/>
        <v>0</v>
      </c>
      <c r="H337" s="163">
        <f t="shared" si="67"/>
        <v>183530.15</v>
      </c>
      <c r="I337" s="163">
        <f t="shared" si="67"/>
        <v>1445600.946</v>
      </c>
      <c r="J337" s="163">
        <f t="shared" si="67"/>
        <v>24206942.85</v>
      </c>
      <c r="K337" s="17"/>
      <c r="L337" s="44">
        <f>J337-D337</f>
        <v>0</v>
      </c>
      <c r="M337" s="4"/>
      <c r="N337" s="4"/>
    </row>
    <row r="338" ht="15.75" customHeight="1">
      <c r="A338" s="8"/>
      <c r="B338" s="4"/>
      <c r="C338" s="4"/>
      <c r="D338" s="10"/>
      <c r="E338" s="10"/>
      <c r="F338" s="26"/>
      <c r="G338" s="10"/>
      <c r="H338" s="10"/>
      <c r="I338" s="10"/>
      <c r="J338" s="10"/>
      <c r="K338" s="10"/>
      <c r="L338" s="4"/>
      <c r="M338" s="4"/>
      <c r="N338" s="4"/>
    </row>
    <row r="339" ht="15.75" customHeight="1">
      <c r="A339" s="8"/>
      <c r="B339" s="4"/>
      <c r="C339" s="4"/>
      <c r="D339" s="10"/>
      <c r="E339" s="10"/>
      <c r="F339" s="10"/>
      <c r="G339" s="10"/>
      <c r="H339" s="10"/>
      <c r="I339" s="10"/>
      <c r="J339" s="10"/>
      <c r="K339" s="10"/>
      <c r="L339" s="4"/>
      <c r="M339" s="4"/>
      <c r="N339" s="4"/>
    </row>
    <row r="340" ht="15.75" customHeight="1">
      <c r="A340" s="8"/>
      <c r="B340" s="4"/>
      <c r="C340" s="164" t="s">
        <v>283</v>
      </c>
      <c r="D340" s="165" t="s">
        <v>285</v>
      </c>
      <c r="E340" s="165" t="s">
        <v>3</v>
      </c>
      <c r="F340" s="165" t="s">
        <v>47</v>
      </c>
      <c r="G340" s="165" t="s">
        <v>5</v>
      </c>
      <c r="H340" s="165" t="s">
        <v>6</v>
      </c>
      <c r="I340" s="165" t="s">
        <v>7</v>
      </c>
      <c r="J340" s="165" t="s">
        <v>8</v>
      </c>
      <c r="K340" s="10"/>
      <c r="L340" s="4"/>
      <c r="M340" s="4"/>
      <c r="N340" s="4"/>
    </row>
    <row r="341" ht="15.75" customHeight="1">
      <c r="A341" s="8"/>
      <c r="B341" s="4"/>
      <c r="C341" s="4"/>
      <c r="D341" s="166">
        <f t="shared" ref="D341:J341" si="68">SUM(D43,D68,D220,D267)</f>
        <v>5100932.85</v>
      </c>
      <c r="E341" s="166">
        <f t="shared" si="68"/>
        <v>4001801.754</v>
      </c>
      <c r="F341" s="166">
        <f t="shared" si="68"/>
        <v>34000</v>
      </c>
      <c r="G341" s="166">
        <f t="shared" si="68"/>
        <v>0</v>
      </c>
      <c r="H341" s="166">
        <f t="shared" si="68"/>
        <v>183530.15</v>
      </c>
      <c r="I341" s="166">
        <f t="shared" si="68"/>
        <v>881600.9457</v>
      </c>
      <c r="J341" s="166">
        <f t="shared" si="68"/>
        <v>5100932.85</v>
      </c>
      <c r="K341" s="10"/>
      <c r="L341" s="4"/>
      <c r="M341" s="4"/>
      <c r="N341" s="4"/>
    </row>
    <row r="342" ht="15.75" customHeight="1">
      <c r="A342" s="8"/>
      <c r="B342" s="4"/>
      <c r="C342" s="4"/>
      <c r="D342" s="10"/>
      <c r="E342" s="10"/>
      <c r="F342" s="10"/>
      <c r="G342" s="10"/>
      <c r="H342" s="10"/>
      <c r="I342" s="10"/>
      <c r="J342" s="10"/>
      <c r="K342" s="10"/>
      <c r="L342" s="4"/>
      <c r="M342" s="4"/>
      <c r="N342" s="4"/>
    </row>
    <row r="343" ht="15.75" customHeight="1">
      <c r="A343" s="8"/>
      <c r="B343" s="4"/>
      <c r="D343" s="167" t="s">
        <v>286</v>
      </c>
      <c r="E343" s="168" t="s">
        <v>31</v>
      </c>
      <c r="F343" s="169"/>
      <c r="G343" s="170">
        <v>100000.0</v>
      </c>
      <c r="H343" s="3"/>
      <c r="I343" s="3"/>
      <c r="J343" s="3"/>
      <c r="K343" s="3"/>
      <c r="L343" s="4"/>
      <c r="M343" s="4"/>
      <c r="N343" s="4"/>
    </row>
    <row r="344" ht="15.75" customHeight="1">
      <c r="A344" s="8"/>
      <c r="B344" s="4"/>
      <c r="E344" s="171" t="s">
        <v>287</v>
      </c>
      <c r="F344" s="169"/>
      <c r="G344" s="170">
        <v>34000.0</v>
      </c>
      <c r="H344" s="3"/>
      <c r="I344" s="3"/>
      <c r="J344" s="3"/>
      <c r="K344" s="3"/>
      <c r="L344" s="4"/>
      <c r="M344" s="4"/>
      <c r="N344" s="4"/>
    </row>
    <row r="345" ht="15.75" customHeight="1">
      <c r="A345" s="8"/>
      <c r="B345" s="4"/>
      <c r="E345" s="171" t="s">
        <v>288</v>
      </c>
      <c r="F345" s="169"/>
      <c r="G345" s="170">
        <v>110000.0</v>
      </c>
      <c r="H345" s="3"/>
      <c r="I345" s="3"/>
      <c r="J345" s="3"/>
      <c r="K345" s="3"/>
      <c r="L345" s="4"/>
      <c r="M345" s="4"/>
      <c r="N345" s="4"/>
    </row>
    <row r="346" ht="15.75" customHeight="1">
      <c r="A346" s="8"/>
      <c r="B346" s="4"/>
      <c r="E346" s="171" t="s">
        <v>289</v>
      </c>
      <c r="F346" s="169"/>
      <c r="G346" s="170">
        <v>1500000.0</v>
      </c>
      <c r="H346" s="3"/>
      <c r="I346" s="3"/>
      <c r="J346" s="3"/>
      <c r="K346" s="3"/>
      <c r="L346" s="4"/>
      <c r="M346" s="4"/>
      <c r="N346" s="4"/>
    </row>
    <row r="347" ht="15.75" customHeight="1">
      <c r="A347" s="8"/>
      <c r="B347" s="4"/>
      <c r="E347" s="172" t="s">
        <v>4</v>
      </c>
      <c r="F347" s="169"/>
      <c r="G347" s="170">
        <f>F337-SUM(G343:G346)</f>
        <v>672188.11</v>
      </c>
      <c r="H347" s="3"/>
      <c r="I347" s="3"/>
      <c r="J347" s="3"/>
      <c r="K347" s="3"/>
      <c r="L347" s="4"/>
      <c r="M347" s="4"/>
      <c r="N347" s="4"/>
    </row>
    <row r="348" ht="15.75" customHeight="1">
      <c r="A348" s="8"/>
      <c r="B348" s="4"/>
      <c r="C348" s="4"/>
      <c r="D348" s="10"/>
      <c r="E348" s="10"/>
      <c r="F348" s="10"/>
      <c r="G348" s="10"/>
      <c r="H348" s="10"/>
      <c r="I348" s="10"/>
      <c r="J348" s="10"/>
      <c r="K348" s="10"/>
      <c r="L348" s="4"/>
      <c r="M348" s="4"/>
      <c r="N348" s="4"/>
    </row>
    <row r="349" ht="15.75" customHeight="1">
      <c r="A349" s="94"/>
      <c r="B349" s="95"/>
      <c r="C349" s="173" t="s">
        <v>290</v>
      </c>
      <c r="D349" s="174" t="s">
        <v>8</v>
      </c>
      <c r="E349" s="175" t="s">
        <v>291</v>
      </c>
      <c r="F349" s="6"/>
      <c r="G349" s="6"/>
      <c r="H349" s="6"/>
      <c r="I349" s="6"/>
      <c r="J349" s="6"/>
      <c r="K349" s="7"/>
      <c r="L349" s="31"/>
      <c r="M349" s="31"/>
    </row>
    <row r="350" ht="15.75" customHeight="1">
      <c r="A350" s="94"/>
      <c r="B350" s="95"/>
      <c r="C350" s="31"/>
      <c r="D350" s="176"/>
      <c r="E350" s="177" t="s">
        <v>292</v>
      </c>
      <c r="F350" s="177" t="s">
        <v>293</v>
      </c>
      <c r="G350" s="178" t="s">
        <v>294</v>
      </c>
      <c r="H350" s="179" t="s">
        <v>156</v>
      </c>
      <c r="I350" s="177" t="s">
        <v>295</v>
      </c>
      <c r="J350" s="180" t="s">
        <v>296</v>
      </c>
      <c r="K350" s="177" t="s">
        <v>297</v>
      </c>
      <c r="M350" s="31"/>
      <c r="N350" s="31"/>
    </row>
    <row r="351" ht="15.75" customHeight="1">
      <c r="A351" s="50"/>
      <c r="B351" s="181" t="s">
        <v>298</v>
      </c>
      <c r="C351" s="4" t="s">
        <v>299</v>
      </c>
      <c r="D351" s="20">
        <v>53240.0</v>
      </c>
      <c r="E351" s="182">
        <v>5324.0</v>
      </c>
      <c r="F351" s="182">
        <v>39930.0</v>
      </c>
      <c r="G351" s="20"/>
      <c r="H351" s="183"/>
      <c r="I351" s="29"/>
      <c r="J351" s="33"/>
      <c r="K351" s="29">
        <v>7986.0</v>
      </c>
      <c r="N351" s="30">
        <f t="shared" ref="N351:N366" si="69">SUM(E351:K351)</f>
        <v>53240</v>
      </c>
    </row>
    <row r="352" ht="15.75" customHeight="1">
      <c r="A352" s="50"/>
      <c r="B352" s="181" t="s">
        <v>48</v>
      </c>
      <c r="C352" s="4" t="s">
        <v>49</v>
      </c>
      <c r="D352" s="20">
        <v>6101734.0</v>
      </c>
      <c r="E352" s="46"/>
      <c r="F352" s="182">
        <v>233309.77</v>
      </c>
      <c r="G352" s="20">
        <v>3521054.54</v>
      </c>
      <c r="H352" s="183">
        <v>2347369.69</v>
      </c>
      <c r="I352" s="29"/>
      <c r="J352" s="29"/>
      <c r="K352" s="46"/>
      <c r="N352" s="30">
        <f t="shared" si="69"/>
        <v>6101734</v>
      </c>
    </row>
    <row r="353" ht="15.75" customHeight="1">
      <c r="A353" s="50"/>
      <c r="B353" s="181" t="s">
        <v>75</v>
      </c>
      <c r="C353" s="24" t="s">
        <v>300</v>
      </c>
      <c r="D353" s="20">
        <v>934407.9</v>
      </c>
      <c r="E353" s="46"/>
      <c r="F353" s="182"/>
      <c r="G353" s="20">
        <v>577844.74</v>
      </c>
      <c r="H353" s="183">
        <v>356563.16</v>
      </c>
      <c r="I353" s="29"/>
      <c r="J353" s="29"/>
      <c r="K353" s="46"/>
      <c r="N353" s="30">
        <f t="shared" si="69"/>
        <v>934407.9</v>
      </c>
    </row>
    <row r="354" ht="15.75" customHeight="1">
      <c r="A354" s="50"/>
      <c r="B354" s="181" t="s">
        <v>301</v>
      </c>
      <c r="C354" s="24" t="s">
        <v>302</v>
      </c>
      <c r="D354" s="20">
        <v>6820025.39</v>
      </c>
      <c r="E354" s="46"/>
      <c r="F354" s="20">
        <v>47193.26</v>
      </c>
      <c r="G354" s="20">
        <v>5828456.78</v>
      </c>
      <c r="H354" s="183">
        <v>944375.35</v>
      </c>
      <c r="I354" s="29"/>
      <c r="J354" s="29"/>
      <c r="K354" s="46"/>
      <c r="N354" s="30">
        <f t="shared" si="69"/>
        <v>6820025.39</v>
      </c>
    </row>
    <row r="355" ht="15.75" customHeight="1">
      <c r="A355" s="50"/>
      <c r="B355" s="181"/>
      <c r="C355" s="24" t="s">
        <v>303</v>
      </c>
      <c r="D355" s="25">
        <v>39325.0</v>
      </c>
      <c r="E355" s="46"/>
      <c r="F355" s="20"/>
      <c r="G355" s="25">
        <v>7865.0</v>
      </c>
      <c r="H355" s="184">
        <v>25561.25</v>
      </c>
      <c r="I355" s="29"/>
      <c r="J355" s="29"/>
      <c r="K355" s="185">
        <v>5898.75</v>
      </c>
      <c r="N355" s="30">
        <f t="shared" si="69"/>
        <v>39325</v>
      </c>
    </row>
    <row r="356" ht="15.75" customHeight="1">
      <c r="A356" s="50"/>
      <c r="B356" s="181"/>
      <c r="C356" s="24" t="s">
        <v>304</v>
      </c>
      <c r="D356" s="25">
        <v>1200000.0</v>
      </c>
      <c r="E356" s="46"/>
      <c r="F356" s="20"/>
      <c r="G356" s="25"/>
      <c r="H356" s="184">
        <v>700000.0</v>
      </c>
      <c r="I356" s="153">
        <v>500000.0</v>
      </c>
      <c r="J356" s="29"/>
      <c r="K356" s="185"/>
      <c r="N356" s="30">
        <f t="shared" si="69"/>
        <v>1200000</v>
      </c>
    </row>
    <row r="357" ht="15.75" customHeight="1">
      <c r="A357" s="94"/>
      <c r="B357" s="186" t="s">
        <v>305</v>
      </c>
      <c r="C357" s="4" t="s">
        <v>306</v>
      </c>
      <c r="D357" s="20">
        <v>102841.0</v>
      </c>
      <c r="E357" s="46"/>
      <c r="F357" s="29"/>
      <c r="G357" s="20">
        <v>102841.0</v>
      </c>
      <c r="H357" s="188"/>
      <c r="I357" s="29"/>
      <c r="J357" s="29"/>
      <c r="K357" s="46"/>
      <c r="N357" s="30">
        <f t="shared" si="69"/>
        <v>102841</v>
      </c>
    </row>
    <row r="358" ht="15.75" customHeight="1">
      <c r="A358" s="94"/>
      <c r="B358" s="186" t="s">
        <v>253</v>
      </c>
      <c r="C358" s="189" t="s">
        <v>254</v>
      </c>
      <c r="D358" s="20">
        <v>1123904.27</v>
      </c>
      <c r="E358" s="46"/>
      <c r="F358" s="182"/>
      <c r="G358" s="20">
        <v>1123904.27</v>
      </c>
      <c r="H358" s="188"/>
      <c r="I358" s="29"/>
      <c r="J358" s="29"/>
      <c r="K358" s="46"/>
      <c r="N358" s="30">
        <f t="shared" si="69"/>
        <v>1123904.27</v>
      </c>
    </row>
    <row r="359" ht="15.75" customHeight="1">
      <c r="A359" s="94"/>
      <c r="B359" s="190" t="s">
        <v>220</v>
      </c>
      <c r="C359" s="128" t="s">
        <v>307</v>
      </c>
      <c r="D359" s="20">
        <v>3682855.48</v>
      </c>
      <c r="E359" s="46"/>
      <c r="F359" s="20">
        <v>146924.69</v>
      </c>
      <c r="G359" s="20">
        <v>3535930.79</v>
      </c>
      <c r="H359" s="188"/>
      <c r="I359" s="29"/>
      <c r="J359" s="29"/>
      <c r="K359" s="46"/>
      <c r="N359" s="30">
        <f t="shared" si="69"/>
        <v>3682855.48</v>
      </c>
    </row>
    <row r="360" ht="15.75" customHeight="1">
      <c r="A360" s="50"/>
      <c r="B360" s="181"/>
      <c r="C360" s="24" t="s">
        <v>308</v>
      </c>
      <c r="D360" s="25">
        <v>55111.36</v>
      </c>
      <c r="E360" s="46"/>
      <c r="F360" s="25"/>
      <c r="G360" s="25">
        <v>22044.54</v>
      </c>
      <c r="H360" s="184">
        <v>24800.11</v>
      </c>
      <c r="I360" s="29"/>
      <c r="J360" s="153">
        <v>8266.7</v>
      </c>
      <c r="K360" s="46"/>
      <c r="N360" s="30">
        <f t="shared" si="69"/>
        <v>55111.35</v>
      </c>
    </row>
    <row r="361" ht="15.75" customHeight="1">
      <c r="A361" s="94"/>
      <c r="B361" s="186" t="s">
        <v>309</v>
      </c>
      <c r="C361" s="189" t="s">
        <v>310</v>
      </c>
      <c r="D361" s="20">
        <v>332420.5</v>
      </c>
      <c r="E361" s="46"/>
      <c r="F361" s="20"/>
      <c r="G361" s="25">
        <v>332420.5</v>
      </c>
      <c r="H361" s="188"/>
      <c r="I361" s="29"/>
      <c r="J361" s="29"/>
      <c r="K361" s="46"/>
      <c r="N361" s="30">
        <f t="shared" si="69"/>
        <v>332420.5</v>
      </c>
    </row>
    <row r="362" ht="15.75" customHeight="1">
      <c r="A362" s="94"/>
      <c r="B362" s="186" t="s">
        <v>311</v>
      </c>
      <c r="C362" s="128" t="s">
        <v>312</v>
      </c>
      <c r="D362" s="20">
        <v>426206.0</v>
      </c>
      <c r="E362" s="46"/>
      <c r="F362" s="20">
        <v>140370.79</v>
      </c>
      <c r="G362" s="20">
        <v>143231.91</v>
      </c>
      <c r="H362" s="183">
        <v>142603.3</v>
      </c>
      <c r="I362" s="29"/>
      <c r="J362" s="29"/>
      <c r="K362" s="46"/>
      <c r="N362" s="30">
        <f t="shared" si="69"/>
        <v>426206</v>
      </c>
    </row>
    <row r="363" ht="15.75" customHeight="1">
      <c r="A363" s="94"/>
      <c r="B363" s="186"/>
      <c r="C363" s="128" t="s">
        <v>65</v>
      </c>
      <c r="D363" s="25">
        <v>1050000.0</v>
      </c>
      <c r="E363" s="46"/>
      <c r="F363" s="20"/>
      <c r="G363" s="20"/>
      <c r="H363" s="184">
        <v>525000.0</v>
      </c>
      <c r="I363" s="153">
        <v>525000.0</v>
      </c>
      <c r="J363" s="29"/>
      <c r="K363" s="46"/>
      <c r="M363" s="30"/>
      <c r="N363" s="30">
        <f t="shared" si="69"/>
        <v>1050000</v>
      </c>
    </row>
    <row r="364" ht="15.75" customHeight="1">
      <c r="A364" s="94"/>
      <c r="B364" s="186"/>
      <c r="C364" s="24" t="s">
        <v>58</v>
      </c>
      <c r="D364" s="25">
        <v>4500000.0</v>
      </c>
      <c r="E364" s="46"/>
      <c r="F364" s="20"/>
      <c r="G364" s="20"/>
      <c r="H364" s="184">
        <v>1350000.0</v>
      </c>
      <c r="I364" s="29">
        <v>3150000.0</v>
      </c>
      <c r="J364" s="29"/>
      <c r="K364" s="46"/>
      <c r="M364" s="30"/>
      <c r="N364" s="30">
        <f t="shared" si="69"/>
        <v>4500000</v>
      </c>
    </row>
    <row r="365" ht="15.75" customHeight="1">
      <c r="A365" s="8"/>
      <c r="B365" s="4"/>
      <c r="C365" s="24" t="s">
        <v>56</v>
      </c>
      <c r="D365" s="25">
        <v>470000.0</v>
      </c>
      <c r="E365" s="20"/>
      <c r="F365" s="20"/>
      <c r="G365" s="20"/>
      <c r="H365" s="191">
        <v>117500.0</v>
      </c>
      <c r="I365" s="192">
        <v>235000.0</v>
      </c>
      <c r="J365" s="182">
        <v>117500.0</v>
      </c>
      <c r="K365" s="182"/>
      <c r="L365" s="4"/>
      <c r="M365" s="4"/>
      <c r="N365" s="30">
        <f t="shared" si="69"/>
        <v>470000</v>
      </c>
    </row>
    <row r="366" ht="15.75" customHeight="1">
      <c r="A366" s="193"/>
      <c r="B366" s="54"/>
      <c r="C366" s="194" t="s">
        <v>57</v>
      </c>
      <c r="D366" s="185">
        <v>1.25E7</v>
      </c>
      <c r="E366" s="46"/>
      <c r="F366" s="46"/>
      <c r="G366" s="46"/>
      <c r="H366" s="195">
        <v>3125000.0</v>
      </c>
      <c r="I366" s="46">
        <v>6250000.0</v>
      </c>
      <c r="J366" s="185">
        <v>3125000.0</v>
      </c>
      <c r="K366" s="46"/>
      <c r="L366" s="54"/>
      <c r="M366" s="54"/>
      <c r="N366" s="30">
        <f t="shared" si="69"/>
        <v>12500000</v>
      </c>
    </row>
    <row r="367" ht="15.75" customHeight="1">
      <c r="A367" s="193"/>
      <c r="B367" s="54"/>
      <c r="C367" s="194" t="s">
        <v>314</v>
      </c>
      <c r="D367" s="185">
        <v>153000.0</v>
      </c>
      <c r="E367" s="46"/>
      <c r="F367" s="46"/>
      <c r="G367" s="185">
        <v>85000.0</v>
      </c>
      <c r="H367" s="195">
        <v>41000.0</v>
      </c>
      <c r="I367" s="185">
        <v>27000.0</v>
      </c>
      <c r="J367" s="185"/>
      <c r="K367" s="46"/>
      <c r="L367" s="54"/>
      <c r="M367" s="54"/>
      <c r="N367" s="30"/>
    </row>
    <row r="368" ht="15.75" customHeight="1">
      <c r="A368" s="193"/>
      <c r="B368" s="54"/>
      <c r="C368" s="194" t="s">
        <v>193</v>
      </c>
      <c r="D368" s="185">
        <v>1300000.0</v>
      </c>
      <c r="E368" s="46"/>
      <c r="F368" s="46"/>
      <c r="G368" s="46"/>
      <c r="H368" s="195">
        <v>800000.0</v>
      </c>
      <c r="I368" s="185">
        <v>500000.0</v>
      </c>
      <c r="J368" s="185"/>
      <c r="K368" s="46"/>
      <c r="L368" s="54"/>
      <c r="M368" s="54"/>
      <c r="N368" s="30"/>
    </row>
    <row r="369" ht="15.75" customHeight="1">
      <c r="A369" s="193"/>
      <c r="B369" s="54"/>
      <c r="C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</sheetData>
  <mergeCells count="8">
    <mergeCell ref="B2:K2"/>
    <mergeCell ref="D343:D347"/>
    <mergeCell ref="E343:F343"/>
    <mergeCell ref="E344:F344"/>
    <mergeCell ref="E345:F345"/>
    <mergeCell ref="E346:F346"/>
    <mergeCell ref="E347:F347"/>
    <mergeCell ref="E349:K349"/>
  </mergeCells>
  <conditionalFormatting sqref="A1:A369">
    <cfRule type="cellIs" dxfId="0" priority="1" operator="equal">
      <formula>2026</formula>
    </cfRule>
  </conditionalFormatting>
  <conditionalFormatting sqref="A1:A369">
    <cfRule type="cellIs" dxfId="1" priority="2" operator="equal">
      <formula>"!!!"</formula>
    </cfRule>
  </conditionalFormatting>
  <conditionalFormatting sqref="B1:B369">
    <cfRule type="beginsWith" dxfId="2" priority="3" operator="beginsWith" text="!!!">
      <formula>LEFT((B1),LEN("!!!"))=("!!!")</formula>
    </cfRule>
  </conditionalFormatting>
  <conditionalFormatting sqref="L337">
    <cfRule type="cellIs" dxfId="3" priority="4" operator="notEqual">
      <formula>0</formula>
    </cfRule>
  </conditionalFormatting>
  <conditionalFormatting sqref="L337">
    <cfRule type="cellIs" dxfId="0" priority="5" operator="equal">
      <formula>0</formula>
    </cfRule>
  </conditionalFormatting>
  <hyperlinks>
    <hyperlink r:id="rId4" ref="C248"/>
  </hyperlinks>
  <printOptions gridLines="1"/>
  <pageMargins bottom="0.75" footer="0.0" header="0.0" left="0.25" right="0.25" top="0.75"/>
  <pageSetup fitToHeight="0" paperSize="9" orientation="landscape"/>
  <headerFooter>
    <oddHeader>&amp;L&amp;F</oddHeader>
    <oddFooter>&amp;CPresupuesto Ayuntamiento Aranda de Duero 2026</oddFooter>
  </headerFooter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43"/>
    <col customWidth="1" min="2" max="2" width="10.14"/>
    <col customWidth="1" min="3" max="3" width="89.71"/>
    <col customWidth="1" min="4" max="4" width="16.29"/>
    <col customWidth="1" min="5" max="5" width="22.86"/>
    <col customWidth="1" min="6" max="6" width="16.0"/>
    <col customWidth="1" min="7" max="7" width="16.29"/>
    <col customWidth="1" min="8" max="8" width="14.29"/>
    <col customWidth="1" min="9" max="9" width="14.86"/>
    <col customWidth="1" min="10" max="10" width="16.29"/>
    <col customWidth="1" min="11" max="12" width="14.57"/>
    <col customWidth="1" min="13" max="14" width="15.1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</row>
    <row r="2" ht="15.7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7"/>
      <c r="K2" s="3"/>
      <c r="L2" s="4"/>
      <c r="M2" s="4"/>
      <c r="N2" s="4"/>
    </row>
    <row r="3" ht="15.75" customHeight="1">
      <c r="A3" s="8"/>
      <c r="B3" s="9"/>
      <c r="C3" s="4"/>
      <c r="D3" s="10"/>
      <c r="E3" s="11"/>
      <c r="F3" s="11"/>
      <c r="G3" s="11"/>
      <c r="H3" s="11"/>
      <c r="I3" s="11"/>
      <c r="J3" s="11"/>
      <c r="K3" s="3"/>
      <c r="L3" s="4"/>
      <c r="M3" s="4"/>
      <c r="N3" s="4"/>
    </row>
    <row r="4">
      <c r="A4" s="1"/>
      <c r="B4" s="12" t="s">
        <v>1</v>
      </c>
      <c r="C4" s="13" t="s">
        <v>2</v>
      </c>
      <c r="D4" s="13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5"/>
      <c r="L4" s="17"/>
      <c r="M4" s="17"/>
      <c r="N4" s="17"/>
    </row>
    <row r="5" ht="15.75" customHeight="1">
      <c r="A5" s="1"/>
      <c r="B5" s="18">
        <v>1320.0</v>
      </c>
      <c r="C5" s="19" t="s">
        <v>10</v>
      </c>
      <c r="D5" s="10"/>
      <c r="E5" s="10"/>
      <c r="F5" s="10"/>
      <c r="G5" s="10"/>
      <c r="H5" s="10"/>
      <c r="I5" s="10"/>
      <c r="J5" s="10"/>
      <c r="K5" s="10"/>
      <c r="L5" s="4"/>
      <c r="M5" s="4"/>
      <c r="N5" s="4"/>
    </row>
    <row r="6" ht="15.75" customHeight="1">
      <c r="A6" s="1"/>
      <c r="B6" s="18">
        <v>622.0</v>
      </c>
      <c r="C6" s="21" t="s">
        <v>11</v>
      </c>
      <c r="D6" s="10"/>
      <c r="E6" s="10"/>
      <c r="F6" s="10"/>
      <c r="G6" s="10"/>
      <c r="H6" s="10"/>
      <c r="I6" s="10"/>
      <c r="J6" s="10"/>
      <c r="K6" s="10">
        <f>SUM(J7:J9)</f>
        <v>550000</v>
      </c>
      <c r="L6" s="4"/>
      <c r="M6" s="4"/>
      <c r="N6" s="4"/>
    </row>
    <row r="7" ht="15.75" customHeight="1">
      <c r="A7" s="23">
        <v>2026.0</v>
      </c>
      <c r="B7" s="9"/>
      <c r="C7" s="24" t="s">
        <v>12</v>
      </c>
      <c r="D7" s="26">
        <v>60000.0</v>
      </c>
      <c r="E7" s="26">
        <v>60000.0</v>
      </c>
      <c r="F7" s="10"/>
      <c r="G7" s="10"/>
      <c r="H7" s="10"/>
      <c r="I7" s="10"/>
      <c r="J7" s="10">
        <f t="shared" ref="J7:J9" si="1">SUM(E7:H7)</f>
        <v>60000</v>
      </c>
      <c r="K7" s="10"/>
      <c r="L7" s="4"/>
      <c r="M7" s="4"/>
      <c r="N7" s="4"/>
    </row>
    <row r="8" ht="15.75" customHeight="1">
      <c r="A8" s="23">
        <v>2026.0</v>
      </c>
      <c r="B8" s="27" t="s">
        <v>13</v>
      </c>
      <c r="C8" s="24" t="s">
        <v>15</v>
      </c>
      <c r="D8" s="26">
        <v>450000.0</v>
      </c>
      <c r="E8" s="26">
        <v>450000.0</v>
      </c>
      <c r="F8" s="10"/>
      <c r="G8" s="10"/>
      <c r="H8" s="10"/>
      <c r="I8" s="10"/>
      <c r="J8" s="10">
        <f t="shared" si="1"/>
        <v>450000</v>
      </c>
      <c r="K8" s="10"/>
      <c r="L8" s="4"/>
      <c r="M8" s="4"/>
      <c r="N8" s="4"/>
    </row>
    <row r="9" ht="15.75" customHeight="1">
      <c r="A9" s="23">
        <v>2026.0</v>
      </c>
      <c r="B9" s="9"/>
      <c r="C9" s="24" t="s">
        <v>16</v>
      </c>
      <c r="D9" s="26">
        <v>40000.0</v>
      </c>
      <c r="E9" s="26">
        <v>40000.0</v>
      </c>
      <c r="F9" s="10"/>
      <c r="G9" s="10"/>
      <c r="H9" s="10"/>
      <c r="I9" s="10"/>
      <c r="J9" s="10">
        <f t="shared" si="1"/>
        <v>40000</v>
      </c>
      <c r="K9" s="10"/>
      <c r="L9" s="4"/>
      <c r="M9" s="4"/>
      <c r="N9" s="4"/>
    </row>
    <row r="10" ht="15.75" customHeight="1">
      <c r="A10" s="28"/>
      <c r="B10" s="18">
        <v>624.0</v>
      </c>
      <c r="C10" s="19" t="s">
        <v>17</v>
      </c>
      <c r="D10" s="30"/>
      <c r="E10" s="30"/>
      <c r="F10" s="30"/>
      <c r="G10" s="30"/>
      <c r="H10" s="30"/>
      <c r="I10" s="30"/>
      <c r="J10" s="30"/>
      <c r="K10" s="10">
        <f>SUM(J11)</f>
        <v>45000</v>
      </c>
      <c r="L10" s="31"/>
      <c r="M10" s="31"/>
      <c r="N10" s="31"/>
    </row>
    <row r="11" ht="15.75" customHeight="1">
      <c r="A11" s="32">
        <v>2026.0</v>
      </c>
      <c r="B11" s="31"/>
      <c r="C11" s="4" t="s">
        <v>18</v>
      </c>
      <c r="D11" s="26">
        <v>45000.0</v>
      </c>
      <c r="E11" s="26">
        <v>45000.0</v>
      </c>
      <c r="F11" s="30"/>
      <c r="G11" s="30"/>
      <c r="H11" s="30"/>
      <c r="I11" s="30"/>
      <c r="J11" s="10">
        <f>SUM(E11:H11)</f>
        <v>45000</v>
      </c>
      <c r="K11" s="30"/>
      <c r="L11" s="31"/>
      <c r="M11" s="31"/>
      <c r="N11" s="31"/>
    </row>
    <row r="12" ht="15.75" customHeight="1">
      <c r="A12" s="8"/>
      <c r="B12" s="9"/>
      <c r="C12" s="18">
        <v>1320.0</v>
      </c>
      <c r="D12" s="35">
        <f t="shared" ref="D12:J12" si="2">SUM(D7:D11)</f>
        <v>595000</v>
      </c>
      <c r="E12" s="35">
        <f t="shared" si="2"/>
        <v>595000</v>
      </c>
      <c r="F12" s="35">
        <f t="shared" si="2"/>
        <v>0</v>
      </c>
      <c r="G12" s="35">
        <f t="shared" si="2"/>
        <v>0</v>
      </c>
      <c r="H12" s="35">
        <f t="shared" si="2"/>
        <v>0</v>
      </c>
      <c r="I12" s="35">
        <f t="shared" si="2"/>
        <v>0</v>
      </c>
      <c r="J12" s="35">
        <f t="shared" si="2"/>
        <v>595000</v>
      </c>
      <c r="K12" s="10"/>
      <c r="L12" s="4"/>
      <c r="M12" s="4"/>
      <c r="N12" s="4"/>
    </row>
    <row r="13" ht="15.75" customHeight="1">
      <c r="A13" s="8"/>
      <c r="B13" s="9"/>
      <c r="C13" s="4"/>
      <c r="D13" s="10"/>
      <c r="E13" s="10"/>
      <c r="F13" s="10"/>
      <c r="G13" s="10"/>
      <c r="H13" s="10"/>
      <c r="I13" s="10"/>
      <c r="J13" s="10"/>
      <c r="K13" s="10"/>
      <c r="L13" s="4"/>
      <c r="M13" s="4"/>
      <c r="N13" s="4"/>
    </row>
    <row r="14" ht="15.75" customHeight="1">
      <c r="A14" s="1"/>
      <c r="B14" s="18">
        <v>1330.0</v>
      </c>
      <c r="C14" s="19" t="s">
        <v>19</v>
      </c>
      <c r="D14" s="10"/>
      <c r="E14" s="10"/>
      <c r="F14" s="10"/>
      <c r="G14" s="10"/>
      <c r="H14" s="10"/>
      <c r="I14" s="10"/>
      <c r="J14" s="10"/>
      <c r="K14" s="10"/>
      <c r="L14" s="4"/>
      <c r="M14" s="4"/>
      <c r="N14" s="4"/>
    </row>
    <row r="15" ht="15.75" customHeight="1">
      <c r="A15" s="1"/>
      <c r="B15" s="18">
        <v>619.0</v>
      </c>
      <c r="C15" s="19" t="s">
        <v>20</v>
      </c>
      <c r="D15" s="10"/>
      <c r="E15" s="10"/>
      <c r="F15" s="10"/>
      <c r="G15" s="10"/>
      <c r="H15" s="10"/>
      <c r="I15" s="10"/>
      <c r="J15" s="10"/>
      <c r="K15" s="10">
        <f>SUM(J16:J19)</f>
        <v>135000</v>
      </c>
      <c r="L15" s="4"/>
      <c r="M15" s="4"/>
      <c r="N15" s="4"/>
    </row>
    <row r="16" ht="15.75" customHeight="1">
      <c r="A16" s="23">
        <v>2026.0</v>
      </c>
      <c r="B16" s="27" t="s">
        <v>13</v>
      </c>
      <c r="C16" s="24" t="s">
        <v>21</v>
      </c>
      <c r="D16" s="26">
        <v>40000.0</v>
      </c>
      <c r="E16" s="26">
        <v>40000.0</v>
      </c>
      <c r="F16" s="10"/>
      <c r="G16" s="10"/>
      <c r="H16" s="10"/>
      <c r="I16" s="10"/>
      <c r="J16" s="10">
        <f t="shared" ref="J16:J19" si="3">SUM(E16:H16)</f>
        <v>40000</v>
      </c>
      <c r="K16" s="10"/>
      <c r="L16" s="4"/>
      <c r="M16" s="4"/>
      <c r="N16" s="4"/>
    </row>
    <row r="17" ht="15.75" customHeight="1">
      <c r="A17" s="23">
        <v>2026.0</v>
      </c>
      <c r="B17" s="9"/>
      <c r="C17" s="24" t="s">
        <v>22</v>
      </c>
      <c r="D17" s="26">
        <v>15000.0</v>
      </c>
      <c r="E17" s="26">
        <v>15000.0</v>
      </c>
      <c r="F17" s="10"/>
      <c r="G17" s="10"/>
      <c r="H17" s="10"/>
      <c r="I17" s="10"/>
      <c r="J17" s="10">
        <f t="shared" si="3"/>
        <v>15000</v>
      </c>
      <c r="K17" s="10"/>
      <c r="L17" s="4"/>
      <c r="M17" s="4"/>
      <c r="N17" s="4"/>
    </row>
    <row r="18" ht="15.75" customHeight="1">
      <c r="A18" s="23">
        <v>2026.0</v>
      </c>
      <c r="B18" s="9"/>
      <c r="C18" s="24" t="s">
        <v>23</v>
      </c>
      <c r="D18" s="26">
        <v>50000.0</v>
      </c>
      <c r="E18" s="26">
        <v>50000.0</v>
      </c>
      <c r="F18" s="10"/>
      <c r="G18" s="10"/>
      <c r="H18" s="10"/>
      <c r="I18" s="10"/>
      <c r="J18" s="10">
        <f t="shared" si="3"/>
        <v>50000</v>
      </c>
      <c r="K18" s="10"/>
      <c r="L18" s="4"/>
      <c r="M18" s="4"/>
      <c r="N18" s="4"/>
    </row>
    <row r="19" ht="15.75" customHeight="1">
      <c r="A19" s="23">
        <v>2026.0</v>
      </c>
      <c r="B19" s="9"/>
      <c r="C19" s="24" t="s">
        <v>24</v>
      </c>
      <c r="D19" s="26">
        <v>30000.0</v>
      </c>
      <c r="E19" s="26">
        <v>30000.0</v>
      </c>
      <c r="F19" s="10"/>
      <c r="G19" s="10"/>
      <c r="H19" s="10"/>
      <c r="I19" s="10"/>
      <c r="J19" s="10">
        <f t="shared" si="3"/>
        <v>30000</v>
      </c>
      <c r="K19" s="10"/>
      <c r="L19" s="4"/>
      <c r="M19" s="4"/>
      <c r="N19" s="4"/>
    </row>
    <row r="20" ht="15.75" customHeight="1">
      <c r="A20" s="8"/>
      <c r="B20" s="9"/>
      <c r="C20" s="37" t="s">
        <v>25</v>
      </c>
      <c r="D20" s="35">
        <f t="shared" ref="D20:J20" si="4">SUM(D15:D19)</f>
        <v>135000</v>
      </c>
      <c r="E20" s="35">
        <f t="shared" si="4"/>
        <v>135000</v>
      </c>
      <c r="F20" s="35">
        <f t="shared" si="4"/>
        <v>0</v>
      </c>
      <c r="G20" s="35">
        <f t="shared" si="4"/>
        <v>0</v>
      </c>
      <c r="H20" s="35">
        <f t="shared" si="4"/>
        <v>0</v>
      </c>
      <c r="I20" s="35">
        <f t="shared" si="4"/>
        <v>0</v>
      </c>
      <c r="J20" s="35">
        <f t="shared" si="4"/>
        <v>135000</v>
      </c>
      <c r="K20" s="10"/>
      <c r="L20" s="4"/>
      <c r="M20" s="4"/>
      <c r="N20" s="4"/>
    </row>
    <row r="21" ht="15.75" customHeight="1">
      <c r="A21" s="8"/>
      <c r="B21" s="9"/>
      <c r="C21" s="4"/>
      <c r="D21" s="10"/>
      <c r="E21" s="10"/>
      <c r="F21" s="10"/>
      <c r="G21" s="10"/>
      <c r="H21" s="10"/>
      <c r="I21" s="10"/>
      <c r="J21" s="10"/>
      <c r="K21" s="10"/>
      <c r="L21" s="4"/>
      <c r="M21" s="4"/>
      <c r="N21" s="4"/>
    </row>
    <row r="22" ht="15.75" customHeight="1">
      <c r="A22" s="1"/>
      <c r="B22" s="18">
        <v>1350.0</v>
      </c>
      <c r="C22" s="19" t="s">
        <v>26</v>
      </c>
      <c r="D22" s="10"/>
      <c r="E22" s="10"/>
      <c r="F22" s="10"/>
      <c r="G22" s="10"/>
      <c r="H22" s="10"/>
      <c r="I22" s="10"/>
      <c r="J22" s="10"/>
      <c r="K22" s="10"/>
      <c r="L22" s="4"/>
      <c r="M22" s="4"/>
      <c r="N22" s="4"/>
    </row>
    <row r="23" ht="15.75" customHeight="1">
      <c r="A23" s="1"/>
      <c r="B23" s="18">
        <v>619.0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>
        <f>SUM(J24)</f>
        <v>18200</v>
      </c>
      <c r="L23" s="4"/>
      <c r="M23" s="4"/>
      <c r="N23" s="4"/>
    </row>
    <row r="24" ht="15.75" customHeight="1">
      <c r="A24" s="23">
        <v>2026.0</v>
      </c>
      <c r="B24" s="9"/>
      <c r="C24" s="24" t="s">
        <v>27</v>
      </c>
      <c r="D24" s="26">
        <v>18200.0</v>
      </c>
      <c r="E24" s="26">
        <v>18200.0</v>
      </c>
      <c r="F24" s="10"/>
      <c r="G24" s="10"/>
      <c r="H24" s="10"/>
      <c r="I24" s="10"/>
      <c r="J24" s="10">
        <f>SUM(E24:H24)</f>
        <v>18200</v>
      </c>
      <c r="K24" s="10"/>
      <c r="L24" s="4"/>
      <c r="M24" s="4"/>
      <c r="N24" s="4"/>
    </row>
    <row r="25" ht="15.75" customHeight="1">
      <c r="A25" s="1"/>
      <c r="B25" s="18">
        <v>622.0</v>
      </c>
      <c r="C25" s="21" t="s">
        <v>11</v>
      </c>
      <c r="D25" s="10"/>
      <c r="E25" s="10"/>
      <c r="F25" s="10"/>
      <c r="G25" s="10"/>
      <c r="H25" s="10"/>
      <c r="I25" s="10"/>
      <c r="J25" s="10"/>
      <c r="K25" s="10">
        <f>SUM(J26)</f>
        <v>50000</v>
      </c>
      <c r="L25" s="4"/>
      <c r="M25" s="4"/>
      <c r="N25" s="4"/>
    </row>
    <row r="26" ht="15.75" customHeight="1">
      <c r="A26" s="23">
        <v>2026.0</v>
      </c>
      <c r="B26" s="27" t="s">
        <v>13</v>
      </c>
      <c r="C26" s="4" t="s">
        <v>28</v>
      </c>
      <c r="D26" s="26">
        <v>50000.0</v>
      </c>
      <c r="E26" s="26">
        <v>50000.0</v>
      </c>
      <c r="F26" s="10"/>
      <c r="G26" s="10"/>
      <c r="H26" s="10"/>
      <c r="I26" s="10"/>
      <c r="J26" s="10">
        <f>SUM(E26:H26)</f>
        <v>50000</v>
      </c>
      <c r="K26" s="10"/>
      <c r="L26" s="4"/>
      <c r="M26" s="4"/>
      <c r="N26" s="4"/>
    </row>
    <row r="27" ht="15.75" customHeight="1">
      <c r="A27" s="8"/>
      <c r="B27" s="18">
        <v>624.0</v>
      </c>
      <c r="C27" s="19" t="s">
        <v>17</v>
      </c>
      <c r="D27" s="10"/>
      <c r="E27" s="10"/>
      <c r="F27" s="10"/>
      <c r="G27" s="10"/>
      <c r="H27" s="10"/>
      <c r="I27" s="10"/>
      <c r="J27" s="10"/>
      <c r="K27" s="10">
        <f>SUM(J28)</f>
        <v>45000</v>
      </c>
      <c r="L27" s="4"/>
      <c r="M27" s="4"/>
      <c r="N27" s="4"/>
    </row>
    <row r="28" ht="15.75" customHeight="1">
      <c r="A28" s="23">
        <v>2026.0</v>
      </c>
      <c r="B28" s="9"/>
      <c r="C28" s="24" t="s">
        <v>18</v>
      </c>
      <c r="D28" s="26">
        <v>45000.0</v>
      </c>
      <c r="E28" s="26">
        <v>45000.0</v>
      </c>
      <c r="F28" s="10"/>
      <c r="G28" s="10"/>
      <c r="H28" s="10"/>
      <c r="I28" s="10"/>
      <c r="J28" s="10">
        <f>SUM(E28:H28)</f>
        <v>45000</v>
      </c>
      <c r="K28" s="10"/>
      <c r="L28" s="4"/>
      <c r="M28" s="4"/>
      <c r="N28" s="4"/>
    </row>
    <row r="29" ht="15.75" customHeight="1">
      <c r="A29" s="8"/>
      <c r="B29" s="9"/>
      <c r="C29" s="37" t="s">
        <v>29</v>
      </c>
      <c r="D29" s="35">
        <f t="shared" ref="D29:J29" si="5">SUM(D24:D28)</f>
        <v>113200</v>
      </c>
      <c r="E29" s="35">
        <f t="shared" si="5"/>
        <v>113200</v>
      </c>
      <c r="F29" s="35">
        <f t="shared" si="5"/>
        <v>0</v>
      </c>
      <c r="G29" s="35">
        <f t="shared" si="5"/>
        <v>0</v>
      </c>
      <c r="H29" s="35">
        <f t="shared" si="5"/>
        <v>0</v>
      </c>
      <c r="I29" s="35">
        <f t="shared" si="5"/>
        <v>0</v>
      </c>
      <c r="J29" s="35">
        <f t="shared" si="5"/>
        <v>113200</v>
      </c>
      <c r="K29" s="10"/>
      <c r="L29" s="4"/>
      <c r="M29" s="4"/>
      <c r="N29" s="4"/>
    </row>
    <row r="30" ht="15.75" customHeight="1">
      <c r="A30" s="8"/>
      <c r="B30" s="9"/>
      <c r="C30" s="4"/>
      <c r="D30" s="10"/>
      <c r="E30" s="10"/>
      <c r="F30" s="10"/>
      <c r="G30" s="10"/>
      <c r="H30" s="10"/>
      <c r="I30" s="10"/>
      <c r="J30" s="10"/>
      <c r="K30" s="10"/>
      <c r="L30" s="4"/>
      <c r="M30" s="4"/>
      <c r="N30" s="4"/>
    </row>
    <row r="31" ht="15.75" customHeight="1">
      <c r="A31" s="1"/>
      <c r="B31" s="18">
        <v>1360.0</v>
      </c>
      <c r="C31" s="19" t="s">
        <v>30</v>
      </c>
      <c r="D31" s="10"/>
      <c r="E31" s="10"/>
      <c r="F31" s="31"/>
      <c r="G31" s="31"/>
      <c r="H31" s="10"/>
      <c r="I31" s="10"/>
      <c r="J31" s="10"/>
      <c r="K31" s="10"/>
      <c r="L31" s="4"/>
      <c r="M31" s="4"/>
      <c r="N31" s="4"/>
    </row>
    <row r="32" ht="15.75" customHeight="1">
      <c r="A32" s="1"/>
      <c r="B32" s="18">
        <v>624.0</v>
      </c>
      <c r="C32" s="19" t="s">
        <v>17</v>
      </c>
      <c r="D32" s="10"/>
      <c r="E32" s="10"/>
      <c r="F32" s="14" t="s">
        <v>31</v>
      </c>
      <c r="G32" s="31"/>
      <c r="H32" s="10"/>
      <c r="I32" s="10"/>
      <c r="J32" s="10"/>
      <c r="K32" s="10">
        <f>SUM(J33)</f>
        <v>25000</v>
      </c>
      <c r="L32" s="4"/>
      <c r="M32" s="4"/>
      <c r="N32" s="4"/>
    </row>
    <row r="33" ht="15.75" customHeight="1">
      <c r="A33" s="23">
        <v>2026.0</v>
      </c>
      <c r="B33" s="9"/>
      <c r="C33" s="24" t="s">
        <v>32</v>
      </c>
      <c r="D33" s="26">
        <v>25000.0</v>
      </c>
      <c r="E33" s="26"/>
      <c r="F33" s="26">
        <v>25000.0</v>
      </c>
      <c r="G33" s="10"/>
      <c r="H33" s="10"/>
      <c r="I33" s="10"/>
      <c r="J33" s="10">
        <f>SUM(E33:H33)</f>
        <v>25000</v>
      </c>
      <c r="K33" s="10"/>
      <c r="L33" s="4"/>
      <c r="M33" s="4"/>
      <c r="N33" s="4"/>
    </row>
    <row r="34" ht="15.75" customHeight="1">
      <c r="A34" s="1"/>
      <c r="B34" s="39">
        <v>639.0</v>
      </c>
      <c r="C34" s="40" t="s">
        <v>33</v>
      </c>
      <c r="D34" s="10"/>
      <c r="E34" s="10"/>
      <c r="F34" s="10"/>
      <c r="G34" s="31"/>
      <c r="H34" s="10"/>
      <c r="I34" s="10"/>
      <c r="J34" s="10"/>
      <c r="K34" s="10">
        <f>SUM(J35)</f>
        <v>75000</v>
      </c>
      <c r="L34" s="4"/>
      <c r="M34" s="4"/>
      <c r="N34" s="4"/>
    </row>
    <row r="35" ht="15.75" customHeight="1">
      <c r="A35" s="23">
        <v>2026.0</v>
      </c>
      <c r="B35" s="9"/>
      <c r="C35" s="24" t="s">
        <v>36</v>
      </c>
      <c r="D35" s="26">
        <v>75000.0</v>
      </c>
      <c r="E35" s="26"/>
      <c r="F35" s="26">
        <v>75000.0</v>
      </c>
      <c r="G35" s="10"/>
      <c r="H35" s="10"/>
      <c r="I35" s="10"/>
      <c r="J35" s="10">
        <f>SUM(E35:H35)</f>
        <v>75000</v>
      </c>
      <c r="K35" s="10"/>
      <c r="L35" s="4"/>
      <c r="M35" s="4"/>
      <c r="N35" s="4"/>
    </row>
    <row r="36" ht="15.75" customHeight="1">
      <c r="A36" s="8"/>
      <c r="B36" s="9"/>
      <c r="C36" s="37" t="s">
        <v>35</v>
      </c>
      <c r="D36" s="35">
        <f t="shared" ref="D36:J36" si="6">SUM(D32:D35)</f>
        <v>100000</v>
      </c>
      <c r="E36" s="35">
        <f t="shared" si="6"/>
        <v>0</v>
      </c>
      <c r="F36" s="35">
        <f t="shared" si="6"/>
        <v>100000</v>
      </c>
      <c r="G36" s="35">
        <f t="shared" si="6"/>
        <v>0</v>
      </c>
      <c r="H36" s="35">
        <f t="shared" si="6"/>
        <v>0</v>
      </c>
      <c r="I36" s="35">
        <f t="shared" si="6"/>
        <v>0</v>
      </c>
      <c r="J36" s="35">
        <f t="shared" si="6"/>
        <v>100000</v>
      </c>
      <c r="K36" s="10"/>
      <c r="L36" s="4"/>
      <c r="M36" s="4"/>
      <c r="N36" s="4"/>
    </row>
    <row r="37" ht="15.75" customHeight="1">
      <c r="A37" s="8"/>
      <c r="B37" s="9"/>
      <c r="C37" s="4"/>
      <c r="D37" s="42"/>
      <c r="E37" s="10"/>
      <c r="F37" s="10"/>
      <c r="G37" s="10"/>
      <c r="H37" s="10"/>
      <c r="I37" s="10"/>
      <c r="J37" s="10"/>
      <c r="K37" s="10"/>
      <c r="L37" s="4"/>
      <c r="M37" s="4"/>
      <c r="N37" s="4"/>
    </row>
    <row r="38" ht="15.75" customHeight="1">
      <c r="A38" s="1"/>
      <c r="B38" s="18">
        <v>1500.0</v>
      </c>
      <c r="C38" s="19" t="s">
        <v>37</v>
      </c>
      <c r="D38" s="42"/>
      <c r="E38" s="10"/>
      <c r="F38" s="10"/>
      <c r="G38" s="10"/>
      <c r="H38" s="10"/>
      <c r="I38" s="10"/>
      <c r="J38" s="10"/>
      <c r="K38" s="10"/>
      <c r="L38" s="4"/>
      <c r="M38" s="4"/>
      <c r="N38" s="4"/>
    </row>
    <row r="39" ht="15.75" customHeight="1">
      <c r="A39" s="1"/>
      <c r="B39" s="18">
        <v>636.0</v>
      </c>
      <c r="C39" s="19" t="s">
        <v>38</v>
      </c>
      <c r="D39" s="10"/>
      <c r="E39" s="10"/>
      <c r="F39" s="10"/>
      <c r="G39" s="10"/>
      <c r="H39" s="10"/>
      <c r="I39" s="10"/>
      <c r="J39" s="10"/>
      <c r="K39" s="10">
        <f>SUM(J40)</f>
        <v>12000</v>
      </c>
      <c r="L39" s="4"/>
      <c r="M39" s="4"/>
      <c r="N39" s="4"/>
    </row>
    <row r="40" ht="15.75" customHeight="1">
      <c r="A40" s="23">
        <v>2026.0</v>
      </c>
      <c r="B40" s="9"/>
      <c r="C40" s="24" t="s">
        <v>39</v>
      </c>
      <c r="D40" s="10">
        <v>12000.0</v>
      </c>
      <c r="E40" s="10">
        <v>12000.0</v>
      </c>
      <c r="F40" s="10"/>
      <c r="G40" s="10"/>
      <c r="H40" s="10"/>
      <c r="I40" s="10"/>
      <c r="J40" s="10">
        <f>SUM(E40:H40)</f>
        <v>12000</v>
      </c>
      <c r="K40" s="10"/>
      <c r="L40" s="4"/>
      <c r="M40" s="4"/>
      <c r="N40" s="4"/>
    </row>
    <row r="41" ht="15.75" customHeight="1">
      <c r="A41" s="8"/>
      <c r="B41" s="9"/>
      <c r="C41" s="37" t="s">
        <v>40</v>
      </c>
      <c r="D41" s="35">
        <f t="shared" ref="D41:J41" si="7">SUM(D39:D40)</f>
        <v>12000</v>
      </c>
      <c r="E41" s="35">
        <f t="shared" si="7"/>
        <v>12000</v>
      </c>
      <c r="F41" s="35">
        <f t="shared" si="7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12000</v>
      </c>
      <c r="K41" s="10"/>
      <c r="L41" s="4"/>
      <c r="M41" s="4"/>
      <c r="N41" s="4"/>
    </row>
    <row r="42" ht="15.75" customHeight="1">
      <c r="A42" s="8"/>
      <c r="B42" s="4"/>
      <c r="C42" s="4"/>
      <c r="D42" s="10"/>
      <c r="E42" s="10"/>
      <c r="F42" s="10"/>
      <c r="G42" s="10"/>
      <c r="H42" s="10"/>
      <c r="I42" s="10"/>
      <c r="J42" s="10"/>
      <c r="K42" s="10"/>
      <c r="L42" s="4"/>
      <c r="M42" s="4"/>
      <c r="N42" s="4"/>
    </row>
    <row r="43" ht="15.75" customHeight="1">
      <c r="A43" s="43"/>
      <c r="B43" s="37" t="s">
        <v>41</v>
      </c>
      <c r="C43" s="19" t="s">
        <v>42</v>
      </c>
      <c r="D43" s="10"/>
      <c r="E43" s="10"/>
      <c r="F43" s="17"/>
      <c r="G43" s="10"/>
      <c r="H43" s="10"/>
      <c r="I43" s="10"/>
      <c r="J43" s="10"/>
      <c r="K43" s="10"/>
      <c r="L43" s="4"/>
      <c r="M43" s="4"/>
      <c r="N43" s="4"/>
    </row>
    <row r="44" ht="15.75" customHeight="1">
      <c r="A44" s="43"/>
      <c r="B44" s="37" t="s">
        <v>45</v>
      </c>
      <c r="C44" s="19" t="s">
        <v>46</v>
      </c>
      <c r="D44" s="10"/>
      <c r="E44" s="10"/>
      <c r="F44" s="52" t="s">
        <v>47</v>
      </c>
      <c r="G44" s="54"/>
      <c r="H44" s="10"/>
      <c r="I44" s="10"/>
      <c r="J44" s="10"/>
      <c r="K44" s="42">
        <f>SUM(J45)</f>
        <v>2347369.69</v>
      </c>
      <c r="L44" s="4"/>
      <c r="M44" s="4"/>
      <c r="N44" s="4"/>
    </row>
    <row r="45" ht="15.75" customHeight="1">
      <c r="A45" s="50"/>
      <c r="B45" s="51" t="s">
        <v>48</v>
      </c>
      <c r="C45" s="53" t="s">
        <v>49</v>
      </c>
      <c r="D45" s="58">
        <v>2347369.69</v>
      </c>
      <c r="E45" s="60">
        <v>1555737.6923</v>
      </c>
      <c r="F45" s="58">
        <v>17000.0</v>
      </c>
      <c r="G45" s="62"/>
      <c r="H45" s="62"/>
      <c r="I45" s="64">
        <v>774631.9977000001</v>
      </c>
      <c r="J45" s="62">
        <f>SUM(E45:I45)</f>
        <v>2347369.69</v>
      </c>
      <c r="K45" s="65"/>
      <c r="L45" s="59">
        <f>D45*0.33</f>
        <v>774631.9977</v>
      </c>
      <c r="M45" s="59"/>
      <c r="N45" s="59"/>
    </row>
    <row r="46" ht="15.75" customHeight="1">
      <c r="A46" s="50"/>
      <c r="B46" s="61"/>
      <c r="C46" s="63">
        <v>1522.0</v>
      </c>
      <c r="D46" s="35">
        <f t="shared" ref="D46:J46" si="8">SUM(D45)</f>
        <v>2347369.69</v>
      </c>
      <c r="E46" s="35">
        <f t="shared" si="8"/>
        <v>1555737.692</v>
      </c>
      <c r="F46" s="35">
        <f t="shared" si="8"/>
        <v>17000</v>
      </c>
      <c r="G46" s="35">
        <f t="shared" si="8"/>
        <v>0</v>
      </c>
      <c r="H46" s="35">
        <f t="shared" si="8"/>
        <v>0</v>
      </c>
      <c r="I46" s="35">
        <f t="shared" si="8"/>
        <v>774631.9977</v>
      </c>
      <c r="J46" s="35">
        <f t="shared" si="8"/>
        <v>2347369.69</v>
      </c>
      <c r="K46" s="10"/>
      <c r="L46" s="4">
        <f>D45*0.67 - 17000</f>
        <v>1555737.692</v>
      </c>
      <c r="M46" s="4"/>
      <c r="N46" s="4"/>
    </row>
    <row r="47" ht="15.75" customHeight="1">
      <c r="A47" s="8"/>
      <c r="B47" s="4"/>
      <c r="C47" s="4"/>
      <c r="D47" s="10"/>
      <c r="E47" s="10"/>
      <c r="F47" s="10"/>
      <c r="G47" s="10"/>
      <c r="H47" s="10"/>
      <c r="I47" s="10"/>
      <c r="J47" s="10"/>
      <c r="K47" s="10"/>
      <c r="L47" s="4"/>
      <c r="M47" s="4"/>
      <c r="N47" s="4"/>
    </row>
    <row r="48" ht="15.75" customHeight="1">
      <c r="A48" s="1"/>
      <c r="B48" s="19">
        <v>1530.0</v>
      </c>
      <c r="C48" s="19" t="s">
        <v>50</v>
      </c>
      <c r="D48" s="10"/>
      <c r="E48" s="10"/>
      <c r="F48" s="10"/>
      <c r="G48" s="10"/>
      <c r="H48" s="10"/>
      <c r="I48" s="10"/>
      <c r="J48" s="10"/>
      <c r="K48" s="10"/>
      <c r="L48" s="4"/>
      <c r="M48" s="4"/>
      <c r="N48" s="4"/>
    </row>
    <row r="49" ht="15.75" customHeight="1">
      <c r="A49" s="1"/>
      <c r="B49" s="18">
        <v>619.0</v>
      </c>
      <c r="C49" s="19" t="s">
        <v>20</v>
      </c>
      <c r="D49" s="10"/>
      <c r="E49" s="10"/>
      <c r="F49" s="10"/>
      <c r="G49" s="10"/>
      <c r="H49" s="10"/>
      <c r="I49" s="10"/>
      <c r="J49" s="10"/>
      <c r="K49" s="10">
        <f>SUM(J50:J68)</f>
        <v>10754563.16</v>
      </c>
      <c r="L49" s="4"/>
      <c r="M49" s="4"/>
      <c r="N49" s="4"/>
    </row>
    <row r="50" ht="15.75" customHeight="1">
      <c r="A50" s="23">
        <v>2026.0</v>
      </c>
      <c r="B50" s="9"/>
      <c r="C50" s="24" t="s">
        <v>51</v>
      </c>
      <c r="D50" s="26">
        <v>145000.0</v>
      </c>
      <c r="E50" s="26">
        <v>145000.0</v>
      </c>
      <c r="F50" s="10"/>
      <c r="G50" s="10"/>
      <c r="H50" s="10"/>
      <c r="I50" s="10"/>
      <c r="J50" s="10">
        <f t="shared" ref="J50:J66" si="9">SUM(E50:H50)</f>
        <v>145000</v>
      </c>
      <c r="K50" s="10"/>
      <c r="L50" s="4"/>
      <c r="M50" s="4"/>
      <c r="N50" s="4"/>
    </row>
    <row r="51" ht="15.75" customHeight="1">
      <c r="A51" s="23">
        <v>2026.0</v>
      </c>
      <c r="B51" s="9"/>
      <c r="C51" s="24" t="s">
        <v>52</v>
      </c>
      <c r="D51" s="26">
        <v>75000.0</v>
      </c>
      <c r="E51" s="26">
        <v>75000.0</v>
      </c>
      <c r="F51" s="10"/>
      <c r="G51" s="10"/>
      <c r="H51" s="10"/>
      <c r="I51" s="10"/>
      <c r="J51" s="10">
        <f t="shared" si="9"/>
        <v>75000</v>
      </c>
      <c r="K51" s="10"/>
      <c r="L51" s="4"/>
      <c r="M51" s="4"/>
      <c r="N51" s="4"/>
    </row>
    <row r="52" ht="15.75" customHeight="1">
      <c r="A52" s="23">
        <v>2026.0</v>
      </c>
      <c r="B52" s="9"/>
      <c r="C52" s="24" t="s">
        <v>53</v>
      </c>
      <c r="D52" s="26">
        <v>500000.0</v>
      </c>
      <c r="E52" s="26">
        <v>500000.0</v>
      </c>
      <c r="F52" s="10"/>
      <c r="G52" s="10"/>
      <c r="H52" s="10"/>
      <c r="I52" s="10"/>
      <c r="J52" s="10">
        <f t="shared" si="9"/>
        <v>500000</v>
      </c>
      <c r="K52" s="10"/>
      <c r="L52" s="4"/>
      <c r="M52" s="4"/>
      <c r="N52" s="4"/>
    </row>
    <row r="53" ht="15.75" customHeight="1">
      <c r="A53" s="23">
        <v>2026.0</v>
      </c>
      <c r="B53" s="9"/>
      <c r="C53" s="24" t="s">
        <v>54</v>
      </c>
      <c r="D53" s="26">
        <v>300000.0</v>
      </c>
      <c r="E53" s="26">
        <v>300000.0</v>
      </c>
      <c r="F53" s="10"/>
      <c r="G53" s="10"/>
      <c r="H53" s="10"/>
      <c r="I53" s="10"/>
      <c r="J53" s="10">
        <f t="shared" si="9"/>
        <v>300000</v>
      </c>
      <c r="K53" s="10"/>
      <c r="L53" s="4"/>
      <c r="M53" s="4"/>
      <c r="N53" s="4"/>
    </row>
    <row r="54" ht="15.75" customHeight="1">
      <c r="A54" s="23" t="s">
        <v>13</v>
      </c>
      <c r="B54" s="27" t="s">
        <v>13</v>
      </c>
      <c r="C54" s="67" t="s">
        <v>62</v>
      </c>
      <c r="D54" s="68">
        <v>0.0</v>
      </c>
      <c r="E54" s="68">
        <v>0.0</v>
      </c>
      <c r="F54" s="10"/>
      <c r="G54" s="10"/>
      <c r="H54" s="10"/>
      <c r="I54" s="10"/>
      <c r="J54" s="10">
        <f t="shared" si="9"/>
        <v>0</v>
      </c>
      <c r="K54" s="10"/>
      <c r="L54" s="4"/>
      <c r="M54" s="4"/>
      <c r="N54" s="4"/>
    </row>
    <row r="55" ht="15.75" customHeight="1">
      <c r="A55" s="23" t="s">
        <v>13</v>
      </c>
      <c r="B55" s="27" t="s">
        <v>13</v>
      </c>
      <c r="C55" s="67" t="s">
        <v>55</v>
      </c>
      <c r="D55" s="68">
        <v>0.0</v>
      </c>
      <c r="E55" s="68">
        <v>0.0</v>
      </c>
      <c r="F55" s="10"/>
      <c r="G55" s="10"/>
      <c r="H55" s="10"/>
      <c r="I55" s="10"/>
      <c r="J55" s="10">
        <f t="shared" si="9"/>
        <v>0</v>
      </c>
      <c r="K55" s="10"/>
      <c r="L55" s="4"/>
      <c r="M55" s="4"/>
      <c r="N55" s="4"/>
    </row>
    <row r="56" ht="15.75" customHeight="1">
      <c r="A56" s="23" t="s">
        <v>13</v>
      </c>
      <c r="B56" s="27" t="s">
        <v>67</v>
      </c>
      <c r="C56" s="24" t="s">
        <v>58</v>
      </c>
      <c r="D56" s="26">
        <v>4500000.0</v>
      </c>
      <c r="E56" s="26">
        <v>4500000.0</v>
      </c>
      <c r="F56" s="26" t="s">
        <v>68</v>
      </c>
      <c r="G56" s="10"/>
      <c r="H56" s="10"/>
      <c r="I56" s="10"/>
      <c r="J56" s="10">
        <f t="shared" si="9"/>
        <v>4500000</v>
      </c>
      <c r="K56" s="10"/>
      <c r="L56" s="4"/>
      <c r="M56" s="4"/>
      <c r="N56" s="4"/>
    </row>
    <row r="57" ht="15.75" customHeight="1">
      <c r="A57" s="23">
        <v>2026.0</v>
      </c>
      <c r="B57" s="27" t="s">
        <v>67</v>
      </c>
      <c r="C57" s="24" t="s">
        <v>70</v>
      </c>
      <c r="D57" s="26">
        <v>1200000.0</v>
      </c>
      <c r="E57" s="26">
        <v>1200000.0</v>
      </c>
      <c r="F57" s="10"/>
      <c r="G57" s="10"/>
      <c r="H57" s="10"/>
      <c r="I57" s="10"/>
      <c r="J57" s="10">
        <f t="shared" si="9"/>
        <v>1200000</v>
      </c>
      <c r="K57" s="10"/>
      <c r="L57" s="4"/>
      <c r="M57" s="4"/>
      <c r="N57" s="4"/>
    </row>
    <row r="58" ht="15.75" customHeight="1">
      <c r="A58" s="23">
        <v>2026.0</v>
      </c>
      <c r="B58" s="9"/>
      <c r="C58" s="24" t="s">
        <v>60</v>
      </c>
      <c r="D58" s="26">
        <v>150000.0</v>
      </c>
      <c r="E58" s="26">
        <v>150000.0</v>
      </c>
      <c r="F58" s="10"/>
      <c r="G58" s="10"/>
      <c r="H58" s="10"/>
      <c r="I58" s="10"/>
      <c r="J58" s="10">
        <f t="shared" si="9"/>
        <v>150000</v>
      </c>
      <c r="K58" s="10"/>
      <c r="L58" s="4"/>
      <c r="M58" s="4"/>
      <c r="N58" s="4"/>
    </row>
    <row r="59" ht="15.75" customHeight="1">
      <c r="A59" s="23">
        <v>2026.0</v>
      </c>
      <c r="B59" s="9"/>
      <c r="C59" s="24" t="s">
        <v>61</v>
      </c>
      <c r="D59" s="26">
        <v>600000.0</v>
      </c>
      <c r="E59" s="26">
        <v>600000.0</v>
      </c>
      <c r="F59" s="10"/>
      <c r="G59" s="10"/>
      <c r="H59" s="10"/>
      <c r="I59" s="10"/>
      <c r="J59" s="10">
        <f t="shared" si="9"/>
        <v>600000</v>
      </c>
      <c r="K59" s="10"/>
      <c r="L59" s="4"/>
      <c r="M59" s="4"/>
      <c r="N59" s="4"/>
    </row>
    <row r="60" ht="15.75" customHeight="1">
      <c r="A60" s="23">
        <v>2026.0</v>
      </c>
      <c r="B60" s="9"/>
      <c r="C60" s="24" t="s">
        <v>73</v>
      </c>
      <c r="D60" s="26">
        <f t="shared" ref="D60:E60" si="10">510000</f>
        <v>510000</v>
      </c>
      <c r="E60" s="26">
        <f t="shared" si="10"/>
        <v>510000</v>
      </c>
      <c r="F60" s="10"/>
      <c r="G60" s="10"/>
      <c r="H60" s="10"/>
      <c r="I60" s="10"/>
      <c r="J60" s="10">
        <f t="shared" si="9"/>
        <v>510000</v>
      </c>
      <c r="K60" s="10"/>
      <c r="L60" s="4"/>
      <c r="M60" s="4"/>
      <c r="N60" s="4"/>
    </row>
    <row r="61" ht="15.75" customHeight="1">
      <c r="A61" s="23">
        <v>2026.0</v>
      </c>
      <c r="B61" s="9"/>
      <c r="C61" s="24" t="s">
        <v>64</v>
      </c>
      <c r="D61" s="26">
        <v>98000.0</v>
      </c>
      <c r="E61" s="26">
        <v>98000.0</v>
      </c>
      <c r="F61" s="10"/>
      <c r="G61" s="10"/>
      <c r="H61" s="10"/>
      <c r="I61" s="10"/>
      <c r="J61" s="10">
        <f t="shared" si="9"/>
        <v>98000</v>
      </c>
      <c r="K61" s="10"/>
      <c r="L61" s="4"/>
      <c r="M61" s="4"/>
      <c r="N61" s="4"/>
    </row>
    <row r="62" ht="15.75" customHeight="1">
      <c r="A62" s="23">
        <v>2026.0</v>
      </c>
      <c r="B62" s="27" t="s">
        <v>67</v>
      </c>
      <c r="C62" s="24" t="s">
        <v>65</v>
      </c>
      <c r="D62" s="26">
        <v>1050000.0</v>
      </c>
      <c r="E62" s="26">
        <v>1050000.0</v>
      </c>
      <c r="F62" s="26" t="s">
        <v>77</v>
      </c>
      <c r="G62" s="10"/>
      <c r="H62" s="10"/>
      <c r="I62" s="10"/>
      <c r="J62" s="10">
        <f t="shared" si="9"/>
        <v>1050000</v>
      </c>
      <c r="K62" s="10"/>
      <c r="L62" s="4"/>
      <c r="M62" s="4"/>
      <c r="N62" s="4"/>
    </row>
    <row r="63" ht="15.75" customHeight="1">
      <c r="A63" s="23">
        <v>2026.0</v>
      </c>
      <c r="B63" s="9"/>
      <c r="C63" s="24" t="s">
        <v>66</v>
      </c>
      <c r="D63" s="26">
        <v>110000.0</v>
      </c>
      <c r="E63" s="26">
        <v>110000.0</v>
      </c>
      <c r="F63" s="10"/>
      <c r="G63" s="10"/>
      <c r="H63" s="10"/>
      <c r="I63" s="10"/>
      <c r="J63" s="10">
        <f t="shared" si="9"/>
        <v>110000</v>
      </c>
      <c r="K63" s="10"/>
      <c r="L63" s="4"/>
      <c r="M63" s="4"/>
      <c r="N63" s="4"/>
    </row>
    <row r="64" ht="15.75" customHeight="1">
      <c r="A64" s="23">
        <v>2026.0</v>
      </c>
      <c r="B64" s="9"/>
      <c r="C64" s="24" t="s">
        <v>69</v>
      </c>
      <c r="D64" s="26">
        <v>500000.0</v>
      </c>
      <c r="E64" s="26">
        <v>500000.0</v>
      </c>
      <c r="F64" s="10"/>
      <c r="G64" s="10"/>
      <c r="H64" s="10"/>
      <c r="I64" s="10"/>
      <c r="J64" s="10">
        <f t="shared" si="9"/>
        <v>500000</v>
      </c>
      <c r="K64" s="10"/>
      <c r="L64" s="4"/>
      <c r="M64" s="4"/>
      <c r="N64" s="4"/>
    </row>
    <row r="65" ht="15.75" customHeight="1">
      <c r="A65" s="23">
        <v>2026.0</v>
      </c>
      <c r="B65" s="9"/>
      <c r="C65" s="24" t="s">
        <v>72</v>
      </c>
      <c r="D65" s="72">
        <v>600000.0</v>
      </c>
      <c r="E65" s="72">
        <v>600000.0</v>
      </c>
      <c r="F65" s="10"/>
      <c r="G65" s="10"/>
      <c r="H65" s="10"/>
      <c r="I65" s="10"/>
      <c r="J65" s="10">
        <f t="shared" si="9"/>
        <v>600000</v>
      </c>
      <c r="K65" s="10"/>
      <c r="L65" s="4"/>
      <c r="M65" s="4"/>
      <c r="N65" s="4"/>
    </row>
    <row r="66" ht="15.75" customHeight="1">
      <c r="A66" s="23">
        <v>2026.0</v>
      </c>
      <c r="B66" s="9"/>
      <c r="C66" s="4" t="s">
        <v>74</v>
      </c>
      <c r="D66" s="10">
        <v>60000.0</v>
      </c>
      <c r="E66" s="10">
        <v>60000.0</v>
      </c>
      <c r="F66" s="10"/>
      <c r="G66" s="10"/>
      <c r="H66" s="10"/>
      <c r="I66" s="10"/>
      <c r="J66" s="10">
        <f t="shared" si="9"/>
        <v>60000</v>
      </c>
      <c r="K66" s="10"/>
      <c r="L66" s="4"/>
      <c r="M66" s="4"/>
      <c r="N66" s="4"/>
    </row>
    <row r="67" ht="15.75" customHeight="1">
      <c r="A67" s="8"/>
      <c r="B67" s="9"/>
      <c r="C67" s="4"/>
      <c r="D67" s="10"/>
      <c r="E67" s="10"/>
      <c r="F67" s="52" t="s">
        <v>47</v>
      </c>
      <c r="G67" s="54"/>
      <c r="H67" s="10"/>
      <c r="I67" s="10"/>
      <c r="J67" s="10"/>
      <c r="K67" s="10"/>
      <c r="L67" s="4"/>
      <c r="M67" s="4"/>
      <c r="N67" s="4"/>
    </row>
    <row r="68" ht="15.75" customHeight="1">
      <c r="A68" s="23" t="s">
        <v>13</v>
      </c>
      <c r="B68" s="60" t="s">
        <v>75</v>
      </c>
      <c r="C68" s="53" t="s">
        <v>80</v>
      </c>
      <c r="D68" s="58">
        <v>356563.16</v>
      </c>
      <c r="E68" s="56">
        <v>232594.21199999997</v>
      </c>
      <c r="F68" s="55">
        <v>17000.0</v>
      </c>
      <c r="G68" s="56"/>
      <c r="H68" s="56"/>
      <c r="I68" s="56">
        <v>106968.94799999999</v>
      </c>
      <c r="J68" s="56">
        <f>SUM(E68:I68)</f>
        <v>356563.16</v>
      </c>
      <c r="K68" s="10"/>
      <c r="L68" s="59">
        <f>D68*0.3</f>
        <v>106968.948</v>
      </c>
      <c r="M68" s="4"/>
      <c r="N68" s="4"/>
    </row>
    <row r="69" ht="15.75" customHeight="1">
      <c r="A69" s="1"/>
      <c r="B69" s="18">
        <v>624.0</v>
      </c>
      <c r="C69" s="19" t="s">
        <v>17</v>
      </c>
      <c r="D69" s="10"/>
      <c r="E69" s="10"/>
      <c r="F69" s="10"/>
      <c r="G69" s="10"/>
      <c r="H69" s="10"/>
      <c r="I69" s="10"/>
      <c r="J69" s="10"/>
      <c r="K69" s="10">
        <f>SUM(J70)</f>
        <v>120000</v>
      </c>
      <c r="L69" s="4">
        <f>D68*0.7 - 17000</f>
        <v>232594.212</v>
      </c>
      <c r="M69" s="4"/>
      <c r="N69" s="4"/>
    </row>
    <row r="70" ht="15.75" customHeight="1">
      <c r="A70" s="23">
        <v>2026.0</v>
      </c>
      <c r="B70" s="9"/>
      <c r="C70" s="24" t="s">
        <v>78</v>
      </c>
      <c r="D70" s="26">
        <v>120000.0</v>
      </c>
      <c r="E70" s="26">
        <v>120000.0</v>
      </c>
      <c r="F70" s="10"/>
      <c r="G70" s="10"/>
      <c r="H70" s="10"/>
      <c r="I70" s="10"/>
      <c r="J70" s="10">
        <f>SUM(E70:H70)</f>
        <v>120000</v>
      </c>
      <c r="K70" s="10"/>
      <c r="L70" s="4"/>
      <c r="M70" s="4"/>
      <c r="N70" s="4"/>
    </row>
    <row r="71" ht="15.75" customHeight="1">
      <c r="A71" s="1"/>
      <c r="B71" s="18">
        <v>635.0</v>
      </c>
      <c r="C71" s="19" t="s">
        <v>79</v>
      </c>
      <c r="D71" s="10"/>
      <c r="E71" s="10"/>
      <c r="F71" s="10"/>
      <c r="G71" s="10"/>
      <c r="H71" s="10"/>
      <c r="I71" s="10"/>
      <c r="J71" s="10"/>
      <c r="K71" s="10">
        <f>SUM(J72:J75)</f>
        <v>420000</v>
      </c>
      <c r="L71" s="4"/>
      <c r="M71" s="4"/>
      <c r="N71" s="4"/>
    </row>
    <row r="72" ht="15.75" customHeight="1">
      <c r="A72" s="23">
        <v>2026.0</v>
      </c>
      <c r="B72" s="9"/>
      <c r="C72" s="4" t="s">
        <v>81</v>
      </c>
      <c r="D72" s="26">
        <v>50000.0</v>
      </c>
      <c r="E72" s="26">
        <v>50000.0</v>
      </c>
      <c r="F72" s="10"/>
      <c r="G72" s="10"/>
      <c r="H72" s="10"/>
      <c r="I72" s="10"/>
      <c r="J72" s="10">
        <f t="shared" ref="J72:J75" si="11">SUM(E72:H72)</f>
        <v>50000</v>
      </c>
      <c r="K72" s="10"/>
      <c r="L72" s="4"/>
      <c r="M72" s="4"/>
      <c r="N72" s="4"/>
    </row>
    <row r="73" ht="15.75" customHeight="1">
      <c r="A73" s="23">
        <v>2026.0</v>
      </c>
      <c r="B73" s="9"/>
      <c r="C73" s="4" t="s">
        <v>82</v>
      </c>
      <c r="D73" s="26">
        <v>100000.0</v>
      </c>
      <c r="E73" s="26">
        <v>150000.0</v>
      </c>
      <c r="F73" s="10"/>
      <c r="G73" s="10"/>
      <c r="H73" s="10"/>
      <c r="I73" s="10"/>
      <c r="J73" s="10">
        <f t="shared" si="11"/>
        <v>150000</v>
      </c>
      <c r="K73" s="10"/>
      <c r="L73" s="4"/>
      <c r="M73" s="4"/>
      <c r="N73" s="4"/>
    </row>
    <row r="74" ht="15.75" customHeight="1">
      <c r="A74" s="23">
        <v>2026.0</v>
      </c>
      <c r="B74" s="4"/>
      <c r="C74" s="4" t="s">
        <v>83</v>
      </c>
      <c r="D74" s="26">
        <v>120000.0</v>
      </c>
      <c r="E74" s="26">
        <v>170000.0</v>
      </c>
      <c r="F74" s="10"/>
      <c r="G74" s="10"/>
      <c r="H74" s="10"/>
      <c r="I74" s="10"/>
      <c r="J74" s="10">
        <f t="shared" si="11"/>
        <v>170000</v>
      </c>
      <c r="K74" s="10"/>
      <c r="L74" s="4"/>
      <c r="M74" s="4"/>
      <c r="N74" s="4"/>
    </row>
    <row r="75" ht="15.75" customHeight="1">
      <c r="A75" s="23">
        <v>2026.0</v>
      </c>
      <c r="B75" s="9"/>
      <c r="C75" s="4" t="s">
        <v>84</v>
      </c>
      <c r="D75" s="26">
        <v>50000.0</v>
      </c>
      <c r="E75" s="26">
        <v>50000.0</v>
      </c>
      <c r="F75" s="10"/>
      <c r="G75" s="10"/>
      <c r="H75" s="10"/>
      <c r="I75" s="10"/>
      <c r="J75" s="10">
        <f t="shared" si="11"/>
        <v>50000</v>
      </c>
      <c r="K75" s="10"/>
      <c r="L75" s="4"/>
      <c r="M75" s="4"/>
      <c r="N75" s="4"/>
    </row>
    <row r="76" ht="15.75" customHeight="1">
      <c r="A76" s="8"/>
      <c r="B76" s="9"/>
      <c r="C76" s="37" t="s">
        <v>85</v>
      </c>
      <c r="D76" s="35">
        <f t="shared" ref="D76:J76" si="12">SUM(D50:D75)</f>
        <v>11194563.16</v>
      </c>
      <c r="E76" s="35">
        <f t="shared" si="12"/>
        <v>11170594.21</v>
      </c>
      <c r="F76" s="35">
        <f t="shared" si="12"/>
        <v>17000</v>
      </c>
      <c r="G76" s="35">
        <f t="shared" si="12"/>
        <v>0</v>
      </c>
      <c r="H76" s="35">
        <f t="shared" si="12"/>
        <v>0</v>
      </c>
      <c r="I76" s="35">
        <f t="shared" si="12"/>
        <v>106968.948</v>
      </c>
      <c r="J76" s="35">
        <f t="shared" si="12"/>
        <v>11294563.16</v>
      </c>
      <c r="K76" s="10"/>
      <c r="L76" s="4"/>
      <c r="M76" s="4"/>
      <c r="N76" s="4"/>
    </row>
    <row r="77" ht="15.75" customHeight="1">
      <c r="A77" s="8"/>
      <c r="B77" s="9"/>
      <c r="C77" s="4"/>
      <c r="D77" s="10"/>
      <c r="E77" s="10"/>
      <c r="F77" s="10"/>
      <c r="G77" s="10"/>
      <c r="H77" s="10"/>
      <c r="I77" s="10"/>
      <c r="J77" s="10"/>
      <c r="K77" s="10"/>
      <c r="L77" s="4"/>
      <c r="M77" s="4"/>
      <c r="N77" s="4"/>
    </row>
    <row r="78" ht="15.75" customHeight="1">
      <c r="A78" s="1"/>
      <c r="B78" s="18">
        <v>1600.0</v>
      </c>
      <c r="C78" s="19" t="s">
        <v>86</v>
      </c>
      <c r="D78" s="10"/>
      <c r="E78" s="10"/>
      <c r="F78" s="10"/>
      <c r="G78" s="10"/>
      <c r="H78" s="10"/>
      <c r="I78" s="10"/>
      <c r="J78" s="10"/>
      <c r="K78" s="10"/>
      <c r="L78" s="4"/>
      <c r="M78" s="4"/>
      <c r="N78" s="4"/>
    </row>
    <row r="79" ht="15.75" customHeight="1">
      <c r="A79" s="1"/>
      <c r="B79" s="18">
        <v>619.0</v>
      </c>
      <c r="C79" s="19" t="s">
        <v>20</v>
      </c>
      <c r="D79" s="10"/>
      <c r="E79" s="10"/>
      <c r="F79" s="10"/>
      <c r="G79" s="10"/>
      <c r="H79" s="10"/>
      <c r="I79" s="10"/>
      <c r="J79" s="10"/>
      <c r="K79" s="10">
        <f>SUM(J80:J82)</f>
        <v>140000</v>
      </c>
      <c r="L79" s="4"/>
      <c r="M79" s="4"/>
      <c r="N79" s="4"/>
    </row>
    <row r="80" ht="15.75" customHeight="1">
      <c r="A80" s="23">
        <v>2026.0</v>
      </c>
      <c r="B80" s="9"/>
      <c r="C80" s="4" t="s">
        <v>87</v>
      </c>
      <c r="D80" s="26">
        <v>60000.0</v>
      </c>
      <c r="E80" s="26">
        <v>60000.0</v>
      </c>
      <c r="F80" s="10"/>
      <c r="G80" s="10"/>
      <c r="H80" s="10"/>
      <c r="I80" s="10"/>
      <c r="J80" s="10">
        <f t="shared" ref="J80:J82" si="13">SUM(E80:H80)</f>
        <v>60000</v>
      </c>
      <c r="K80" s="10"/>
      <c r="L80" s="4"/>
      <c r="M80" s="4"/>
      <c r="N80" s="4"/>
    </row>
    <row r="81" ht="15.75" customHeight="1">
      <c r="A81" s="23">
        <v>2026.0</v>
      </c>
      <c r="B81" s="9"/>
      <c r="C81" s="4" t="s">
        <v>88</v>
      </c>
      <c r="D81" s="26">
        <v>40000.0</v>
      </c>
      <c r="E81" s="26">
        <v>40000.0</v>
      </c>
      <c r="F81" s="10"/>
      <c r="G81" s="10"/>
      <c r="H81" s="10"/>
      <c r="I81" s="10"/>
      <c r="J81" s="10">
        <f t="shared" si="13"/>
        <v>40000</v>
      </c>
      <c r="K81" s="10"/>
      <c r="L81" s="4"/>
      <c r="M81" s="4"/>
      <c r="N81" s="4"/>
    </row>
    <row r="82" ht="15.75" customHeight="1">
      <c r="A82" s="23">
        <v>2026.0</v>
      </c>
      <c r="B82" s="9"/>
      <c r="C82" s="4" t="s">
        <v>89</v>
      </c>
      <c r="D82" s="75">
        <v>40000.0</v>
      </c>
      <c r="E82" s="75">
        <v>40000.0</v>
      </c>
      <c r="F82" s="10"/>
      <c r="G82" s="10"/>
      <c r="H82" s="10"/>
      <c r="I82" s="10"/>
      <c r="J82" s="10">
        <f t="shared" si="13"/>
        <v>40000</v>
      </c>
      <c r="K82" s="10"/>
      <c r="L82" s="4"/>
      <c r="M82" s="4"/>
      <c r="N82" s="4"/>
    </row>
    <row r="83" ht="15.75" customHeight="1">
      <c r="B83" s="18">
        <v>623.0</v>
      </c>
      <c r="C83" s="19" t="s">
        <v>94</v>
      </c>
      <c r="D83" s="10"/>
      <c r="E83" s="10"/>
      <c r="F83" s="10"/>
      <c r="G83" s="10"/>
      <c r="H83" s="10"/>
      <c r="I83" s="10"/>
      <c r="J83" s="10"/>
      <c r="K83" s="10">
        <f>SUM(J84)</f>
        <v>2000</v>
      </c>
      <c r="L83" s="4"/>
      <c r="M83" s="4"/>
      <c r="N83" s="4"/>
    </row>
    <row r="84" ht="15.75" customHeight="1">
      <c r="A84" s="23">
        <v>2026.0</v>
      </c>
      <c r="B84" s="9"/>
      <c r="C84" s="4" t="s">
        <v>96</v>
      </c>
      <c r="D84" s="26">
        <v>2000.0</v>
      </c>
      <c r="E84" s="26">
        <v>2000.0</v>
      </c>
      <c r="F84" s="10"/>
      <c r="G84" s="10"/>
      <c r="H84" s="10"/>
      <c r="I84" s="10"/>
      <c r="J84" s="10">
        <f>SUM(E84:H84)</f>
        <v>2000</v>
      </c>
      <c r="K84" s="10"/>
      <c r="L84" s="4"/>
      <c r="M84" s="4"/>
      <c r="N84" s="4"/>
    </row>
    <row r="85" ht="15.75" customHeight="1">
      <c r="A85" s="43"/>
      <c r="B85" s="37">
        <v>629.0</v>
      </c>
      <c r="C85" s="21" t="s">
        <v>90</v>
      </c>
      <c r="D85" s="76"/>
      <c r="E85" s="76"/>
      <c r="F85" s="10"/>
      <c r="G85" s="10"/>
      <c r="H85" s="10"/>
      <c r="I85" s="10"/>
      <c r="J85" s="10"/>
      <c r="K85" s="10">
        <f>SUM(J86)</f>
        <v>15000</v>
      </c>
      <c r="L85" s="4"/>
      <c r="M85" s="4"/>
      <c r="N85" s="4"/>
    </row>
    <row r="86" ht="15.75" customHeight="1">
      <c r="A86" s="23">
        <v>2026.0</v>
      </c>
      <c r="B86" s="9"/>
      <c r="C86" s="4" t="s">
        <v>91</v>
      </c>
      <c r="D86" s="75">
        <v>15000.0</v>
      </c>
      <c r="E86" s="75">
        <v>15000.0</v>
      </c>
      <c r="F86" s="10"/>
      <c r="G86" s="10"/>
      <c r="H86" s="10"/>
      <c r="I86" s="10"/>
      <c r="J86" s="10">
        <f>SUM(E86:H86)</f>
        <v>15000</v>
      </c>
      <c r="K86" s="10"/>
      <c r="L86" s="4"/>
      <c r="M86" s="4"/>
      <c r="N86" s="4"/>
    </row>
    <row r="87" ht="15.75" customHeight="1">
      <c r="A87" s="8"/>
      <c r="B87" s="9"/>
      <c r="C87" s="37" t="s">
        <v>92</v>
      </c>
      <c r="D87" s="35">
        <f t="shared" ref="D87:J87" si="14">SUM(D80:D86)</f>
        <v>157000</v>
      </c>
      <c r="E87" s="35">
        <f t="shared" si="14"/>
        <v>157000</v>
      </c>
      <c r="F87" s="35">
        <f t="shared" si="14"/>
        <v>0</v>
      </c>
      <c r="G87" s="35">
        <f t="shared" si="14"/>
        <v>0</v>
      </c>
      <c r="H87" s="35">
        <f t="shared" si="14"/>
        <v>0</v>
      </c>
      <c r="I87" s="35">
        <f t="shared" si="14"/>
        <v>0</v>
      </c>
      <c r="J87" s="35">
        <f t="shared" si="14"/>
        <v>157000</v>
      </c>
      <c r="K87" s="10"/>
      <c r="L87" s="4"/>
      <c r="M87" s="4"/>
      <c r="N87" s="4"/>
    </row>
    <row r="88" ht="15.75" customHeight="1">
      <c r="A88" s="8"/>
      <c r="B88" s="9"/>
      <c r="C88" s="4"/>
      <c r="D88" s="10"/>
      <c r="E88" s="10"/>
      <c r="F88" s="10"/>
      <c r="G88" s="10"/>
      <c r="H88" s="10"/>
      <c r="I88" s="10"/>
      <c r="J88" s="10"/>
      <c r="K88" s="10"/>
      <c r="L88" s="4"/>
      <c r="M88" s="4"/>
      <c r="N88" s="4"/>
    </row>
    <row r="89" ht="15.75" customHeight="1">
      <c r="A89" s="1"/>
      <c r="B89" s="18">
        <v>1610.0</v>
      </c>
      <c r="C89" s="19" t="s">
        <v>93</v>
      </c>
      <c r="D89" s="10"/>
      <c r="E89" s="10"/>
      <c r="F89" s="10"/>
      <c r="G89" s="10"/>
      <c r="H89" s="10"/>
      <c r="I89" s="10"/>
      <c r="J89" s="10"/>
      <c r="K89" s="10"/>
      <c r="L89" s="4"/>
      <c r="M89" s="4"/>
      <c r="N89" s="4"/>
    </row>
    <row r="90" ht="15.75" customHeight="1">
      <c r="A90" s="1"/>
      <c r="B90" s="18">
        <v>619.0</v>
      </c>
      <c r="C90" s="19" t="s">
        <v>20</v>
      </c>
      <c r="D90" s="10"/>
      <c r="E90" s="10"/>
      <c r="F90" s="10"/>
      <c r="G90" s="10"/>
      <c r="H90" s="10"/>
      <c r="I90" s="10"/>
      <c r="J90" s="10"/>
      <c r="K90" s="10">
        <f>SUM(J91:J94)</f>
        <v>189600</v>
      </c>
      <c r="L90" s="4"/>
      <c r="M90" s="4"/>
      <c r="N90" s="4"/>
    </row>
    <row r="91" ht="15.75" customHeight="1">
      <c r="A91" s="23">
        <v>2026.0</v>
      </c>
      <c r="B91" s="9"/>
      <c r="C91" s="24" t="s">
        <v>95</v>
      </c>
      <c r="D91" s="26">
        <v>120000.0</v>
      </c>
      <c r="E91" s="26">
        <v>120000.0</v>
      </c>
      <c r="F91" s="10"/>
      <c r="G91" s="10"/>
      <c r="H91" s="10"/>
      <c r="I91" s="10"/>
      <c r="J91" s="10">
        <f t="shared" ref="J91:J94" si="15">SUM(E91:H91)</f>
        <v>120000</v>
      </c>
      <c r="K91" s="10"/>
      <c r="L91" s="4"/>
      <c r="M91" s="4"/>
      <c r="N91" s="4"/>
    </row>
    <row r="92" ht="15.75" customHeight="1">
      <c r="A92" s="23">
        <v>2026.0</v>
      </c>
      <c r="B92" s="9"/>
      <c r="C92" s="4" t="s">
        <v>98</v>
      </c>
      <c r="D92" s="75">
        <v>48400.0</v>
      </c>
      <c r="E92" s="75">
        <v>48400.0</v>
      </c>
      <c r="F92" s="10"/>
      <c r="G92" s="10"/>
      <c r="H92" s="10"/>
      <c r="I92" s="10"/>
      <c r="J92" s="10">
        <f t="shared" si="15"/>
        <v>48400</v>
      </c>
      <c r="K92" s="10"/>
      <c r="L92" s="4"/>
      <c r="M92" s="4"/>
      <c r="N92" s="4"/>
    </row>
    <row r="93" ht="15.75" customHeight="1">
      <c r="A93" s="23">
        <v>2026.0</v>
      </c>
      <c r="B93" s="9"/>
      <c r="C93" s="24" t="s">
        <v>99</v>
      </c>
      <c r="D93" s="75">
        <v>18200.0</v>
      </c>
      <c r="E93" s="75">
        <v>18200.0</v>
      </c>
      <c r="F93" s="10"/>
      <c r="G93" s="10"/>
      <c r="H93" s="10"/>
      <c r="I93" s="10"/>
      <c r="J93" s="10">
        <f t="shared" si="15"/>
        <v>18200</v>
      </c>
      <c r="K93" s="10"/>
      <c r="L93" s="4"/>
      <c r="M93" s="4"/>
      <c r="N93" s="4"/>
    </row>
    <row r="94" ht="15.75" customHeight="1">
      <c r="A94" s="23">
        <v>2026.0</v>
      </c>
      <c r="B94" s="9"/>
      <c r="C94" s="24" t="s">
        <v>102</v>
      </c>
      <c r="D94" s="26">
        <v>3000.0</v>
      </c>
      <c r="E94" s="26">
        <v>3000.0</v>
      </c>
      <c r="F94" s="10"/>
      <c r="G94" s="10"/>
      <c r="H94" s="10"/>
      <c r="I94" s="10"/>
      <c r="J94" s="10">
        <f t="shared" si="15"/>
        <v>3000</v>
      </c>
      <c r="K94" s="10"/>
      <c r="L94" s="4"/>
      <c r="M94" s="4"/>
      <c r="N94" s="4"/>
    </row>
    <row r="95" ht="15.75" customHeight="1">
      <c r="A95" s="23"/>
      <c r="B95" s="39">
        <v>623.0</v>
      </c>
      <c r="C95" s="40" t="s">
        <v>94</v>
      </c>
      <c r="D95" s="10"/>
      <c r="E95" s="10"/>
      <c r="F95" s="10"/>
      <c r="G95" s="10"/>
      <c r="H95" s="10"/>
      <c r="I95" s="10"/>
      <c r="J95" s="10"/>
      <c r="K95" s="10">
        <f>SUM(J96:J97)</f>
        <v>6500</v>
      </c>
      <c r="L95" s="4"/>
      <c r="M95" s="4"/>
      <c r="N95" s="4"/>
    </row>
    <row r="96" ht="15.75" customHeight="1">
      <c r="A96" s="23">
        <v>2026.0</v>
      </c>
      <c r="B96" s="9"/>
      <c r="C96" s="24" t="s">
        <v>103</v>
      </c>
      <c r="D96" s="26">
        <v>2000.0</v>
      </c>
      <c r="E96" s="26">
        <v>2000.0</v>
      </c>
      <c r="F96" s="10"/>
      <c r="G96" s="10"/>
      <c r="H96" s="10"/>
      <c r="I96" s="10"/>
      <c r="J96" s="10">
        <f t="shared" ref="J96:J97" si="16">SUM(E96:H96)</f>
        <v>2000</v>
      </c>
      <c r="K96" s="10"/>
      <c r="L96" s="4"/>
      <c r="M96" s="4"/>
      <c r="N96" s="4"/>
    </row>
    <row r="97" ht="15.75" customHeight="1">
      <c r="A97" s="23">
        <v>2026.0</v>
      </c>
      <c r="B97" s="9"/>
      <c r="C97" s="24" t="s">
        <v>105</v>
      </c>
      <c r="D97" s="26">
        <v>4500.0</v>
      </c>
      <c r="E97" s="26">
        <v>4500.0</v>
      </c>
      <c r="F97" s="10"/>
      <c r="G97" s="10"/>
      <c r="H97" s="10"/>
      <c r="I97" s="10"/>
      <c r="J97" s="10">
        <f t="shared" si="16"/>
        <v>4500</v>
      </c>
      <c r="K97" s="10"/>
      <c r="L97" s="4"/>
      <c r="M97" s="4"/>
      <c r="N97" s="4"/>
    </row>
    <row r="98" ht="15.75" customHeight="1">
      <c r="A98" s="23"/>
      <c r="B98" s="39">
        <v>624.0</v>
      </c>
      <c r="C98" s="40" t="s">
        <v>17</v>
      </c>
      <c r="D98" s="10"/>
      <c r="E98" s="10"/>
      <c r="F98" s="10"/>
      <c r="G98" s="10"/>
      <c r="H98" s="10"/>
      <c r="I98" s="10"/>
      <c r="J98" s="10"/>
      <c r="K98" s="10">
        <f>SUM(J99)</f>
        <v>5000</v>
      </c>
      <c r="L98" s="4"/>
      <c r="M98" s="4"/>
      <c r="N98" s="4"/>
    </row>
    <row r="99" ht="15.75" customHeight="1">
      <c r="A99" s="23">
        <v>2026.0</v>
      </c>
      <c r="B99" s="9"/>
      <c r="C99" s="24" t="s">
        <v>106</v>
      </c>
      <c r="D99" s="26">
        <v>5000.0</v>
      </c>
      <c r="E99" s="26">
        <v>5000.0</v>
      </c>
      <c r="F99" s="10"/>
      <c r="G99" s="10"/>
      <c r="H99" s="10"/>
      <c r="I99" s="10"/>
      <c r="J99" s="10">
        <f>SUM(E99:H99)</f>
        <v>5000</v>
      </c>
      <c r="K99" s="10"/>
      <c r="L99" s="4"/>
      <c r="M99" s="4"/>
      <c r="N99" s="4"/>
    </row>
    <row r="100" ht="15.75" customHeight="1">
      <c r="A100" s="8"/>
      <c r="B100" s="9"/>
      <c r="C100" s="37" t="s">
        <v>107</v>
      </c>
      <c r="D100" s="35">
        <f t="shared" ref="D100:J100" si="17">SUM(D91:D99)</f>
        <v>201100</v>
      </c>
      <c r="E100" s="35">
        <f t="shared" si="17"/>
        <v>201100</v>
      </c>
      <c r="F100" s="35">
        <f t="shared" si="17"/>
        <v>0</v>
      </c>
      <c r="G100" s="35">
        <f t="shared" si="17"/>
        <v>0</v>
      </c>
      <c r="H100" s="35">
        <f t="shared" si="17"/>
        <v>0</v>
      </c>
      <c r="I100" s="35">
        <f t="shared" si="17"/>
        <v>0</v>
      </c>
      <c r="J100" s="35">
        <f t="shared" si="17"/>
        <v>201100</v>
      </c>
      <c r="K100" s="10"/>
      <c r="L100" s="4"/>
      <c r="M100" s="4"/>
      <c r="N100" s="4"/>
    </row>
    <row r="101" ht="15.75" customHeight="1">
      <c r="A101" s="8"/>
      <c r="B101" s="4"/>
      <c r="C101" s="4"/>
      <c r="D101" s="10"/>
      <c r="E101" s="10"/>
      <c r="F101" s="10"/>
      <c r="G101" s="10"/>
      <c r="H101" s="10"/>
      <c r="I101" s="10"/>
      <c r="J101" s="10"/>
      <c r="K101" s="10"/>
      <c r="L101" s="4"/>
      <c r="M101" s="4"/>
      <c r="N101" s="4"/>
    </row>
    <row r="102" ht="15.75" customHeight="1">
      <c r="A102" s="8"/>
      <c r="B102" s="40">
        <v>1621.0</v>
      </c>
      <c r="C102" s="40" t="s">
        <v>108</v>
      </c>
      <c r="D102" s="10"/>
      <c r="E102" s="10"/>
      <c r="F102" s="10"/>
      <c r="G102" s="10"/>
      <c r="H102" s="10"/>
      <c r="I102" s="10"/>
      <c r="J102" s="10"/>
      <c r="K102" s="10"/>
      <c r="L102" s="4"/>
      <c r="M102" s="4"/>
      <c r="N102" s="4"/>
    </row>
    <row r="103" ht="15.75" customHeight="1">
      <c r="A103" s="8"/>
      <c r="B103" s="40">
        <v>619.0</v>
      </c>
      <c r="C103" s="19" t="s">
        <v>20</v>
      </c>
      <c r="D103" s="10"/>
      <c r="E103" s="10"/>
      <c r="F103" s="10"/>
      <c r="G103" s="10"/>
      <c r="H103" s="10"/>
      <c r="I103" s="10"/>
      <c r="J103" s="10"/>
      <c r="K103" s="10">
        <f>SUM(J104)</f>
        <v>10</v>
      </c>
      <c r="L103" s="4"/>
      <c r="M103" s="4"/>
      <c r="N103" s="4"/>
    </row>
    <row r="104" ht="15.75" customHeight="1">
      <c r="A104" s="23">
        <v>2026.0</v>
      </c>
      <c r="B104" s="4"/>
      <c r="C104" s="24" t="s">
        <v>109</v>
      </c>
      <c r="D104" s="26">
        <v>10.0</v>
      </c>
      <c r="E104" s="26">
        <v>10.0</v>
      </c>
      <c r="F104" s="10"/>
      <c r="G104" s="10"/>
      <c r="H104" s="10"/>
      <c r="I104" s="10"/>
      <c r="J104" s="10">
        <f>SUM(E104:H104)</f>
        <v>10</v>
      </c>
      <c r="K104" s="10"/>
      <c r="L104" s="4"/>
      <c r="M104" s="4"/>
      <c r="N104" s="4"/>
    </row>
    <row r="105" ht="15.75" customHeight="1">
      <c r="A105" s="8"/>
      <c r="B105" s="9"/>
      <c r="C105" s="77" t="s">
        <v>110</v>
      </c>
      <c r="D105" s="35">
        <f t="shared" ref="D105:J105" si="18">SUM(D104)</f>
        <v>10</v>
      </c>
      <c r="E105" s="35">
        <f t="shared" si="18"/>
        <v>10</v>
      </c>
      <c r="F105" s="35">
        <f t="shared" si="18"/>
        <v>0</v>
      </c>
      <c r="G105" s="35">
        <f t="shared" si="18"/>
        <v>0</v>
      </c>
      <c r="H105" s="35">
        <f t="shared" si="18"/>
        <v>0</v>
      </c>
      <c r="I105" s="35">
        <f t="shared" si="18"/>
        <v>0</v>
      </c>
      <c r="J105" s="35">
        <f t="shared" si="18"/>
        <v>10</v>
      </c>
      <c r="K105" s="10"/>
      <c r="L105" s="4"/>
      <c r="M105" s="4"/>
      <c r="N105" s="4"/>
    </row>
    <row r="106" ht="15.75" customHeight="1">
      <c r="A106" s="8"/>
      <c r="B106" s="4"/>
      <c r="C106" s="4"/>
      <c r="D106" s="10"/>
      <c r="E106" s="10"/>
      <c r="F106" s="10"/>
      <c r="G106" s="10"/>
      <c r="H106" s="10"/>
      <c r="I106" s="10"/>
      <c r="J106" s="10"/>
      <c r="K106" s="10"/>
      <c r="L106" s="4"/>
      <c r="M106" s="4"/>
      <c r="N106" s="4"/>
    </row>
    <row r="107" ht="15.75" customHeight="1">
      <c r="A107" s="1"/>
      <c r="B107" s="19">
        <v>1623.0</v>
      </c>
      <c r="C107" s="19" t="s">
        <v>111</v>
      </c>
      <c r="D107" s="10"/>
      <c r="E107" s="10"/>
      <c r="F107" s="10"/>
      <c r="G107" s="10"/>
      <c r="H107" s="10"/>
      <c r="I107" s="10"/>
      <c r="J107" s="10"/>
      <c r="K107" s="10"/>
      <c r="L107" s="4"/>
      <c r="M107" s="4"/>
      <c r="N107" s="4"/>
    </row>
    <row r="108" ht="15.75" customHeight="1">
      <c r="A108" s="1"/>
      <c r="B108" s="19">
        <v>619.0</v>
      </c>
      <c r="C108" s="19" t="s">
        <v>20</v>
      </c>
      <c r="D108" s="10"/>
      <c r="E108" s="10"/>
      <c r="F108" s="10"/>
      <c r="G108" s="10"/>
      <c r="H108" s="10"/>
      <c r="I108" s="10"/>
      <c r="J108" s="10"/>
      <c r="K108" s="10">
        <f>SUM(J109)</f>
        <v>250000</v>
      </c>
      <c r="L108" s="4"/>
      <c r="M108" s="4"/>
      <c r="N108" s="4"/>
    </row>
    <row r="109" ht="15.75" customHeight="1">
      <c r="A109" s="23">
        <v>2026.0</v>
      </c>
      <c r="B109" s="4"/>
      <c r="C109" s="24" t="s">
        <v>112</v>
      </c>
      <c r="D109" s="26">
        <v>250000.0</v>
      </c>
      <c r="E109" s="75">
        <v>250000.0</v>
      </c>
      <c r="F109" s="10"/>
      <c r="G109" s="10"/>
      <c r="H109" s="10"/>
      <c r="I109" s="10"/>
      <c r="J109" s="10">
        <f>SUM(E109:H109)</f>
        <v>250000</v>
      </c>
      <c r="K109" s="10"/>
      <c r="L109" s="4"/>
      <c r="M109" s="4"/>
      <c r="N109" s="4"/>
    </row>
    <row r="110" ht="15.75" customHeight="1">
      <c r="A110" s="8"/>
      <c r="B110" s="9"/>
      <c r="C110" s="37" t="s">
        <v>113</v>
      </c>
      <c r="D110" s="35">
        <f t="shared" ref="D110:J110" si="19">SUM(D109)</f>
        <v>250000</v>
      </c>
      <c r="E110" s="35">
        <f t="shared" si="19"/>
        <v>250000</v>
      </c>
      <c r="F110" s="35">
        <f t="shared" si="19"/>
        <v>0</v>
      </c>
      <c r="G110" s="35">
        <f t="shared" si="19"/>
        <v>0</v>
      </c>
      <c r="H110" s="35">
        <f t="shared" si="19"/>
        <v>0</v>
      </c>
      <c r="I110" s="35">
        <f t="shared" si="19"/>
        <v>0</v>
      </c>
      <c r="J110" s="35">
        <f t="shared" si="19"/>
        <v>250000</v>
      </c>
      <c r="K110" s="10"/>
      <c r="L110" s="4"/>
      <c r="M110" s="4"/>
      <c r="N110" s="4"/>
    </row>
    <row r="111" ht="15.75" customHeight="1">
      <c r="A111" s="8"/>
      <c r="B111" s="9"/>
      <c r="C111" s="4"/>
      <c r="D111" s="42"/>
      <c r="E111" s="10"/>
      <c r="F111" s="10"/>
      <c r="G111" s="10"/>
      <c r="H111" s="10"/>
      <c r="I111" s="10"/>
      <c r="J111" s="10"/>
      <c r="K111" s="10"/>
      <c r="L111" s="4"/>
      <c r="M111" s="4"/>
      <c r="N111" s="4"/>
    </row>
    <row r="112" ht="15.75" customHeight="1">
      <c r="A112" s="1"/>
      <c r="B112" s="18">
        <v>1640.0</v>
      </c>
      <c r="C112" s="19" t="s">
        <v>114</v>
      </c>
      <c r="D112" s="42"/>
      <c r="E112" s="10"/>
      <c r="F112" s="10"/>
      <c r="G112" s="10"/>
      <c r="H112" s="10"/>
      <c r="I112" s="10"/>
      <c r="J112" s="10"/>
      <c r="K112" s="10"/>
      <c r="L112" s="4"/>
      <c r="M112" s="4"/>
      <c r="N112" s="4"/>
    </row>
    <row r="113" ht="15.75" customHeight="1">
      <c r="A113" s="1"/>
      <c r="B113" s="18">
        <v>622.0</v>
      </c>
      <c r="C113" s="19" t="s">
        <v>11</v>
      </c>
      <c r="D113" s="10"/>
      <c r="E113" s="10"/>
      <c r="F113" s="10"/>
      <c r="G113" s="10"/>
      <c r="H113" s="10"/>
      <c r="I113" s="10"/>
      <c r="J113" s="10"/>
      <c r="K113" s="10">
        <f>SUM(J114:J117)</f>
        <v>380000</v>
      </c>
      <c r="L113" s="4"/>
      <c r="M113" s="4"/>
      <c r="N113" s="4"/>
    </row>
    <row r="114" ht="15.75" customHeight="1">
      <c r="A114" s="23">
        <v>2026.0</v>
      </c>
      <c r="B114" s="9"/>
      <c r="C114" s="4" t="s">
        <v>115</v>
      </c>
      <c r="D114" s="26">
        <v>50000.0</v>
      </c>
      <c r="E114" s="26">
        <v>50000.0</v>
      </c>
      <c r="F114" s="10"/>
      <c r="G114" s="10"/>
      <c r="H114" s="10"/>
      <c r="I114" s="10"/>
      <c r="J114" s="10">
        <f t="shared" ref="J114:J117" si="20">SUM(E114:H114)</f>
        <v>50000</v>
      </c>
      <c r="K114" s="10"/>
      <c r="L114" s="4"/>
      <c r="M114" s="4"/>
      <c r="N114" s="4"/>
    </row>
    <row r="115" ht="15.75" customHeight="1">
      <c r="A115" s="23">
        <v>2026.0</v>
      </c>
      <c r="B115" s="27" t="s">
        <v>13</v>
      </c>
      <c r="C115" s="24" t="s">
        <v>137</v>
      </c>
      <c r="D115" s="26">
        <v>250000.0</v>
      </c>
      <c r="E115" s="26">
        <v>250000.0</v>
      </c>
      <c r="F115" s="10"/>
      <c r="G115" s="10"/>
      <c r="H115" s="10"/>
      <c r="I115" s="10"/>
      <c r="J115" s="10">
        <f t="shared" si="20"/>
        <v>250000</v>
      </c>
      <c r="K115" s="10"/>
      <c r="L115" s="4"/>
      <c r="M115" s="4"/>
      <c r="N115" s="4"/>
    </row>
    <row r="116" ht="15.75" customHeight="1">
      <c r="A116" s="23">
        <v>2026.0</v>
      </c>
      <c r="B116" s="9"/>
      <c r="C116" s="24" t="s">
        <v>118</v>
      </c>
      <c r="D116" s="26">
        <v>30000.0</v>
      </c>
      <c r="E116" s="26">
        <v>30000.0</v>
      </c>
      <c r="F116" s="10"/>
      <c r="G116" s="10"/>
      <c r="H116" s="10"/>
      <c r="I116" s="10"/>
      <c r="J116" s="10">
        <f t="shared" si="20"/>
        <v>30000</v>
      </c>
      <c r="K116" s="10"/>
      <c r="L116" s="4"/>
      <c r="M116" s="4"/>
      <c r="N116" s="4"/>
    </row>
    <row r="117" ht="15.75" customHeight="1">
      <c r="A117" s="23">
        <v>2026.0</v>
      </c>
      <c r="B117" s="9"/>
      <c r="C117" s="24" t="s">
        <v>141</v>
      </c>
      <c r="D117" s="26">
        <v>50000.0</v>
      </c>
      <c r="E117" s="26">
        <v>50000.0</v>
      </c>
      <c r="F117" s="10"/>
      <c r="G117" s="10"/>
      <c r="H117" s="10"/>
      <c r="I117" s="10"/>
      <c r="J117" s="10">
        <f t="shared" si="20"/>
        <v>50000</v>
      </c>
      <c r="K117" s="10"/>
      <c r="L117" s="4"/>
      <c r="M117" s="4"/>
      <c r="N117" s="4"/>
    </row>
    <row r="118" ht="15.75" customHeight="1">
      <c r="A118" s="43"/>
      <c r="B118" s="37">
        <v>629.0</v>
      </c>
      <c r="C118" s="21" t="s">
        <v>90</v>
      </c>
      <c r="D118" s="10"/>
      <c r="E118" s="10"/>
      <c r="F118" s="10"/>
      <c r="G118" s="10"/>
      <c r="H118" s="10"/>
      <c r="I118" s="10"/>
      <c r="J118" s="10"/>
      <c r="K118" s="10">
        <f>SUM(J119)</f>
        <v>18200</v>
      </c>
      <c r="L118" s="4"/>
      <c r="M118" s="4"/>
      <c r="N118" s="4"/>
    </row>
    <row r="119" ht="15.75" customHeight="1">
      <c r="A119" s="23">
        <v>2026.0</v>
      </c>
      <c r="B119" s="9"/>
      <c r="C119" s="24" t="s">
        <v>119</v>
      </c>
      <c r="D119" s="26">
        <v>18200.0</v>
      </c>
      <c r="E119" s="26">
        <v>18200.0</v>
      </c>
      <c r="F119" s="10"/>
      <c r="G119" s="10"/>
      <c r="H119" s="10"/>
      <c r="I119" s="10"/>
      <c r="J119" s="10">
        <f>SUM(E119:H119)</f>
        <v>18200</v>
      </c>
      <c r="K119" s="10"/>
      <c r="L119" s="4"/>
      <c r="M119" s="4"/>
      <c r="N119" s="4"/>
    </row>
    <row r="120" ht="15.75" customHeight="1">
      <c r="A120" s="8"/>
      <c r="B120" s="9"/>
      <c r="C120" s="37" t="s">
        <v>120</v>
      </c>
      <c r="D120" s="35">
        <f t="shared" ref="D120:J120" si="21">SUM(D114:D119)</f>
        <v>398200</v>
      </c>
      <c r="E120" s="35">
        <f t="shared" si="21"/>
        <v>398200</v>
      </c>
      <c r="F120" s="35">
        <f t="shared" si="21"/>
        <v>0</v>
      </c>
      <c r="G120" s="35">
        <f t="shared" si="21"/>
        <v>0</v>
      </c>
      <c r="H120" s="35">
        <f t="shared" si="21"/>
        <v>0</v>
      </c>
      <c r="I120" s="35">
        <f t="shared" si="21"/>
        <v>0</v>
      </c>
      <c r="J120" s="35">
        <f t="shared" si="21"/>
        <v>398200</v>
      </c>
      <c r="K120" s="10"/>
      <c r="L120" s="4"/>
      <c r="M120" s="4"/>
      <c r="N120" s="4"/>
    </row>
    <row r="121" ht="15.75" customHeight="1">
      <c r="A121" s="8"/>
      <c r="B121" s="9"/>
      <c r="C121" s="4"/>
      <c r="D121" s="76"/>
      <c r="E121" s="10"/>
      <c r="F121" s="10"/>
      <c r="G121" s="10"/>
      <c r="H121" s="10"/>
      <c r="I121" s="10"/>
      <c r="J121" s="10"/>
      <c r="K121" s="10"/>
      <c r="L121" s="4"/>
      <c r="M121" s="4"/>
      <c r="N121" s="4"/>
    </row>
    <row r="122" ht="15.75" customHeight="1">
      <c r="A122" s="1"/>
      <c r="B122" s="18">
        <v>1650.0</v>
      </c>
      <c r="C122" s="19" t="s">
        <v>121</v>
      </c>
      <c r="D122" s="76"/>
      <c r="E122" s="10"/>
      <c r="F122" s="10"/>
      <c r="G122" s="10"/>
      <c r="H122" s="10"/>
      <c r="I122" s="10"/>
      <c r="J122" s="10"/>
      <c r="K122" s="10"/>
      <c r="L122" s="4"/>
      <c r="M122" s="4"/>
      <c r="N122" s="4"/>
    </row>
    <row r="123" ht="15.75" customHeight="1">
      <c r="A123" s="1"/>
      <c r="B123" s="18">
        <v>619.0</v>
      </c>
      <c r="C123" s="19" t="s">
        <v>20</v>
      </c>
      <c r="D123" s="76"/>
      <c r="E123" s="76"/>
      <c r="F123" s="10"/>
      <c r="G123" s="10"/>
      <c r="H123" s="10"/>
      <c r="I123" s="10"/>
      <c r="J123" s="10"/>
      <c r="K123" s="10">
        <f>SUM(J124:J126)</f>
        <v>565000</v>
      </c>
      <c r="L123" s="4"/>
      <c r="M123" s="4"/>
      <c r="N123" s="4"/>
    </row>
    <row r="124" ht="15.75" customHeight="1">
      <c r="A124" s="23">
        <v>2026.0</v>
      </c>
      <c r="B124" s="9"/>
      <c r="C124" s="24" t="s">
        <v>122</v>
      </c>
      <c r="D124" s="75">
        <v>40000.0</v>
      </c>
      <c r="E124" s="75">
        <v>40000.0</v>
      </c>
      <c r="F124" s="10"/>
      <c r="G124" s="10"/>
      <c r="H124" s="10"/>
      <c r="I124" s="10"/>
      <c r="J124" s="26">
        <v>40000.0</v>
      </c>
      <c r="K124" s="10"/>
      <c r="L124" s="4"/>
      <c r="M124" s="4"/>
      <c r="N124" s="4"/>
    </row>
    <row r="125" ht="15.75" customHeight="1">
      <c r="A125" s="23">
        <v>2026.0</v>
      </c>
      <c r="B125" s="9"/>
      <c r="C125" s="24" t="s">
        <v>123</v>
      </c>
      <c r="D125" s="75">
        <v>25000.0</v>
      </c>
      <c r="E125" s="75">
        <v>25000.0</v>
      </c>
      <c r="F125" s="10"/>
      <c r="G125" s="10"/>
      <c r="H125" s="10"/>
      <c r="I125" s="10"/>
      <c r="J125" s="26">
        <v>25000.0</v>
      </c>
      <c r="K125" s="10"/>
      <c r="L125" s="4"/>
      <c r="M125" s="4"/>
      <c r="N125" s="4"/>
    </row>
    <row r="126" ht="15.75" customHeight="1">
      <c r="A126" s="23">
        <v>2026.0</v>
      </c>
      <c r="B126" s="9"/>
      <c r="C126" s="4" t="s">
        <v>124</v>
      </c>
      <c r="D126" s="75">
        <v>500000.0</v>
      </c>
      <c r="E126" s="75">
        <v>218000.0</v>
      </c>
      <c r="F126" s="10"/>
      <c r="G126" s="10"/>
      <c r="H126" s="10"/>
      <c r="I126" s="26">
        <v>282000.0</v>
      </c>
      <c r="J126" s="10">
        <f>SUM(E126:I126)</f>
        <v>500000</v>
      </c>
      <c r="K126" s="10"/>
      <c r="L126" s="4"/>
      <c r="M126" s="4"/>
      <c r="N126" s="4"/>
    </row>
    <row r="127" ht="15.75" customHeight="1">
      <c r="A127" s="8"/>
      <c r="B127" s="9"/>
      <c r="C127" s="37" t="s">
        <v>125</v>
      </c>
      <c r="D127" s="35">
        <f t="shared" ref="D127:J127" si="22">SUM(D124:D126)</f>
        <v>565000</v>
      </c>
      <c r="E127" s="35">
        <f t="shared" si="22"/>
        <v>283000</v>
      </c>
      <c r="F127" s="35">
        <f t="shared" si="22"/>
        <v>0</v>
      </c>
      <c r="G127" s="35">
        <f t="shared" si="22"/>
        <v>0</v>
      </c>
      <c r="H127" s="35">
        <f t="shared" si="22"/>
        <v>0</v>
      </c>
      <c r="I127" s="35">
        <f t="shared" si="22"/>
        <v>282000</v>
      </c>
      <c r="J127" s="35">
        <f t="shared" si="22"/>
        <v>565000</v>
      </c>
      <c r="K127" s="10"/>
      <c r="L127" s="4"/>
      <c r="M127" s="4"/>
      <c r="N127" s="4"/>
    </row>
    <row r="128" ht="15.75" customHeight="1">
      <c r="A128" s="8"/>
      <c r="B128" s="9"/>
      <c r="C128" s="4"/>
      <c r="D128" s="10"/>
      <c r="E128" s="10"/>
      <c r="F128" s="10"/>
      <c r="G128" s="10"/>
      <c r="H128" s="10"/>
      <c r="I128" s="10"/>
      <c r="J128" s="10"/>
      <c r="K128" s="10"/>
      <c r="L128" s="4"/>
      <c r="M128" s="4"/>
      <c r="N128" s="4"/>
    </row>
    <row r="129" ht="15.75" customHeight="1">
      <c r="A129" s="1"/>
      <c r="B129" s="18">
        <v>1710.0</v>
      </c>
      <c r="C129" s="19" t="s">
        <v>126</v>
      </c>
      <c r="D129" s="10"/>
      <c r="E129" s="10"/>
      <c r="F129" s="10"/>
      <c r="G129" s="10"/>
      <c r="H129" s="10"/>
      <c r="I129" s="10"/>
      <c r="J129" s="10"/>
      <c r="K129" s="10"/>
      <c r="L129" s="4"/>
      <c r="M129" s="4"/>
      <c r="N129" s="4"/>
    </row>
    <row r="130" ht="15.75" customHeight="1">
      <c r="A130" s="43"/>
      <c r="B130" s="37" t="s">
        <v>127</v>
      </c>
      <c r="C130" s="19" t="s">
        <v>128</v>
      </c>
      <c r="D130" s="10"/>
      <c r="E130" s="10"/>
      <c r="F130" s="10"/>
      <c r="G130" s="10"/>
      <c r="H130" s="10"/>
      <c r="I130" s="10"/>
      <c r="J130" s="10"/>
      <c r="K130" s="10">
        <f>SUM(J131:J138)</f>
        <v>1175000</v>
      </c>
      <c r="L130" s="4"/>
      <c r="M130" s="4"/>
      <c r="N130" s="4"/>
    </row>
    <row r="131" ht="15.75" customHeight="1">
      <c r="A131" s="23">
        <v>2026.0</v>
      </c>
      <c r="B131" s="9"/>
      <c r="C131" s="4" t="s">
        <v>154</v>
      </c>
      <c r="D131" s="26">
        <v>500000.0</v>
      </c>
      <c r="E131" s="26">
        <v>500000.0</v>
      </c>
      <c r="F131" s="10"/>
      <c r="G131" s="10"/>
      <c r="H131" s="10"/>
      <c r="I131" s="26"/>
      <c r="J131" s="10">
        <f>SUM(E131:I131)</f>
        <v>500000</v>
      </c>
      <c r="K131" s="10"/>
      <c r="L131" s="4"/>
      <c r="M131" s="4"/>
      <c r="N131" s="4"/>
    </row>
    <row r="132" ht="15.75" customHeight="1">
      <c r="A132" s="78" t="s">
        <v>156</v>
      </c>
      <c r="B132" s="61"/>
      <c r="C132" s="24" t="s">
        <v>130</v>
      </c>
      <c r="D132" s="26">
        <v>60000.0</v>
      </c>
      <c r="E132" s="26">
        <v>60000.0</v>
      </c>
      <c r="F132" s="10"/>
      <c r="G132" s="10"/>
      <c r="H132" s="10"/>
      <c r="I132" s="10"/>
      <c r="J132" s="10">
        <f t="shared" ref="J132:J134" si="23">SUM(E132:H132)</f>
        <v>60000</v>
      </c>
      <c r="K132" s="10"/>
      <c r="L132" s="4"/>
      <c r="M132" s="4"/>
      <c r="N132" s="4"/>
    </row>
    <row r="133" ht="15.75" customHeight="1">
      <c r="A133" s="23">
        <v>2026.0</v>
      </c>
      <c r="B133" s="9"/>
      <c r="C133" s="4" t="s">
        <v>131</v>
      </c>
      <c r="D133" s="10">
        <v>120000.0</v>
      </c>
      <c r="E133" s="10">
        <v>120000.0</v>
      </c>
      <c r="F133" s="10"/>
      <c r="G133" s="10"/>
      <c r="H133" s="10"/>
      <c r="I133" s="10"/>
      <c r="J133" s="10">
        <f t="shared" si="23"/>
        <v>120000</v>
      </c>
      <c r="K133" s="10"/>
      <c r="L133" s="4"/>
      <c r="M133" s="4"/>
      <c r="N133" s="4"/>
    </row>
    <row r="134" ht="15.75" customHeight="1">
      <c r="A134" s="23">
        <v>2026.0</v>
      </c>
      <c r="B134" s="27" t="s">
        <v>13</v>
      </c>
      <c r="C134" s="4" t="s">
        <v>132</v>
      </c>
      <c r="D134" s="26">
        <v>80000.0</v>
      </c>
      <c r="E134" s="26">
        <v>80000.0</v>
      </c>
      <c r="F134" s="10"/>
      <c r="G134" s="10"/>
      <c r="H134" s="10"/>
      <c r="I134" s="10"/>
      <c r="J134" s="10">
        <f t="shared" si="23"/>
        <v>80000</v>
      </c>
      <c r="K134" s="10"/>
      <c r="L134" s="4"/>
      <c r="M134" s="4"/>
      <c r="N134" s="4"/>
    </row>
    <row r="135" ht="15.75" customHeight="1">
      <c r="A135" s="78" t="s">
        <v>156</v>
      </c>
      <c r="B135" s="61"/>
      <c r="C135" s="4" t="s">
        <v>133</v>
      </c>
      <c r="D135" s="26">
        <v>300000.0</v>
      </c>
      <c r="E135" s="26">
        <v>18000.0</v>
      </c>
      <c r="F135" s="10"/>
      <c r="G135" s="10"/>
      <c r="H135" s="10"/>
      <c r="I135" s="26">
        <v>282000.0</v>
      </c>
      <c r="J135" s="10">
        <f>SUM(E135:I135)</f>
        <v>300000</v>
      </c>
      <c r="K135" s="10"/>
      <c r="L135" s="4"/>
      <c r="M135" s="4"/>
      <c r="N135" s="4"/>
    </row>
    <row r="136" ht="15.75" customHeight="1">
      <c r="A136" s="23">
        <v>2026.0</v>
      </c>
      <c r="B136" s="9"/>
      <c r="C136" s="24" t="s">
        <v>134</v>
      </c>
      <c r="D136" s="81">
        <v>40000.0</v>
      </c>
      <c r="E136" s="81">
        <v>40000.0</v>
      </c>
      <c r="F136" s="10"/>
      <c r="G136" s="10"/>
      <c r="H136" s="10"/>
      <c r="I136" s="10"/>
      <c r="J136" s="10">
        <f t="shared" ref="J136:J138" si="24">SUM(E136:H136)</f>
        <v>40000</v>
      </c>
      <c r="K136" s="10"/>
      <c r="L136" s="4"/>
      <c r="M136" s="4"/>
      <c r="N136" s="4"/>
    </row>
    <row r="137" ht="15.75" customHeight="1">
      <c r="A137" s="23">
        <v>2026.0</v>
      </c>
      <c r="B137" s="9"/>
      <c r="C137" s="24" t="s">
        <v>135</v>
      </c>
      <c r="D137" s="81">
        <v>40000.0</v>
      </c>
      <c r="E137" s="81">
        <v>40000.0</v>
      </c>
      <c r="F137" s="10"/>
      <c r="G137" s="10"/>
      <c r="H137" s="10"/>
      <c r="I137" s="10"/>
      <c r="J137" s="10">
        <f t="shared" si="24"/>
        <v>40000</v>
      </c>
      <c r="K137" s="10"/>
      <c r="L137" s="4"/>
      <c r="M137" s="4"/>
      <c r="N137" s="4"/>
    </row>
    <row r="138" ht="15.75" customHeight="1">
      <c r="A138" s="23">
        <v>2026.0</v>
      </c>
      <c r="B138" s="9"/>
      <c r="C138" s="24" t="s">
        <v>136</v>
      </c>
      <c r="D138" s="81">
        <v>35000.0</v>
      </c>
      <c r="E138" s="81">
        <v>35000.0</v>
      </c>
      <c r="F138" s="10"/>
      <c r="G138" s="10"/>
      <c r="H138" s="10"/>
      <c r="I138" s="10"/>
      <c r="J138" s="10">
        <f t="shared" si="24"/>
        <v>35000</v>
      </c>
      <c r="K138" s="10"/>
      <c r="L138" s="4"/>
      <c r="M138" s="4"/>
      <c r="N138" s="4"/>
    </row>
    <row r="139" ht="15.75" customHeight="1">
      <c r="A139" s="1"/>
      <c r="B139" s="39">
        <v>627.0</v>
      </c>
      <c r="C139" s="40" t="s">
        <v>43</v>
      </c>
      <c r="D139" s="10"/>
      <c r="E139" s="10"/>
      <c r="F139" s="10"/>
      <c r="G139" s="10"/>
      <c r="H139" s="10"/>
      <c r="I139" s="10"/>
      <c r="J139" s="10"/>
      <c r="K139" s="10">
        <f>SUM(J140:J141)</f>
        <v>38200</v>
      </c>
      <c r="L139" s="4"/>
      <c r="M139" s="4"/>
      <c r="N139" s="4"/>
    </row>
    <row r="140" ht="15.75" customHeight="1">
      <c r="A140" s="1"/>
      <c r="B140" s="39"/>
      <c r="C140" s="48" t="s">
        <v>138</v>
      </c>
      <c r="D140" s="26">
        <v>20000.0</v>
      </c>
      <c r="E140" s="26">
        <v>20000.0</v>
      </c>
      <c r="F140" s="10"/>
      <c r="G140" s="10"/>
      <c r="H140" s="10"/>
      <c r="I140" s="10"/>
      <c r="J140" s="26">
        <v>20000.0</v>
      </c>
      <c r="K140" s="10"/>
      <c r="L140" s="4"/>
      <c r="M140" s="4"/>
      <c r="N140" s="4"/>
    </row>
    <row r="141" ht="15.75" customHeight="1">
      <c r="A141" s="1"/>
      <c r="B141" s="39"/>
      <c r="C141" s="48" t="s">
        <v>139</v>
      </c>
      <c r="D141" s="26">
        <v>18200.0</v>
      </c>
      <c r="E141" s="26">
        <v>18200.0</v>
      </c>
      <c r="F141" s="10"/>
      <c r="G141" s="10"/>
      <c r="H141" s="10"/>
      <c r="I141" s="10"/>
      <c r="J141" s="10">
        <f>SUM(E141:H141)</f>
        <v>18200</v>
      </c>
      <c r="K141" s="10"/>
      <c r="L141" s="4"/>
      <c r="M141" s="4"/>
      <c r="N141" s="4"/>
    </row>
    <row r="142" ht="15.75" customHeight="1">
      <c r="A142" s="1"/>
      <c r="B142" s="18">
        <v>650.0</v>
      </c>
      <c r="C142" s="19" t="s">
        <v>140</v>
      </c>
      <c r="D142" s="10"/>
      <c r="E142" s="10"/>
      <c r="F142" s="10"/>
      <c r="G142" s="10"/>
      <c r="H142" s="10"/>
      <c r="I142" s="10"/>
      <c r="J142" s="10"/>
      <c r="K142" s="10">
        <f>SUM(J143)</f>
        <v>720000</v>
      </c>
      <c r="L142" s="4"/>
      <c r="M142" s="4"/>
      <c r="N142" s="4"/>
    </row>
    <row r="143" ht="15.75" customHeight="1">
      <c r="A143" s="23">
        <v>2026.0</v>
      </c>
      <c r="B143" s="27" t="s">
        <v>13</v>
      </c>
      <c r="C143" s="4" t="s">
        <v>142</v>
      </c>
      <c r="D143" s="10">
        <v>720000.0</v>
      </c>
      <c r="E143" s="10">
        <v>720000.0</v>
      </c>
      <c r="F143" s="10"/>
      <c r="G143" s="10"/>
      <c r="H143" s="10"/>
      <c r="I143" s="10"/>
      <c r="J143" s="10">
        <f>SUM(E143:H143)</f>
        <v>720000</v>
      </c>
      <c r="K143" s="10"/>
      <c r="L143" s="4"/>
      <c r="M143" s="4"/>
      <c r="N143" s="4"/>
    </row>
    <row r="144" ht="15.75" customHeight="1">
      <c r="A144" s="8"/>
      <c r="B144" s="9"/>
      <c r="C144" s="37" t="s">
        <v>143</v>
      </c>
      <c r="D144" s="35">
        <f t="shared" ref="D144:J144" si="25">SUM(D131:D143)</f>
        <v>1933200</v>
      </c>
      <c r="E144" s="35">
        <f t="shared" si="25"/>
        <v>1651200</v>
      </c>
      <c r="F144" s="35">
        <f t="shared" si="25"/>
        <v>0</v>
      </c>
      <c r="G144" s="35">
        <f t="shared" si="25"/>
        <v>0</v>
      </c>
      <c r="H144" s="35">
        <f t="shared" si="25"/>
        <v>0</v>
      </c>
      <c r="I144" s="35">
        <f t="shared" si="25"/>
        <v>282000</v>
      </c>
      <c r="J144" s="35">
        <f t="shared" si="25"/>
        <v>1933200</v>
      </c>
      <c r="K144" s="10"/>
      <c r="L144" s="4"/>
      <c r="M144" s="4"/>
      <c r="N144" s="4"/>
    </row>
    <row r="145" ht="15.75" customHeight="1">
      <c r="A145" s="8"/>
      <c r="B145" s="9"/>
      <c r="C145" s="4"/>
      <c r="D145" s="10"/>
      <c r="E145" s="10"/>
      <c r="F145" s="10"/>
      <c r="G145" s="10"/>
      <c r="H145" s="10"/>
      <c r="I145" s="10"/>
      <c r="J145" s="10"/>
      <c r="K145" s="10"/>
      <c r="L145" s="4"/>
      <c r="M145" s="4"/>
      <c r="N145" s="4"/>
    </row>
    <row r="146" ht="15.75" customHeight="1">
      <c r="A146" s="1"/>
      <c r="B146" s="18">
        <v>1721.0</v>
      </c>
      <c r="C146" s="19" t="s">
        <v>144</v>
      </c>
      <c r="D146" s="30"/>
      <c r="E146" s="30"/>
      <c r="F146" s="30"/>
      <c r="G146" s="30"/>
      <c r="H146" s="30"/>
      <c r="I146" s="30"/>
      <c r="J146" s="30"/>
      <c r="K146" s="30"/>
      <c r="L146" s="31"/>
      <c r="M146" s="31"/>
      <c r="N146" s="31"/>
    </row>
    <row r="147" ht="15.75" customHeight="1">
      <c r="A147" s="1"/>
      <c r="B147" s="18">
        <v>619.0</v>
      </c>
      <c r="C147" s="19" t="s">
        <v>20</v>
      </c>
      <c r="D147" s="30"/>
      <c r="E147" s="30"/>
      <c r="F147" s="30"/>
      <c r="G147" s="30"/>
      <c r="H147" s="30"/>
      <c r="I147" s="30"/>
      <c r="J147" s="30"/>
      <c r="K147" s="10">
        <f>SUM(J148)</f>
        <v>100000</v>
      </c>
      <c r="L147" s="31"/>
      <c r="M147" s="31"/>
      <c r="N147" s="31"/>
    </row>
    <row r="148" ht="15.75" customHeight="1">
      <c r="A148" s="32">
        <v>2026.0</v>
      </c>
      <c r="B148" s="31"/>
      <c r="C148" s="24" t="s">
        <v>145</v>
      </c>
      <c r="D148" s="75">
        <v>100000.0</v>
      </c>
      <c r="E148" s="75">
        <v>100000.0</v>
      </c>
      <c r="F148" s="30"/>
      <c r="G148" s="30"/>
      <c r="H148" s="30"/>
      <c r="I148" s="30"/>
      <c r="J148" s="10">
        <f>SUM(E148:H148)</f>
        <v>100000</v>
      </c>
      <c r="K148" s="30"/>
      <c r="L148" s="31"/>
      <c r="M148" s="31"/>
      <c r="N148" s="31"/>
    </row>
    <row r="149" ht="15.75" customHeight="1">
      <c r="A149" s="28"/>
      <c r="B149" s="31"/>
      <c r="C149" s="18">
        <v>1721.0</v>
      </c>
      <c r="D149" s="35">
        <f t="shared" ref="D149:J149" si="26">SUM(D148)</f>
        <v>100000</v>
      </c>
      <c r="E149" s="35">
        <f t="shared" si="26"/>
        <v>100000</v>
      </c>
      <c r="F149" s="35">
        <f t="shared" si="26"/>
        <v>0</v>
      </c>
      <c r="G149" s="35">
        <f t="shared" si="26"/>
        <v>0</v>
      </c>
      <c r="H149" s="35">
        <f t="shared" si="26"/>
        <v>0</v>
      </c>
      <c r="I149" s="35">
        <f t="shared" si="26"/>
        <v>0</v>
      </c>
      <c r="J149" s="35">
        <f t="shared" si="26"/>
        <v>100000</v>
      </c>
      <c r="K149" s="30"/>
      <c r="L149" s="31"/>
      <c r="M149" s="31"/>
      <c r="N149" s="31"/>
    </row>
    <row r="150" ht="15.75" customHeight="1">
      <c r="A150" s="8"/>
      <c r="B150" s="9"/>
      <c r="C150" s="4"/>
      <c r="D150" s="10"/>
      <c r="E150" s="10"/>
      <c r="F150" s="10"/>
      <c r="G150" s="10"/>
      <c r="H150" s="10"/>
      <c r="I150" s="10"/>
      <c r="J150" s="10"/>
      <c r="K150" s="10"/>
      <c r="L150" s="4"/>
      <c r="M150" s="4"/>
      <c r="N150" s="4"/>
    </row>
    <row r="151" ht="15.75" customHeight="1">
      <c r="A151" s="1"/>
      <c r="B151" s="18">
        <v>2310.0</v>
      </c>
      <c r="C151" s="19" t="s">
        <v>146</v>
      </c>
      <c r="D151" s="10"/>
      <c r="E151" s="10"/>
      <c r="F151" s="10"/>
      <c r="G151" s="10"/>
      <c r="H151" s="10"/>
      <c r="I151" s="10"/>
      <c r="J151" s="10"/>
      <c r="K151" s="10"/>
      <c r="L151" s="4"/>
      <c r="M151" s="4"/>
      <c r="N151" s="4"/>
    </row>
    <row r="152" ht="15.75" customHeight="1">
      <c r="A152" s="1"/>
      <c r="B152" s="18">
        <v>632.0</v>
      </c>
      <c r="C152" s="19" t="s">
        <v>11</v>
      </c>
      <c r="D152" s="10"/>
      <c r="E152" s="10"/>
      <c r="F152" s="10"/>
      <c r="G152" s="10"/>
      <c r="H152" s="10"/>
      <c r="I152" s="10"/>
      <c r="J152" s="10"/>
      <c r="K152" s="10">
        <f>SUM(J153)</f>
        <v>6000</v>
      </c>
      <c r="L152" s="4"/>
      <c r="M152" s="4"/>
      <c r="N152" s="4"/>
    </row>
    <row r="153" ht="15.75" customHeight="1">
      <c r="A153" s="23">
        <v>2026.0</v>
      </c>
      <c r="B153" s="9"/>
      <c r="C153" s="24" t="s">
        <v>148</v>
      </c>
      <c r="D153" s="10">
        <v>6000.0</v>
      </c>
      <c r="E153" s="10">
        <v>6000.0</v>
      </c>
      <c r="F153" s="10"/>
      <c r="G153" s="10"/>
      <c r="H153" s="10"/>
      <c r="I153" s="10"/>
      <c r="J153" s="10">
        <f>SUM(E153:H153)</f>
        <v>6000</v>
      </c>
      <c r="K153" s="9"/>
      <c r="L153" s="4"/>
      <c r="M153" s="4"/>
      <c r="N153" s="4"/>
    </row>
    <row r="154" ht="15.75" customHeight="1">
      <c r="A154" s="1"/>
      <c r="B154" s="18">
        <v>635.0</v>
      </c>
      <c r="C154" s="19" t="s">
        <v>79</v>
      </c>
      <c r="D154" s="10"/>
      <c r="E154" s="10"/>
      <c r="F154" s="10"/>
      <c r="G154" s="10"/>
      <c r="H154" s="10"/>
      <c r="I154" s="10"/>
      <c r="J154" s="10"/>
      <c r="K154" s="10">
        <f>SUM(J155)</f>
        <v>18200</v>
      </c>
      <c r="L154" s="4"/>
      <c r="M154" s="4"/>
      <c r="N154" s="4"/>
    </row>
    <row r="155" ht="15.75" customHeight="1">
      <c r="A155" s="23">
        <v>2026.0</v>
      </c>
      <c r="B155" s="9"/>
      <c r="C155" s="4" t="s">
        <v>149</v>
      </c>
      <c r="D155" s="26">
        <v>18200.0</v>
      </c>
      <c r="E155" s="26">
        <v>18200.0</v>
      </c>
      <c r="F155" s="10"/>
      <c r="G155" s="10"/>
      <c r="H155" s="10"/>
      <c r="I155" s="10"/>
      <c r="J155" s="10">
        <f>SUM(E155:H155)</f>
        <v>18200</v>
      </c>
      <c r="K155" s="10"/>
      <c r="L155" s="4"/>
      <c r="M155" s="4"/>
      <c r="N155" s="4"/>
    </row>
    <row r="156" ht="15.75" customHeight="1">
      <c r="A156" s="8"/>
      <c r="B156" s="9"/>
      <c r="C156" s="37" t="s">
        <v>150</v>
      </c>
      <c r="D156" s="35">
        <f t="shared" ref="D156:J156" si="27">SUM(D152:D155)</f>
        <v>24200</v>
      </c>
      <c r="E156" s="35">
        <f t="shared" si="27"/>
        <v>24200</v>
      </c>
      <c r="F156" s="35">
        <f t="shared" si="27"/>
        <v>0</v>
      </c>
      <c r="G156" s="35">
        <f t="shared" si="27"/>
        <v>0</v>
      </c>
      <c r="H156" s="35">
        <f t="shared" si="27"/>
        <v>0</v>
      </c>
      <c r="I156" s="35">
        <f t="shared" si="27"/>
        <v>0</v>
      </c>
      <c r="J156" s="35">
        <f t="shared" si="27"/>
        <v>24200</v>
      </c>
      <c r="K156" s="10"/>
      <c r="L156" s="4"/>
      <c r="M156" s="4"/>
      <c r="N156" s="4"/>
    </row>
    <row r="157" ht="15.75" customHeight="1">
      <c r="A157" s="8"/>
      <c r="B157" s="4"/>
      <c r="C157" s="4"/>
      <c r="D157" s="10"/>
      <c r="E157" s="10"/>
      <c r="F157" s="10"/>
      <c r="G157" s="10"/>
      <c r="H157" s="10"/>
      <c r="I157" s="10"/>
      <c r="J157" s="10"/>
      <c r="K157" s="10"/>
      <c r="L157" s="4"/>
      <c r="M157" s="4"/>
      <c r="N157" s="4"/>
    </row>
    <row r="158" ht="15.75" customHeight="1">
      <c r="A158" s="1"/>
      <c r="B158" s="19">
        <v>3110.0</v>
      </c>
      <c r="C158" s="19" t="s">
        <v>151</v>
      </c>
      <c r="D158" s="10"/>
      <c r="E158" s="10"/>
      <c r="F158" s="10"/>
      <c r="G158" s="10"/>
      <c r="H158" s="10"/>
      <c r="I158" s="10"/>
      <c r="J158" s="10"/>
      <c r="K158" s="10"/>
      <c r="L158" s="4"/>
      <c r="M158" s="4"/>
      <c r="N158" s="4"/>
    </row>
    <row r="159" ht="15.75" customHeight="1">
      <c r="A159" s="1"/>
      <c r="B159" s="18">
        <v>609.0</v>
      </c>
      <c r="C159" s="19" t="s">
        <v>152</v>
      </c>
      <c r="D159" s="10"/>
      <c r="E159" s="10"/>
      <c r="F159" s="10"/>
      <c r="G159" s="10"/>
      <c r="H159" s="10"/>
      <c r="I159" s="10"/>
      <c r="J159" s="10"/>
      <c r="K159" s="10">
        <f>SUM(J160)</f>
        <v>30000</v>
      </c>
      <c r="L159" s="4"/>
      <c r="M159" s="4"/>
      <c r="N159" s="4"/>
    </row>
    <row r="160" ht="15.75" customHeight="1">
      <c r="A160" s="23">
        <v>2026.0</v>
      </c>
      <c r="B160" s="9"/>
      <c r="C160" s="24" t="s">
        <v>153</v>
      </c>
      <c r="D160" s="26">
        <v>30000.0</v>
      </c>
      <c r="E160" s="26">
        <v>30000.0</v>
      </c>
      <c r="F160" s="10"/>
      <c r="G160" s="10"/>
      <c r="H160" s="10"/>
      <c r="I160" s="10"/>
      <c r="J160" s="10">
        <f>SUM(E160:H160)</f>
        <v>30000</v>
      </c>
      <c r="K160" s="10"/>
      <c r="L160" s="4"/>
      <c r="M160" s="4"/>
      <c r="N160" s="4"/>
    </row>
    <row r="161" ht="15.75" customHeight="1">
      <c r="A161" s="8"/>
      <c r="B161" s="9"/>
      <c r="C161" s="37" t="s">
        <v>155</v>
      </c>
      <c r="D161" s="35">
        <f t="shared" ref="D161:J161" si="28">SUM(D160)</f>
        <v>30000</v>
      </c>
      <c r="E161" s="35">
        <f t="shared" si="28"/>
        <v>30000</v>
      </c>
      <c r="F161" s="35">
        <f t="shared" si="28"/>
        <v>0</v>
      </c>
      <c r="G161" s="35">
        <f t="shared" si="28"/>
        <v>0</v>
      </c>
      <c r="H161" s="35">
        <f t="shared" si="28"/>
        <v>0</v>
      </c>
      <c r="I161" s="35">
        <f t="shared" si="28"/>
        <v>0</v>
      </c>
      <c r="J161" s="35">
        <f t="shared" si="28"/>
        <v>30000</v>
      </c>
      <c r="K161" s="10"/>
      <c r="L161" s="4"/>
      <c r="M161" s="4"/>
      <c r="N161" s="4"/>
    </row>
    <row r="162" ht="15.75" customHeight="1">
      <c r="A162" s="8"/>
      <c r="B162" s="9"/>
      <c r="C162" s="4"/>
      <c r="D162" s="10"/>
      <c r="E162" s="10"/>
      <c r="F162" s="10"/>
      <c r="G162" s="10"/>
      <c r="H162" s="10"/>
      <c r="I162" s="10"/>
      <c r="J162" s="10"/>
      <c r="K162" s="10"/>
      <c r="L162" s="4"/>
      <c r="M162" s="4"/>
      <c r="N162" s="4"/>
    </row>
    <row r="163" ht="15.75" customHeight="1">
      <c r="A163" s="1"/>
      <c r="B163" s="18">
        <v>3200.0</v>
      </c>
      <c r="C163" s="19" t="s">
        <v>157</v>
      </c>
      <c r="D163" s="10"/>
      <c r="E163" s="10"/>
      <c r="F163" s="10"/>
      <c r="G163" s="10"/>
      <c r="H163" s="10"/>
      <c r="I163" s="10"/>
      <c r="J163" s="10"/>
      <c r="K163" s="10"/>
      <c r="L163" s="4"/>
      <c r="M163" s="4"/>
      <c r="N163" s="4"/>
    </row>
    <row r="164" ht="15.75" customHeight="1">
      <c r="A164" s="1"/>
      <c r="B164" s="18">
        <v>641.0</v>
      </c>
      <c r="C164" s="19" t="s">
        <v>158</v>
      </c>
      <c r="D164" s="10"/>
      <c r="E164" s="10"/>
      <c r="F164" s="10"/>
      <c r="G164" s="10"/>
      <c r="H164" s="10"/>
      <c r="I164" s="10"/>
      <c r="J164" s="10"/>
      <c r="K164" s="10">
        <f>SUM(J165)</f>
        <v>18200</v>
      </c>
      <c r="L164" s="4"/>
      <c r="M164" s="4"/>
      <c r="N164" s="4"/>
    </row>
    <row r="165" ht="15.75" customHeight="1">
      <c r="A165" s="23">
        <v>2026.0</v>
      </c>
      <c r="B165" s="9"/>
      <c r="C165" s="4" t="s">
        <v>159</v>
      </c>
      <c r="D165" s="26">
        <v>18200.0</v>
      </c>
      <c r="E165" s="26">
        <v>18200.0</v>
      </c>
      <c r="F165" s="10"/>
      <c r="G165" s="10"/>
      <c r="H165" s="10"/>
      <c r="I165" s="10"/>
      <c r="J165" s="10">
        <f>SUM(E165:H165)</f>
        <v>18200</v>
      </c>
      <c r="K165" s="10"/>
      <c r="L165" s="4"/>
      <c r="M165" s="4"/>
      <c r="N165" s="4"/>
    </row>
    <row r="166" ht="15.75" customHeight="1">
      <c r="A166" s="8"/>
      <c r="B166" s="9"/>
      <c r="C166" s="37" t="s">
        <v>160</v>
      </c>
      <c r="D166" s="35">
        <f t="shared" ref="D166:J166" si="29">SUM(D165)</f>
        <v>18200</v>
      </c>
      <c r="E166" s="35">
        <f t="shared" si="29"/>
        <v>18200</v>
      </c>
      <c r="F166" s="35">
        <f t="shared" si="29"/>
        <v>0</v>
      </c>
      <c r="G166" s="35">
        <f t="shared" si="29"/>
        <v>0</v>
      </c>
      <c r="H166" s="35">
        <f t="shared" si="29"/>
        <v>0</v>
      </c>
      <c r="I166" s="35">
        <f t="shared" si="29"/>
        <v>0</v>
      </c>
      <c r="J166" s="35">
        <f t="shared" si="29"/>
        <v>18200</v>
      </c>
      <c r="K166" s="10"/>
      <c r="L166" s="4"/>
      <c r="M166" s="4"/>
      <c r="N166" s="4"/>
    </row>
    <row r="167" ht="15.75" customHeight="1">
      <c r="A167" s="8"/>
      <c r="B167" s="9"/>
      <c r="C167" s="4"/>
      <c r="D167" s="42"/>
      <c r="E167" s="10"/>
      <c r="F167" s="10"/>
      <c r="G167" s="10"/>
      <c r="H167" s="10"/>
      <c r="I167" s="10"/>
      <c r="J167" s="10"/>
      <c r="K167" s="10"/>
      <c r="L167" s="4"/>
      <c r="M167" s="4"/>
      <c r="N167" s="4"/>
    </row>
    <row r="168" ht="15.75" customHeight="1">
      <c r="A168" s="1"/>
      <c r="B168" s="18">
        <v>3230.0</v>
      </c>
      <c r="C168" s="19" t="s">
        <v>161</v>
      </c>
      <c r="D168" s="30"/>
      <c r="E168" s="30"/>
      <c r="F168" s="30"/>
      <c r="G168" s="30"/>
      <c r="H168" s="30"/>
      <c r="I168" s="30"/>
      <c r="J168" s="30"/>
      <c r="K168" s="30"/>
      <c r="L168" s="31"/>
      <c r="M168" s="31"/>
      <c r="N168" s="31"/>
    </row>
    <row r="169" ht="15.75" customHeight="1">
      <c r="A169" s="43"/>
      <c r="B169" s="37" t="s">
        <v>127</v>
      </c>
      <c r="C169" s="19" t="s">
        <v>128</v>
      </c>
      <c r="D169" s="30"/>
      <c r="E169" s="30"/>
      <c r="F169" s="30"/>
      <c r="G169" s="30"/>
      <c r="H169" s="30"/>
      <c r="I169" s="30"/>
      <c r="J169" s="30"/>
      <c r="K169" s="10">
        <f>SUM(J170)</f>
        <v>18200</v>
      </c>
      <c r="L169" s="31"/>
      <c r="M169" s="31"/>
      <c r="N169" s="31"/>
    </row>
    <row r="170" ht="15.75" customHeight="1">
      <c r="A170" s="32">
        <v>2026.0</v>
      </c>
      <c r="B170" s="31"/>
      <c r="C170" s="24" t="s">
        <v>109</v>
      </c>
      <c r="D170" s="26">
        <v>18200.0</v>
      </c>
      <c r="E170" s="26">
        <v>18200.0</v>
      </c>
      <c r="F170" s="30"/>
      <c r="G170" s="30"/>
      <c r="H170" s="30"/>
      <c r="I170" s="30"/>
      <c r="J170" s="10">
        <f>SUM(E170:H170)</f>
        <v>18200</v>
      </c>
      <c r="K170" s="30"/>
      <c r="L170" s="31"/>
      <c r="M170" s="31"/>
      <c r="N170" s="31"/>
    </row>
    <row r="171" ht="15.75" customHeight="1">
      <c r="A171" s="28"/>
      <c r="B171" s="31"/>
      <c r="C171" s="37" t="s">
        <v>162</v>
      </c>
      <c r="D171" s="35">
        <f t="shared" ref="D171:J171" si="30">SUM(D170)</f>
        <v>18200</v>
      </c>
      <c r="E171" s="35">
        <f t="shared" si="30"/>
        <v>18200</v>
      </c>
      <c r="F171" s="35">
        <f t="shared" si="30"/>
        <v>0</v>
      </c>
      <c r="G171" s="35">
        <f t="shared" si="30"/>
        <v>0</v>
      </c>
      <c r="H171" s="35">
        <f t="shared" si="30"/>
        <v>0</v>
      </c>
      <c r="I171" s="35">
        <f t="shared" si="30"/>
        <v>0</v>
      </c>
      <c r="J171" s="35">
        <f t="shared" si="30"/>
        <v>18200</v>
      </c>
      <c r="K171" s="30"/>
      <c r="L171" s="31"/>
      <c r="M171" s="31"/>
      <c r="N171" s="31"/>
    </row>
    <row r="172" ht="15.75" customHeight="1">
      <c r="A172" s="28"/>
      <c r="B172" s="31"/>
      <c r="C172" s="31"/>
      <c r="D172" s="98"/>
      <c r="E172" s="30"/>
      <c r="F172" s="30"/>
      <c r="G172" s="30"/>
      <c r="H172" s="30"/>
      <c r="I172" s="30"/>
      <c r="J172" s="30"/>
      <c r="K172" s="30"/>
      <c r="L172" s="31"/>
      <c r="M172" s="31"/>
      <c r="N172" s="31"/>
    </row>
    <row r="173" ht="15.75" customHeight="1">
      <c r="A173" s="83"/>
      <c r="B173" s="84" t="s">
        <v>163</v>
      </c>
      <c r="C173" s="85" t="s">
        <v>164</v>
      </c>
      <c r="D173" s="30"/>
      <c r="E173" s="30"/>
      <c r="F173" s="30"/>
      <c r="G173" s="30"/>
      <c r="H173" s="30"/>
      <c r="I173" s="30"/>
      <c r="J173" s="30"/>
      <c r="K173" s="30"/>
      <c r="L173" s="31"/>
      <c r="M173" s="31"/>
      <c r="N173" s="31"/>
    </row>
    <row r="174" ht="15.75" customHeight="1">
      <c r="A174" s="86"/>
      <c r="B174" s="87">
        <v>629.0</v>
      </c>
      <c r="C174" s="85" t="s">
        <v>165</v>
      </c>
      <c r="D174" s="30"/>
      <c r="E174" s="30"/>
      <c r="F174" s="30"/>
      <c r="G174" s="30"/>
      <c r="H174" s="30"/>
      <c r="I174" s="30"/>
      <c r="J174" s="30"/>
      <c r="K174" s="10">
        <f>SUM(J175:J176)</f>
        <v>36400</v>
      </c>
      <c r="L174" s="31"/>
      <c r="M174" s="31"/>
      <c r="N174" s="31"/>
    </row>
    <row r="175" ht="15.75" customHeight="1">
      <c r="A175" s="88">
        <v>2026.0</v>
      </c>
      <c r="B175" s="89"/>
      <c r="C175" s="90" t="s">
        <v>166</v>
      </c>
      <c r="D175" s="81">
        <v>18200.0</v>
      </c>
      <c r="E175" s="81">
        <v>18200.0</v>
      </c>
      <c r="F175" s="30"/>
      <c r="G175" s="30"/>
      <c r="H175" s="30"/>
      <c r="I175" s="30"/>
      <c r="J175" s="99">
        <f t="shared" ref="J175:J176" si="31">SUM(E175:I175)</f>
        <v>18200</v>
      </c>
      <c r="K175" s="30"/>
      <c r="L175" s="31"/>
      <c r="M175" s="31"/>
      <c r="N175" s="31"/>
    </row>
    <row r="176" ht="15.75" customHeight="1">
      <c r="A176" s="88">
        <v>2026.0</v>
      </c>
      <c r="B176" s="89"/>
      <c r="C176" s="92" t="s">
        <v>167</v>
      </c>
      <c r="D176" s="81">
        <v>18200.0</v>
      </c>
      <c r="E176" s="81">
        <v>18200.0</v>
      </c>
      <c r="F176" s="30"/>
      <c r="G176" s="30"/>
      <c r="H176" s="30"/>
      <c r="I176" s="30"/>
      <c r="J176" s="99">
        <f t="shared" si="31"/>
        <v>18200</v>
      </c>
      <c r="K176" s="30"/>
      <c r="L176" s="31"/>
      <c r="M176" s="31"/>
      <c r="N176" s="31"/>
    </row>
    <row r="177" ht="15.75" customHeight="1">
      <c r="A177" s="28"/>
      <c r="B177" s="31"/>
      <c r="C177" s="87">
        <v>3261.0</v>
      </c>
      <c r="D177" s="100">
        <f t="shared" ref="D177:J177" si="32">SUM(D175:D176)</f>
        <v>36400</v>
      </c>
      <c r="E177" s="100">
        <f t="shared" si="32"/>
        <v>36400</v>
      </c>
      <c r="F177" s="100">
        <f t="shared" si="32"/>
        <v>0</v>
      </c>
      <c r="G177" s="100">
        <f t="shared" si="32"/>
        <v>0</v>
      </c>
      <c r="H177" s="100">
        <f t="shared" si="32"/>
        <v>0</v>
      </c>
      <c r="I177" s="100">
        <f t="shared" si="32"/>
        <v>0</v>
      </c>
      <c r="J177" s="100">
        <f t="shared" si="32"/>
        <v>36400</v>
      </c>
      <c r="K177" s="30"/>
      <c r="L177" s="31"/>
      <c r="M177" s="31"/>
      <c r="N177" s="31"/>
    </row>
    <row r="178" ht="15.75" customHeight="1">
      <c r="A178" s="94"/>
      <c r="B178" s="95"/>
      <c r="C178" s="31"/>
      <c r="D178" s="30"/>
      <c r="E178" s="30"/>
      <c r="F178" s="30"/>
      <c r="G178" s="30"/>
      <c r="H178" s="30"/>
      <c r="I178" s="30"/>
      <c r="J178" s="30"/>
      <c r="K178" s="30"/>
      <c r="L178" s="31"/>
      <c r="M178" s="31"/>
      <c r="N178" s="31"/>
    </row>
    <row r="179" ht="15.75" customHeight="1">
      <c r="A179" s="83"/>
      <c r="B179" s="84" t="s">
        <v>168</v>
      </c>
      <c r="C179" s="85" t="s">
        <v>169</v>
      </c>
      <c r="D179" s="30"/>
      <c r="E179" s="30"/>
      <c r="F179" s="30"/>
      <c r="G179" s="30"/>
      <c r="H179" s="30"/>
      <c r="I179" s="30"/>
      <c r="J179" s="30"/>
      <c r="K179" s="30"/>
      <c r="L179" s="31"/>
      <c r="M179" s="31"/>
      <c r="N179" s="31"/>
    </row>
    <row r="180" ht="15.75" customHeight="1">
      <c r="A180" s="86"/>
      <c r="B180" s="87">
        <v>629.0</v>
      </c>
      <c r="C180" s="85" t="s">
        <v>165</v>
      </c>
      <c r="D180" s="30"/>
      <c r="E180" s="30"/>
      <c r="F180" s="30"/>
      <c r="G180" s="30"/>
      <c r="H180" s="30"/>
      <c r="I180" s="30"/>
      <c r="J180" s="30"/>
      <c r="K180" s="10">
        <f>SUM(J181)</f>
        <v>18200</v>
      </c>
      <c r="L180" s="31"/>
      <c r="M180" s="31"/>
      <c r="N180" s="31"/>
    </row>
    <row r="181" ht="15.75" customHeight="1">
      <c r="A181" s="32">
        <v>2026.0</v>
      </c>
      <c r="B181" s="31"/>
      <c r="C181" s="92" t="s">
        <v>167</v>
      </c>
      <c r="D181" s="81">
        <v>18200.0</v>
      </c>
      <c r="E181" s="81">
        <v>18200.0</v>
      </c>
      <c r="F181" s="30"/>
      <c r="G181" s="30"/>
      <c r="H181" s="30"/>
      <c r="I181" s="30"/>
      <c r="J181" s="99">
        <f>SUM(E181:I181)</f>
        <v>18200</v>
      </c>
      <c r="K181" s="30"/>
      <c r="L181" s="31"/>
      <c r="M181" s="31"/>
      <c r="N181" s="31"/>
    </row>
    <row r="182" ht="15.75" customHeight="1">
      <c r="A182" s="28"/>
      <c r="B182" s="31"/>
      <c r="C182" s="87">
        <v>3262.0</v>
      </c>
      <c r="D182" s="100">
        <f t="shared" ref="D182:J182" si="33">SUM(D181)</f>
        <v>18200</v>
      </c>
      <c r="E182" s="100">
        <f t="shared" si="33"/>
        <v>18200</v>
      </c>
      <c r="F182" s="100">
        <f t="shared" si="33"/>
        <v>0</v>
      </c>
      <c r="G182" s="100">
        <f t="shared" si="33"/>
        <v>0</v>
      </c>
      <c r="H182" s="100">
        <f t="shared" si="33"/>
        <v>0</v>
      </c>
      <c r="I182" s="100">
        <f t="shared" si="33"/>
        <v>0</v>
      </c>
      <c r="J182" s="100">
        <f t="shared" si="33"/>
        <v>18200</v>
      </c>
      <c r="K182" s="30"/>
      <c r="L182" s="31"/>
      <c r="M182" s="31"/>
      <c r="N182" s="31"/>
    </row>
    <row r="183" ht="15.75" customHeight="1">
      <c r="A183" s="1"/>
      <c r="B183" s="19"/>
      <c r="C183" s="19"/>
      <c r="D183" s="10"/>
      <c r="E183" s="10"/>
      <c r="F183" s="10"/>
      <c r="G183" s="10"/>
      <c r="H183" s="10"/>
      <c r="I183" s="10"/>
      <c r="J183" s="10"/>
      <c r="K183" s="10"/>
      <c r="L183" s="4"/>
      <c r="M183" s="4"/>
      <c r="N183" s="4"/>
    </row>
    <row r="184" ht="15.75" customHeight="1">
      <c r="A184" s="1"/>
      <c r="B184" s="19">
        <v>3321.0</v>
      </c>
      <c r="C184" s="19" t="s">
        <v>170</v>
      </c>
      <c r="D184" s="10"/>
      <c r="E184" s="10"/>
      <c r="F184" s="10"/>
      <c r="G184" s="10"/>
      <c r="H184" s="10"/>
      <c r="I184" s="10"/>
      <c r="J184" s="10"/>
      <c r="K184" s="10"/>
      <c r="L184" s="4"/>
      <c r="M184" s="4"/>
      <c r="N184" s="4"/>
    </row>
    <row r="185" ht="15.75" customHeight="1">
      <c r="A185" s="1"/>
      <c r="B185" s="18">
        <v>623.0</v>
      </c>
      <c r="C185" s="19" t="s">
        <v>94</v>
      </c>
      <c r="D185" s="10"/>
      <c r="E185" s="10"/>
      <c r="F185" s="10"/>
      <c r="G185" s="10"/>
      <c r="H185" s="10"/>
      <c r="I185" s="10"/>
      <c r="J185" s="10"/>
      <c r="K185" s="10">
        <f>SUM(J186)</f>
        <v>25000</v>
      </c>
      <c r="L185" s="4"/>
      <c r="M185" s="4"/>
      <c r="N185" s="4"/>
    </row>
    <row r="186" ht="15.75" customHeight="1">
      <c r="A186" s="23">
        <v>2026.0</v>
      </c>
      <c r="B186" s="4"/>
      <c r="C186" s="24" t="s">
        <v>109</v>
      </c>
      <c r="D186" s="10">
        <v>25000.0</v>
      </c>
      <c r="E186" s="10">
        <v>25000.0</v>
      </c>
      <c r="F186" s="10"/>
      <c r="G186" s="10"/>
      <c r="H186" s="10"/>
      <c r="I186" s="10"/>
      <c r="J186" s="10">
        <f>SUM(E186:H186)</f>
        <v>25000</v>
      </c>
      <c r="K186" s="10"/>
      <c r="L186" s="4"/>
      <c r="M186" s="4"/>
      <c r="N186" s="4"/>
    </row>
    <row r="187" ht="15.75" customHeight="1">
      <c r="A187" s="23"/>
      <c r="B187" s="87">
        <v>629.0</v>
      </c>
      <c r="C187" s="85" t="s">
        <v>165</v>
      </c>
      <c r="D187" s="10"/>
      <c r="E187" s="10"/>
      <c r="F187" s="10"/>
      <c r="G187" s="10"/>
      <c r="H187" s="10"/>
      <c r="I187" s="10"/>
      <c r="J187" s="10"/>
      <c r="K187" s="10">
        <f>SUM(J188)</f>
        <v>40000</v>
      </c>
      <c r="L187" s="4"/>
      <c r="M187" s="4"/>
      <c r="N187" s="4"/>
    </row>
    <row r="188" ht="15.75" customHeight="1">
      <c r="A188" s="23">
        <v>2026.0</v>
      </c>
      <c r="B188" s="4"/>
      <c r="C188" s="24" t="s">
        <v>171</v>
      </c>
      <c r="D188" s="26">
        <v>40000.0</v>
      </c>
      <c r="E188" s="26">
        <v>40000.0</v>
      </c>
      <c r="F188" s="10"/>
      <c r="G188" s="10"/>
      <c r="H188" s="10"/>
      <c r="I188" s="10"/>
      <c r="J188" s="10">
        <f>SUM(E188:H188)</f>
        <v>40000</v>
      </c>
      <c r="K188" s="10"/>
      <c r="L188" s="4"/>
      <c r="M188" s="4"/>
      <c r="N188" s="4"/>
    </row>
    <row r="189" ht="15.75" customHeight="1">
      <c r="A189" s="8"/>
      <c r="B189" s="9"/>
      <c r="C189" s="37" t="s">
        <v>172</v>
      </c>
      <c r="D189" s="35">
        <f t="shared" ref="D189:J189" si="34">SUM(D186:D188)</f>
        <v>65000</v>
      </c>
      <c r="E189" s="35">
        <f t="shared" si="34"/>
        <v>65000</v>
      </c>
      <c r="F189" s="35">
        <f t="shared" si="34"/>
        <v>0</v>
      </c>
      <c r="G189" s="35">
        <f t="shared" si="34"/>
        <v>0</v>
      </c>
      <c r="H189" s="35">
        <f t="shared" si="34"/>
        <v>0</v>
      </c>
      <c r="I189" s="35">
        <f t="shared" si="34"/>
        <v>0</v>
      </c>
      <c r="J189" s="35">
        <f t="shared" si="34"/>
        <v>65000</v>
      </c>
      <c r="K189" s="10"/>
      <c r="L189" s="4"/>
      <c r="M189" s="4"/>
      <c r="N189" s="4"/>
    </row>
    <row r="190" ht="15.75" customHeight="1">
      <c r="A190" s="28"/>
      <c r="B190" s="31"/>
      <c r="C190" s="31"/>
      <c r="D190" s="30"/>
      <c r="E190" s="30"/>
      <c r="F190" s="30"/>
      <c r="G190" s="30"/>
      <c r="H190" s="30"/>
      <c r="I190" s="30"/>
      <c r="J190" s="30"/>
      <c r="K190" s="30"/>
      <c r="L190" s="31"/>
      <c r="M190" s="31"/>
      <c r="N190" s="31"/>
    </row>
    <row r="191" ht="15.75" customHeight="1">
      <c r="A191" s="83"/>
      <c r="B191" s="84" t="s">
        <v>173</v>
      </c>
      <c r="C191" s="85" t="s">
        <v>174</v>
      </c>
      <c r="D191" s="30"/>
      <c r="E191" s="30"/>
      <c r="F191" s="30"/>
      <c r="G191" s="30"/>
      <c r="H191" s="30"/>
      <c r="I191" s="30"/>
      <c r="J191" s="30"/>
      <c r="K191" s="30"/>
      <c r="L191" s="31"/>
      <c r="M191" s="31"/>
      <c r="N191" s="31"/>
    </row>
    <row r="192" ht="15.75" customHeight="1">
      <c r="A192" s="86"/>
      <c r="B192" s="87">
        <v>650.0</v>
      </c>
      <c r="C192" s="85" t="s">
        <v>46</v>
      </c>
      <c r="D192" s="30"/>
      <c r="E192" s="30"/>
      <c r="F192" s="30"/>
      <c r="G192" s="30"/>
      <c r="H192" s="30"/>
      <c r="I192" s="30"/>
      <c r="J192" s="30"/>
      <c r="K192" s="10">
        <f>SUM(J193)</f>
        <v>40000</v>
      </c>
      <c r="L192" s="31"/>
      <c r="M192" s="31"/>
      <c r="N192" s="31"/>
    </row>
    <row r="193" ht="15.75" customHeight="1">
      <c r="A193" s="88">
        <v>2026.0</v>
      </c>
      <c r="B193" s="89"/>
      <c r="C193" s="96" t="s">
        <v>175</v>
      </c>
      <c r="D193" s="108">
        <v>40000.0</v>
      </c>
      <c r="E193" s="108">
        <v>40000.0</v>
      </c>
      <c r="F193" s="30"/>
      <c r="G193" s="30"/>
      <c r="H193" s="30"/>
      <c r="I193" s="30"/>
      <c r="J193" s="99">
        <f>SUM(E193:I193)</f>
        <v>40000</v>
      </c>
      <c r="K193" s="30"/>
      <c r="L193" s="31"/>
      <c r="M193" s="31"/>
      <c r="N193" s="31"/>
    </row>
    <row r="194" ht="15.75" customHeight="1">
      <c r="A194" s="28"/>
      <c r="B194" s="31"/>
      <c r="C194" s="87">
        <v>3330.0</v>
      </c>
      <c r="D194" s="100">
        <f t="shared" ref="D194:J194" si="35">SUM(D192:D193)</f>
        <v>40000</v>
      </c>
      <c r="E194" s="100">
        <f t="shared" si="35"/>
        <v>40000</v>
      </c>
      <c r="F194" s="100">
        <f t="shared" si="35"/>
        <v>0</v>
      </c>
      <c r="G194" s="100">
        <f t="shared" si="35"/>
        <v>0</v>
      </c>
      <c r="H194" s="100">
        <f t="shared" si="35"/>
        <v>0</v>
      </c>
      <c r="I194" s="100">
        <f t="shared" si="35"/>
        <v>0</v>
      </c>
      <c r="J194" s="100">
        <f t="shared" si="35"/>
        <v>40000</v>
      </c>
      <c r="K194" s="30"/>
      <c r="L194" s="31"/>
      <c r="M194" s="31"/>
      <c r="N194" s="31"/>
    </row>
    <row r="195" ht="15.75" customHeight="1">
      <c r="A195" s="8"/>
      <c r="B195" s="39"/>
      <c r="C195" s="40"/>
      <c r="D195" s="42"/>
      <c r="E195" s="26"/>
      <c r="F195" s="10"/>
      <c r="G195" s="10"/>
      <c r="H195" s="10"/>
      <c r="I195" s="10"/>
      <c r="J195" s="10"/>
      <c r="K195" s="10"/>
      <c r="L195" s="4"/>
      <c r="M195" s="4"/>
      <c r="N195" s="4"/>
    </row>
    <row r="196" ht="15.75" customHeight="1">
      <c r="A196" s="8"/>
      <c r="B196" s="39">
        <v>3331.0</v>
      </c>
      <c r="C196" s="40" t="s">
        <v>176</v>
      </c>
      <c r="D196" s="26"/>
      <c r="E196" s="54"/>
      <c r="F196" s="10"/>
      <c r="G196" s="10"/>
      <c r="H196" s="10"/>
      <c r="I196" s="10"/>
      <c r="J196" s="10"/>
      <c r="K196" s="10"/>
      <c r="L196" s="4"/>
      <c r="M196" s="4"/>
      <c r="N196" s="4"/>
    </row>
    <row r="197" ht="15.75" customHeight="1">
      <c r="A197" s="8"/>
      <c r="B197" s="39">
        <v>619.0</v>
      </c>
      <c r="C197" s="40" t="s">
        <v>20</v>
      </c>
      <c r="D197" s="54"/>
      <c r="E197" s="54"/>
      <c r="F197" s="10"/>
      <c r="G197" s="10"/>
      <c r="H197" s="10"/>
      <c r="I197" s="10"/>
      <c r="J197" s="10"/>
      <c r="K197" s="10">
        <f>SUM(J198:J199)</f>
        <v>50000</v>
      </c>
      <c r="L197" s="4"/>
      <c r="M197" s="4"/>
      <c r="N197" s="4"/>
    </row>
    <row r="198" ht="15.75" customHeight="1">
      <c r="A198" s="23">
        <v>2026.0</v>
      </c>
      <c r="B198" s="9"/>
      <c r="C198" s="24" t="s">
        <v>177</v>
      </c>
      <c r="D198" s="26">
        <v>30000.0</v>
      </c>
      <c r="E198" s="26">
        <v>30000.0</v>
      </c>
      <c r="F198" s="10"/>
      <c r="G198" s="10"/>
      <c r="H198" s="10"/>
      <c r="I198" s="10"/>
      <c r="J198" s="99">
        <f t="shared" ref="J198:J199" si="36">SUM(E198:I198)</f>
        <v>30000</v>
      </c>
      <c r="K198" s="10"/>
      <c r="L198" s="4"/>
      <c r="M198" s="4"/>
      <c r="N198" s="4"/>
    </row>
    <row r="199" ht="15.75" customHeight="1">
      <c r="A199" s="23">
        <v>2026.0</v>
      </c>
      <c r="B199" s="9"/>
      <c r="C199" s="24" t="s">
        <v>178</v>
      </c>
      <c r="D199" s="26">
        <v>20000.0</v>
      </c>
      <c r="E199" s="26">
        <v>20000.0</v>
      </c>
      <c r="F199" s="10"/>
      <c r="G199" s="10"/>
      <c r="H199" s="10"/>
      <c r="I199" s="10"/>
      <c r="J199" s="99">
        <f t="shared" si="36"/>
        <v>20000</v>
      </c>
      <c r="K199" s="10"/>
      <c r="L199" s="4"/>
      <c r="M199" s="4"/>
      <c r="N199" s="4"/>
    </row>
    <row r="200" ht="15.75" customHeight="1">
      <c r="A200" s="8"/>
      <c r="B200" s="9"/>
      <c r="C200" s="39">
        <v>3331.0</v>
      </c>
      <c r="D200" s="35">
        <f t="shared" ref="D200:J200" si="37">SUM(D198:D199)</f>
        <v>50000</v>
      </c>
      <c r="E200" s="35">
        <f t="shared" si="37"/>
        <v>50000</v>
      </c>
      <c r="F200" s="35">
        <f t="shared" si="37"/>
        <v>0</v>
      </c>
      <c r="G200" s="35">
        <f t="shared" si="37"/>
        <v>0</v>
      </c>
      <c r="H200" s="35">
        <f t="shared" si="37"/>
        <v>0</v>
      </c>
      <c r="I200" s="35">
        <f t="shared" si="37"/>
        <v>0</v>
      </c>
      <c r="J200" s="35">
        <f t="shared" si="37"/>
        <v>50000</v>
      </c>
      <c r="K200" s="10"/>
      <c r="L200" s="4"/>
      <c r="M200" s="4"/>
      <c r="N200" s="4"/>
    </row>
    <row r="201" ht="15.75" customHeight="1">
      <c r="A201" s="94"/>
      <c r="B201" s="95"/>
      <c r="C201" s="31"/>
      <c r="D201" s="30"/>
      <c r="E201" s="30"/>
      <c r="F201" s="30"/>
      <c r="G201" s="30"/>
      <c r="H201" s="30"/>
      <c r="I201" s="30"/>
      <c r="J201" s="30"/>
      <c r="K201" s="30"/>
      <c r="L201" s="31"/>
      <c r="M201" s="31"/>
      <c r="N201" s="31"/>
    </row>
    <row r="202" ht="15.75" customHeight="1">
      <c r="A202" s="1"/>
      <c r="B202" s="18">
        <v>3340.0</v>
      </c>
      <c r="C202" s="19" t="s">
        <v>179</v>
      </c>
      <c r="D202" s="10"/>
      <c r="E202" s="10"/>
      <c r="F202" s="10"/>
      <c r="G202" s="10"/>
      <c r="H202" s="10"/>
      <c r="I202" s="10"/>
      <c r="J202" s="10"/>
      <c r="K202" s="10"/>
      <c r="L202" s="4"/>
      <c r="M202" s="4"/>
      <c r="N202" s="4"/>
    </row>
    <row r="203" ht="15.75" customHeight="1">
      <c r="A203" s="43"/>
      <c r="B203" s="37" t="s">
        <v>180</v>
      </c>
      <c r="C203" s="19" t="s">
        <v>11</v>
      </c>
      <c r="D203" s="10"/>
      <c r="E203" s="10"/>
      <c r="F203" s="10"/>
      <c r="G203" s="10"/>
      <c r="H203" s="10"/>
      <c r="I203" s="10"/>
      <c r="J203" s="10"/>
      <c r="K203" s="10">
        <f>SUM(J204:J205)</f>
        <v>318200</v>
      </c>
      <c r="L203" s="4"/>
      <c r="M203" s="4"/>
      <c r="N203" s="4"/>
    </row>
    <row r="204" ht="15.75" customHeight="1">
      <c r="A204" s="23">
        <v>2026.0</v>
      </c>
      <c r="B204" s="9"/>
      <c r="C204" s="24" t="s">
        <v>109</v>
      </c>
      <c r="D204" s="26">
        <v>18200.0</v>
      </c>
      <c r="E204" s="26">
        <v>18200.0</v>
      </c>
      <c r="F204" s="10"/>
      <c r="G204" s="10"/>
      <c r="H204" s="10"/>
      <c r="I204" s="10"/>
      <c r="J204" s="10">
        <f t="shared" ref="J204:J205" si="38">SUM(E204:I204)</f>
        <v>18200</v>
      </c>
      <c r="K204" s="10"/>
      <c r="L204" s="4"/>
      <c r="M204" s="4"/>
      <c r="N204" s="4"/>
    </row>
    <row r="205" ht="15.75" customHeight="1">
      <c r="A205" s="23">
        <v>2026.0</v>
      </c>
      <c r="B205" s="9"/>
      <c r="C205" s="24" t="s">
        <v>181</v>
      </c>
      <c r="D205" s="26">
        <v>300000.0</v>
      </c>
      <c r="E205" s="26">
        <v>300000.0</v>
      </c>
      <c r="F205" s="10"/>
      <c r="G205" s="10"/>
      <c r="H205" s="10"/>
      <c r="I205" s="10"/>
      <c r="J205" s="10">
        <f t="shared" si="38"/>
        <v>300000</v>
      </c>
      <c r="K205" s="10"/>
      <c r="L205" s="4"/>
      <c r="M205" s="4"/>
      <c r="N205" s="4"/>
    </row>
    <row r="206" ht="15.75" customHeight="1">
      <c r="A206" s="8"/>
      <c r="B206" s="9"/>
      <c r="C206" s="37" t="s">
        <v>182</v>
      </c>
      <c r="D206" s="35">
        <f t="shared" ref="D206:J206" si="39">SUM(D204:D205)</f>
        <v>318200</v>
      </c>
      <c r="E206" s="35">
        <f t="shared" si="39"/>
        <v>318200</v>
      </c>
      <c r="F206" s="35">
        <f t="shared" si="39"/>
        <v>0</v>
      </c>
      <c r="G206" s="35">
        <f t="shared" si="39"/>
        <v>0</v>
      </c>
      <c r="H206" s="35">
        <f t="shared" si="39"/>
        <v>0</v>
      </c>
      <c r="I206" s="35">
        <f t="shared" si="39"/>
        <v>0</v>
      </c>
      <c r="J206" s="35">
        <f t="shared" si="39"/>
        <v>318200</v>
      </c>
      <c r="K206" s="10"/>
      <c r="L206" s="4"/>
      <c r="M206" s="4"/>
      <c r="N206" s="4"/>
    </row>
    <row r="207" ht="15.75" customHeight="1">
      <c r="A207" s="8"/>
      <c r="B207" s="9"/>
      <c r="C207" s="4"/>
      <c r="D207" s="42"/>
      <c r="E207" s="10"/>
      <c r="F207" s="10"/>
      <c r="G207" s="10"/>
      <c r="H207" s="10"/>
      <c r="I207" s="10"/>
      <c r="J207" s="10"/>
      <c r="K207" s="10"/>
      <c r="L207" s="4"/>
      <c r="M207" s="4"/>
      <c r="N207" s="4"/>
    </row>
    <row r="208" ht="15.75" customHeight="1">
      <c r="A208" s="83"/>
      <c r="B208" s="101" t="s">
        <v>183</v>
      </c>
      <c r="C208" s="102" t="s">
        <v>184</v>
      </c>
      <c r="D208" s="30"/>
      <c r="E208" s="30"/>
      <c r="F208" s="30"/>
      <c r="G208" s="30"/>
      <c r="H208" s="30"/>
      <c r="I208" s="30"/>
      <c r="J208" s="30"/>
      <c r="K208" s="30"/>
      <c r="L208" s="31"/>
      <c r="M208" s="31"/>
      <c r="N208" s="31"/>
    </row>
    <row r="209" ht="15.75" customHeight="1">
      <c r="A209" s="86"/>
      <c r="B209" s="87">
        <v>629.0</v>
      </c>
      <c r="C209" s="85" t="s">
        <v>165</v>
      </c>
      <c r="D209" s="30"/>
      <c r="E209" s="30"/>
      <c r="F209" s="30"/>
      <c r="G209" s="30"/>
      <c r="H209" s="30"/>
      <c r="I209" s="30"/>
      <c r="J209" s="30"/>
      <c r="K209" s="10">
        <f>SUM(J210)</f>
        <v>18200</v>
      </c>
      <c r="L209" s="31"/>
      <c r="M209" s="31"/>
      <c r="N209" s="31"/>
    </row>
    <row r="210" ht="15.75" customHeight="1">
      <c r="A210" s="32">
        <v>2026.0</v>
      </c>
      <c r="B210" s="31"/>
      <c r="C210" s="92" t="s">
        <v>167</v>
      </c>
      <c r="D210" s="81">
        <v>18200.0</v>
      </c>
      <c r="E210" s="81">
        <v>18200.0</v>
      </c>
      <c r="F210" s="30"/>
      <c r="G210" s="30"/>
      <c r="H210" s="30"/>
      <c r="I210" s="30"/>
      <c r="J210" s="99">
        <f>SUM(E210:I210)</f>
        <v>18200</v>
      </c>
      <c r="K210" s="30"/>
      <c r="L210" s="31"/>
      <c r="M210" s="31"/>
      <c r="N210" s="31"/>
    </row>
    <row r="211" ht="15.75" customHeight="1">
      <c r="A211" s="28"/>
      <c r="B211" s="31"/>
      <c r="C211" s="103">
        <v>3341.0</v>
      </c>
      <c r="D211" s="100">
        <f t="shared" ref="D211:J211" si="40">SUM(D210)</f>
        <v>18200</v>
      </c>
      <c r="E211" s="100">
        <f t="shared" si="40"/>
        <v>18200</v>
      </c>
      <c r="F211" s="100">
        <f t="shared" si="40"/>
        <v>0</v>
      </c>
      <c r="G211" s="100">
        <f t="shared" si="40"/>
        <v>0</v>
      </c>
      <c r="H211" s="100">
        <f t="shared" si="40"/>
        <v>0</v>
      </c>
      <c r="I211" s="100">
        <f t="shared" si="40"/>
        <v>0</v>
      </c>
      <c r="J211" s="100">
        <f t="shared" si="40"/>
        <v>18200</v>
      </c>
      <c r="K211" s="30"/>
      <c r="L211" s="31"/>
      <c r="M211" s="31"/>
      <c r="N211" s="31"/>
    </row>
    <row r="212" ht="15.75" customHeight="1">
      <c r="A212" s="8"/>
      <c r="B212" s="9"/>
      <c r="C212" s="4"/>
      <c r="D212" s="42"/>
      <c r="E212" s="10"/>
      <c r="F212" s="10"/>
      <c r="G212" s="10"/>
      <c r="H212" s="10"/>
      <c r="I212" s="10"/>
      <c r="J212" s="10"/>
      <c r="K212" s="10"/>
      <c r="L212" s="4"/>
      <c r="M212" s="4"/>
      <c r="N212" s="4"/>
    </row>
    <row r="213" ht="15.75" customHeight="1">
      <c r="A213" s="1"/>
      <c r="B213" s="18">
        <v>3370.0</v>
      </c>
      <c r="C213" s="19" t="s">
        <v>185</v>
      </c>
      <c r="D213" s="42"/>
      <c r="E213" s="10"/>
      <c r="F213" s="10"/>
      <c r="G213" s="10"/>
      <c r="H213" s="10"/>
      <c r="I213" s="10"/>
      <c r="J213" s="10"/>
      <c r="K213" s="10"/>
      <c r="L213" s="4"/>
      <c r="M213" s="4"/>
      <c r="N213" s="4"/>
    </row>
    <row r="214" ht="15.75" customHeight="1">
      <c r="A214" s="8"/>
      <c r="B214" s="18">
        <v>625.0</v>
      </c>
      <c r="C214" s="19" t="s">
        <v>79</v>
      </c>
      <c r="D214" s="75"/>
      <c r="E214" s="75"/>
      <c r="F214" s="10"/>
      <c r="G214" s="10"/>
      <c r="H214" s="26"/>
      <c r="I214" s="10"/>
      <c r="J214" s="10"/>
      <c r="K214" s="10">
        <f>SUM(J215)</f>
        <v>18200</v>
      </c>
      <c r="L214" s="10"/>
      <c r="M214" s="10"/>
      <c r="N214" s="10"/>
    </row>
    <row r="215" ht="15.75" customHeight="1">
      <c r="A215" s="23">
        <v>2026.0</v>
      </c>
      <c r="B215" s="18"/>
      <c r="C215" s="48" t="s">
        <v>186</v>
      </c>
      <c r="D215" s="75">
        <v>18200.0</v>
      </c>
      <c r="E215" s="75">
        <v>18200.0</v>
      </c>
      <c r="F215" s="10"/>
      <c r="G215" s="10"/>
      <c r="H215" s="26"/>
      <c r="I215" s="10"/>
      <c r="J215" s="10">
        <f>SUM(E215:H215)</f>
        <v>18200</v>
      </c>
      <c r="K215" s="10"/>
      <c r="L215" s="10"/>
      <c r="M215" s="10"/>
      <c r="N215" s="10"/>
    </row>
    <row r="216" ht="15.75" customHeight="1">
      <c r="A216" s="43"/>
      <c r="B216" s="37" t="s">
        <v>180</v>
      </c>
      <c r="C216" s="19" t="s">
        <v>11</v>
      </c>
      <c r="D216" s="10"/>
      <c r="E216" s="10"/>
      <c r="F216" s="10"/>
      <c r="G216" s="10"/>
      <c r="H216" s="10"/>
      <c r="I216" s="10"/>
      <c r="J216" s="10"/>
      <c r="K216" s="10">
        <f>SUM(J217)</f>
        <v>1627000</v>
      </c>
      <c r="L216" s="10"/>
      <c r="M216" s="10"/>
      <c r="N216" s="10"/>
    </row>
    <row r="217" ht="15.75" customHeight="1">
      <c r="A217" s="23">
        <v>2026.0</v>
      </c>
      <c r="B217" s="60" t="s">
        <v>188</v>
      </c>
      <c r="C217" s="71" t="s">
        <v>189</v>
      </c>
      <c r="D217" s="113">
        <v>1627000.0</v>
      </c>
      <c r="E217" s="106">
        <v>1220250.0</v>
      </c>
      <c r="F217" s="56"/>
      <c r="G217" s="56"/>
      <c r="H217" s="56">
        <v>406750.0</v>
      </c>
      <c r="I217" s="56"/>
      <c r="J217" s="62">
        <f>SUM(E217:H217)</f>
        <v>1627000</v>
      </c>
      <c r="K217" s="10"/>
      <c r="L217" s="59"/>
      <c r="M217" s="10"/>
      <c r="N217" s="10"/>
    </row>
    <row r="218" ht="15.75" customHeight="1">
      <c r="A218" s="8"/>
      <c r="B218" s="9"/>
      <c r="C218" s="37" t="s">
        <v>190</v>
      </c>
      <c r="D218" s="35">
        <f t="shared" ref="D218:J218" si="41">SUM(D215:D217)</f>
        <v>1645200</v>
      </c>
      <c r="E218" s="35">
        <f t="shared" si="41"/>
        <v>1238450</v>
      </c>
      <c r="F218" s="35">
        <f t="shared" si="41"/>
        <v>0</v>
      </c>
      <c r="G218" s="35">
        <f t="shared" si="41"/>
        <v>0</v>
      </c>
      <c r="H218" s="35">
        <f t="shared" si="41"/>
        <v>406750</v>
      </c>
      <c r="I218" s="35">
        <f t="shared" si="41"/>
        <v>0</v>
      </c>
      <c r="J218" s="35">
        <f t="shared" si="41"/>
        <v>1645200</v>
      </c>
      <c r="K218" s="10"/>
      <c r="L218" s="4"/>
      <c r="M218" s="4"/>
      <c r="N218" s="4"/>
    </row>
    <row r="219" ht="15.75" customHeight="1">
      <c r="A219" s="94"/>
      <c r="B219" s="95"/>
      <c r="C219" s="31"/>
      <c r="D219" s="30"/>
      <c r="E219" s="30"/>
      <c r="F219" s="30"/>
      <c r="G219" s="30"/>
      <c r="H219" s="30"/>
      <c r="I219" s="30"/>
      <c r="J219" s="30"/>
      <c r="K219" s="30"/>
      <c r="L219" s="31"/>
      <c r="M219" s="31"/>
      <c r="N219" s="31"/>
    </row>
    <row r="220" ht="15.75" customHeight="1">
      <c r="A220" s="83"/>
      <c r="B220" s="84" t="s">
        <v>207</v>
      </c>
      <c r="C220" s="85" t="s">
        <v>184</v>
      </c>
      <c r="D220" s="30"/>
      <c r="E220" s="30"/>
      <c r="F220" s="30"/>
      <c r="G220" s="30"/>
      <c r="H220" s="30"/>
      <c r="I220" s="30"/>
      <c r="J220" s="30"/>
      <c r="K220" s="30"/>
      <c r="L220" s="31"/>
      <c r="M220" s="31"/>
      <c r="N220" s="31"/>
    </row>
    <row r="221" ht="15.75" customHeight="1">
      <c r="A221" s="86"/>
      <c r="B221" s="87">
        <v>629.0</v>
      </c>
      <c r="C221" s="85" t="s">
        <v>165</v>
      </c>
      <c r="D221" s="30"/>
      <c r="E221" s="30"/>
      <c r="F221" s="30"/>
      <c r="G221" s="30"/>
      <c r="H221" s="30"/>
      <c r="I221" s="30"/>
      <c r="J221" s="30"/>
      <c r="K221" s="10">
        <f>SUM(J222)</f>
        <v>18200</v>
      </c>
      <c r="L221" s="31"/>
      <c r="M221" s="31"/>
      <c r="N221" s="31"/>
    </row>
    <row r="222" ht="15.75" customHeight="1">
      <c r="A222" s="88">
        <v>2026.0</v>
      </c>
      <c r="B222" s="89"/>
      <c r="C222" s="92" t="s">
        <v>167</v>
      </c>
      <c r="D222" s="81">
        <v>18200.0</v>
      </c>
      <c r="E222" s="81">
        <v>18200.0</v>
      </c>
      <c r="F222" s="30"/>
      <c r="G222" s="30"/>
      <c r="H222" s="30"/>
      <c r="I222" s="30"/>
      <c r="J222" s="99">
        <f>SUM(E222:I222)</f>
        <v>18200</v>
      </c>
      <c r="K222" s="30"/>
      <c r="L222" s="31"/>
      <c r="M222" s="31"/>
      <c r="N222" s="31"/>
    </row>
    <row r="223" ht="15.75" customHeight="1">
      <c r="A223" s="28"/>
      <c r="B223" s="31"/>
      <c r="C223" s="84" t="s">
        <v>207</v>
      </c>
      <c r="D223" s="100">
        <f t="shared" ref="D223:J223" si="42">SUM(D222)</f>
        <v>18200</v>
      </c>
      <c r="E223" s="100">
        <f t="shared" si="42"/>
        <v>18200</v>
      </c>
      <c r="F223" s="100">
        <f t="shared" si="42"/>
        <v>0</v>
      </c>
      <c r="G223" s="100">
        <f t="shared" si="42"/>
        <v>0</v>
      </c>
      <c r="H223" s="100">
        <f t="shared" si="42"/>
        <v>0</v>
      </c>
      <c r="I223" s="100">
        <f t="shared" si="42"/>
        <v>0</v>
      </c>
      <c r="J223" s="100">
        <f t="shared" si="42"/>
        <v>18200</v>
      </c>
      <c r="K223" s="30"/>
      <c r="L223" s="31"/>
      <c r="M223" s="31"/>
      <c r="N223" s="31"/>
    </row>
    <row r="224" ht="15.75" customHeight="1">
      <c r="A224" s="94"/>
      <c r="B224" s="95"/>
      <c r="C224" s="31"/>
      <c r="D224" s="30"/>
      <c r="E224" s="30"/>
      <c r="F224" s="30"/>
      <c r="G224" s="30"/>
      <c r="H224" s="30"/>
      <c r="I224" s="30"/>
      <c r="J224" s="30"/>
      <c r="K224" s="30"/>
      <c r="L224" s="31"/>
      <c r="M224" s="31"/>
      <c r="N224" s="31"/>
    </row>
    <row r="225" ht="15.75" customHeight="1">
      <c r="A225" s="1"/>
      <c r="B225" s="18">
        <v>3373.0</v>
      </c>
      <c r="C225" s="111" t="s">
        <v>191</v>
      </c>
      <c r="D225" s="76"/>
      <c r="E225" s="10"/>
      <c r="F225" s="10"/>
      <c r="G225" s="10"/>
      <c r="H225" s="10"/>
      <c r="I225" s="10"/>
      <c r="J225" s="10"/>
      <c r="K225" s="10"/>
      <c r="L225" s="4"/>
      <c r="M225" s="4"/>
      <c r="N225" s="4"/>
    </row>
    <row r="226" ht="15.75" customHeight="1">
      <c r="A226" s="23"/>
      <c r="B226" s="39">
        <v>632.0</v>
      </c>
      <c r="C226" s="19" t="s">
        <v>11</v>
      </c>
      <c r="D226" s="75"/>
      <c r="E226" s="26"/>
      <c r="F226" s="10"/>
      <c r="G226" s="10"/>
      <c r="H226" s="10"/>
      <c r="I226" s="26"/>
      <c r="J226" s="10"/>
      <c r="K226" s="10">
        <f>SUM(J227:J229)</f>
        <v>115000</v>
      </c>
      <c r="L226" s="4"/>
      <c r="M226" s="4"/>
      <c r="N226" s="4"/>
    </row>
    <row r="227" ht="15.75" customHeight="1">
      <c r="A227" s="23">
        <v>2026.0</v>
      </c>
      <c r="B227" s="9"/>
      <c r="C227" s="109" t="s">
        <v>192</v>
      </c>
      <c r="D227" s="75">
        <v>55000.0</v>
      </c>
      <c r="E227" s="26">
        <v>55000.0</v>
      </c>
      <c r="F227" s="10"/>
      <c r="G227" s="10"/>
      <c r="H227" s="10"/>
      <c r="I227" s="26"/>
      <c r="J227" s="10">
        <f t="shared" ref="J227:J229" si="43">SUM(E227:I227)</f>
        <v>55000</v>
      </c>
      <c r="K227" s="10"/>
      <c r="L227" s="4"/>
      <c r="M227" s="4"/>
      <c r="N227" s="4"/>
    </row>
    <row r="228" ht="15.75" customHeight="1">
      <c r="A228" s="23">
        <v>2026.0</v>
      </c>
      <c r="B228" s="9"/>
      <c r="C228" s="109" t="s">
        <v>214</v>
      </c>
      <c r="D228" s="75">
        <v>0.0</v>
      </c>
      <c r="E228" s="26">
        <v>0.0</v>
      </c>
      <c r="F228" s="10"/>
      <c r="G228" s="10"/>
      <c r="H228" s="10"/>
      <c r="I228" s="26"/>
      <c r="J228" s="10">
        <f t="shared" si="43"/>
        <v>0</v>
      </c>
      <c r="K228" s="10"/>
      <c r="L228" s="4"/>
      <c r="M228" s="4"/>
      <c r="N228" s="4"/>
    </row>
    <row r="229" ht="15.75" customHeight="1">
      <c r="A229" s="23">
        <v>2026.0</v>
      </c>
      <c r="B229" s="39" t="s">
        <v>13</v>
      </c>
      <c r="C229" s="48" t="s">
        <v>216</v>
      </c>
      <c r="D229" s="75">
        <v>60000.0</v>
      </c>
      <c r="E229" s="26">
        <v>60000.0</v>
      </c>
      <c r="F229" s="10"/>
      <c r="G229" s="10"/>
      <c r="H229" s="10"/>
      <c r="I229" s="26"/>
      <c r="J229" s="10">
        <f t="shared" si="43"/>
        <v>60000</v>
      </c>
      <c r="K229" s="10"/>
      <c r="L229" s="4"/>
      <c r="M229" s="4"/>
      <c r="N229" s="4"/>
    </row>
    <row r="230" ht="15.75" customHeight="1">
      <c r="A230" s="8"/>
      <c r="B230" s="9"/>
      <c r="C230" s="37" t="s">
        <v>195</v>
      </c>
      <c r="D230" s="35">
        <f t="shared" ref="D230:J230" si="44">SUM(D226:D229)</f>
        <v>115000</v>
      </c>
      <c r="E230" s="35">
        <f t="shared" si="44"/>
        <v>115000</v>
      </c>
      <c r="F230" s="35">
        <f t="shared" si="44"/>
        <v>0</v>
      </c>
      <c r="G230" s="35">
        <f t="shared" si="44"/>
        <v>0</v>
      </c>
      <c r="H230" s="35">
        <f t="shared" si="44"/>
        <v>0</v>
      </c>
      <c r="I230" s="35">
        <f t="shared" si="44"/>
        <v>0</v>
      </c>
      <c r="J230" s="35">
        <f t="shared" si="44"/>
        <v>115000</v>
      </c>
      <c r="K230" s="10"/>
      <c r="L230" s="4"/>
      <c r="M230" s="4"/>
      <c r="N230" s="4"/>
    </row>
    <row r="231" ht="15.75" customHeight="1">
      <c r="A231" s="94"/>
      <c r="B231" s="95"/>
      <c r="C231" s="31"/>
      <c r="D231" s="30"/>
      <c r="E231" s="30"/>
      <c r="F231" s="30"/>
      <c r="G231" s="30"/>
      <c r="H231" s="30"/>
      <c r="I231" s="30"/>
      <c r="J231" s="30"/>
      <c r="K231" s="30"/>
      <c r="L231" s="31"/>
      <c r="M231" s="31"/>
      <c r="N231" s="31"/>
    </row>
    <row r="232" ht="15.75" customHeight="1">
      <c r="A232" s="83"/>
      <c r="B232" s="101" t="s">
        <v>196</v>
      </c>
      <c r="C232" s="102" t="s">
        <v>197</v>
      </c>
      <c r="D232" s="30"/>
      <c r="E232" s="30"/>
      <c r="F232" s="30"/>
      <c r="G232" s="30"/>
      <c r="H232" s="30"/>
      <c r="I232" s="30"/>
      <c r="J232" s="30"/>
      <c r="K232" s="30"/>
      <c r="L232" s="31"/>
      <c r="M232" s="31"/>
      <c r="N232" s="31"/>
    </row>
    <row r="233" ht="15.75" customHeight="1">
      <c r="A233" s="86"/>
      <c r="B233" s="87">
        <v>629.0</v>
      </c>
      <c r="C233" s="85" t="s">
        <v>165</v>
      </c>
      <c r="D233" s="30"/>
      <c r="E233" s="30"/>
      <c r="F233" s="30"/>
      <c r="G233" s="30"/>
      <c r="H233" s="30"/>
      <c r="I233" s="30"/>
      <c r="J233" s="30"/>
      <c r="K233" s="10">
        <f>SUM(J234)</f>
        <v>18200</v>
      </c>
      <c r="L233" s="31"/>
      <c r="M233" s="31"/>
      <c r="N233" s="31"/>
    </row>
    <row r="234" ht="15.75" customHeight="1">
      <c r="A234" s="88">
        <v>2026.0</v>
      </c>
      <c r="B234" s="89"/>
      <c r="C234" s="90" t="s">
        <v>109</v>
      </c>
      <c r="D234" s="81">
        <v>18200.0</v>
      </c>
      <c r="E234" s="81">
        <v>18200.0</v>
      </c>
      <c r="F234" s="30"/>
      <c r="G234" s="30"/>
      <c r="H234" s="30"/>
      <c r="I234" s="30"/>
      <c r="J234" s="99">
        <f>SUM(E234:I234)</f>
        <v>18200</v>
      </c>
      <c r="K234" s="30"/>
      <c r="L234" s="31"/>
      <c r="M234" s="31"/>
      <c r="N234" s="31"/>
    </row>
    <row r="235" ht="15.75" customHeight="1">
      <c r="A235" s="28"/>
      <c r="B235" s="31"/>
      <c r="C235" s="101" t="s">
        <v>196</v>
      </c>
      <c r="D235" s="100">
        <f t="shared" ref="D235:J235" si="45">SUM(D234)</f>
        <v>18200</v>
      </c>
      <c r="E235" s="100">
        <f t="shared" si="45"/>
        <v>18200</v>
      </c>
      <c r="F235" s="100">
        <f t="shared" si="45"/>
        <v>0</v>
      </c>
      <c r="G235" s="100">
        <f t="shared" si="45"/>
        <v>0</v>
      </c>
      <c r="H235" s="100">
        <f t="shared" si="45"/>
        <v>0</v>
      </c>
      <c r="I235" s="100">
        <f t="shared" si="45"/>
        <v>0</v>
      </c>
      <c r="J235" s="100">
        <f t="shared" si="45"/>
        <v>18200</v>
      </c>
      <c r="K235" s="30"/>
      <c r="L235" s="31"/>
      <c r="M235" s="31"/>
      <c r="N235" s="31"/>
    </row>
    <row r="236" ht="15.75" customHeight="1">
      <c r="A236" s="94"/>
      <c r="B236" s="95"/>
      <c r="C236" s="31"/>
      <c r="D236" s="30"/>
      <c r="E236" s="30"/>
      <c r="F236" s="30"/>
      <c r="G236" s="30"/>
      <c r="H236" s="30"/>
      <c r="I236" s="30"/>
      <c r="J236" s="30"/>
      <c r="K236" s="30"/>
      <c r="L236" s="31"/>
      <c r="M236" s="31"/>
      <c r="N236" s="31"/>
    </row>
    <row r="237" ht="15.75" customHeight="1">
      <c r="A237" s="83"/>
      <c r="B237" s="101" t="s">
        <v>198</v>
      </c>
      <c r="C237" s="102" t="s">
        <v>199</v>
      </c>
      <c r="D237" s="30"/>
      <c r="E237" s="30"/>
      <c r="F237" s="30"/>
      <c r="G237" s="30"/>
      <c r="H237" s="30"/>
      <c r="I237" s="30"/>
      <c r="J237" s="30"/>
      <c r="K237" s="30"/>
      <c r="L237" s="31"/>
      <c r="M237" s="31"/>
      <c r="N237" s="31"/>
    </row>
    <row r="238" ht="15.75" customHeight="1">
      <c r="A238" s="86"/>
      <c r="B238" s="87">
        <v>629.0</v>
      </c>
      <c r="C238" s="85" t="s">
        <v>165</v>
      </c>
      <c r="D238" s="30"/>
      <c r="E238" s="30"/>
      <c r="F238" s="30"/>
      <c r="G238" s="30"/>
      <c r="H238" s="30"/>
      <c r="I238" s="30"/>
      <c r="J238" s="30"/>
      <c r="K238" s="10">
        <f>SUM(J239)</f>
        <v>50000</v>
      </c>
      <c r="L238" s="31"/>
      <c r="M238" s="31"/>
      <c r="N238" s="31"/>
    </row>
    <row r="239" ht="15.75" customHeight="1">
      <c r="A239" s="88">
        <v>2026.0</v>
      </c>
      <c r="B239" s="89"/>
      <c r="C239" s="90" t="s">
        <v>109</v>
      </c>
      <c r="D239" s="81">
        <v>50000.0</v>
      </c>
      <c r="E239" s="81">
        <v>50000.0</v>
      </c>
      <c r="F239" s="30"/>
      <c r="G239" s="30"/>
      <c r="H239" s="30"/>
      <c r="I239" s="30"/>
      <c r="J239" s="99">
        <f>SUM(E239:I239)</f>
        <v>50000</v>
      </c>
      <c r="K239" s="30"/>
      <c r="L239" s="31"/>
      <c r="M239" s="31"/>
      <c r="N239" s="31"/>
    </row>
    <row r="240" ht="15.75" customHeight="1">
      <c r="A240" s="28"/>
      <c r="B240" s="31"/>
      <c r="C240" s="101" t="s">
        <v>198</v>
      </c>
      <c r="D240" s="100">
        <f t="shared" ref="D240:J240" si="46">SUM(D239)</f>
        <v>50000</v>
      </c>
      <c r="E240" s="100">
        <f t="shared" si="46"/>
        <v>50000</v>
      </c>
      <c r="F240" s="100">
        <f t="shared" si="46"/>
        <v>0</v>
      </c>
      <c r="G240" s="100">
        <f t="shared" si="46"/>
        <v>0</v>
      </c>
      <c r="H240" s="100">
        <f t="shared" si="46"/>
        <v>0</v>
      </c>
      <c r="I240" s="100">
        <f t="shared" si="46"/>
        <v>0</v>
      </c>
      <c r="J240" s="100">
        <f t="shared" si="46"/>
        <v>50000</v>
      </c>
      <c r="K240" s="30"/>
      <c r="L240" s="31"/>
      <c r="M240" s="31"/>
      <c r="N240" s="31"/>
    </row>
    <row r="241" ht="15.75" customHeight="1">
      <c r="A241" s="94"/>
      <c r="B241" s="95"/>
      <c r="C241" s="31"/>
      <c r="D241" s="30"/>
      <c r="E241" s="30"/>
      <c r="F241" s="30"/>
      <c r="G241" s="30"/>
      <c r="H241" s="30"/>
      <c r="I241" s="30"/>
      <c r="J241" s="30"/>
      <c r="K241" s="30"/>
      <c r="L241" s="31"/>
      <c r="M241" s="31"/>
      <c r="N241" s="31"/>
    </row>
    <row r="242" ht="15.75" customHeight="1">
      <c r="A242" s="1"/>
      <c r="B242" s="18">
        <v>3380.0</v>
      </c>
      <c r="C242" s="19" t="s">
        <v>200</v>
      </c>
      <c r="D242" s="76"/>
      <c r="E242" s="10"/>
      <c r="F242" s="10"/>
      <c r="G242" s="10"/>
      <c r="H242" s="10"/>
      <c r="I242" s="10"/>
      <c r="J242" s="10"/>
      <c r="K242" s="10"/>
      <c r="L242" s="4"/>
      <c r="M242" s="4"/>
      <c r="N242" s="4"/>
    </row>
    <row r="243" ht="15.75" customHeight="1">
      <c r="A243" s="86"/>
      <c r="B243" s="87">
        <v>623.0</v>
      </c>
      <c r="C243" s="85" t="s">
        <v>94</v>
      </c>
      <c r="D243" s="10"/>
      <c r="E243" s="10"/>
      <c r="F243" s="10"/>
      <c r="G243" s="10"/>
      <c r="H243" s="10"/>
      <c r="I243" s="10"/>
      <c r="J243" s="10"/>
      <c r="K243" s="10">
        <f>SUM(J244:J246)</f>
        <v>148000</v>
      </c>
      <c r="L243" s="4"/>
      <c r="M243" s="4"/>
      <c r="N243" s="4"/>
    </row>
    <row r="244" ht="15.75" customHeight="1">
      <c r="A244" s="23">
        <v>2026.0</v>
      </c>
      <c r="B244" s="9"/>
      <c r="C244" s="24" t="s">
        <v>201</v>
      </c>
      <c r="D244" s="81">
        <v>20000.0</v>
      </c>
      <c r="E244" s="81">
        <v>20000.0</v>
      </c>
      <c r="F244" s="10"/>
      <c r="G244" s="10"/>
      <c r="H244" s="10"/>
      <c r="I244" s="10"/>
      <c r="J244" s="10">
        <f t="shared" ref="J244:J246" si="47">SUM(E244:H244)</f>
        <v>20000</v>
      </c>
      <c r="K244" s="10"/>
      <c r="L244" s="4"/>
      <c r="M244" s="4"/>
      <c r="N244" s="4"/>
    </row>
    <row r="245" ht="15.75" customHeight="1">
      <c r="A245" s="23">
        <v>2026.0</v>
      </c>
      <c r="B245" s="9"/>
      <c r="C245" s="24" t="s">
        <v>226</v>
      </c>
      <c r="D245" s="81">
        <v>8000.0</v>
      </c>
      <c r="E245" s="81">
        <v>8000.0</v>
      </c>
      <c r="F245" s="10"/>
      <c r="G245" s="10"/>
      <c r="H245" s="10"/>
      <c r="I245" s="10"/>
      <c r="J245" s="10">
        <f t="shared" si="47"/>
        <v>8000</v>
      </c>
      <c r="K245" s="10"/>
      <c r="L245" s="4"/>
      <c r="M245" s="4"/>
      <c r="N245" s="4"/>
    </row>
    <row r="246" ht="15.75" customHeight="1">
      <c r="A246" s="23">
        <v>2026.0</v>
      </c>
      <c r="B246" s="9"/>
      <c r="C246" s="24" t="s">
        <v>202</v>
      </c>
      <c r="D246" s="81">
        <v>120000.0</v>
      </c>
      <c r="E246" s="81">
        <v>120000.0</v>
      </c>
      <c r="F246" s="10"/>
      <c r="G246" s="10"/>
      <c r="H246" s="10"/>
      <c r="I246" s="10"/>
      <c r="J246" s="10">
        <f t="shared" si="47"/>
        <v>120000</v>
      </c>
      <c r="K246" s="10"/>
      <c r="L246" s="4"/>
      <c r="M246" s="4"/>
      <c r="N246" s="4"/>
    </row>
    <row r="247" ht="15.75" customHeight="1">
      <c r="A247" s="8"/>
      <c r="B247" s="9"/>
      <c r="C247" s="37" t="s">
        <v>203</v>
      </c>
      <c r="D247" s="35">
        <f t="shared" ref="D247:J247" si="48">SUM(D244:D246)</f>
        <v>148000</v>
      </c>
      <c r="E247" s="35">
        <f t="shared" si="48"/>
        <v>148000</v>
      </c>
      <c r="F247" s="35">
        <f t="shared" si="48"/>
        <v>0</v>
      </c>
      <c r="G247" s="35">
        <f t="shared" si="48"/>
        <v>0</v>
      </c>
      <c r="H247" s="35">
        <f t="shared" si="48"/>
        <v>0</v>
      </c>
      <c r="I247" s="35">
        <f t="shared" si="48"/>
        <v>0</v>
      </c>
      <c r="J247" s="35">
        <f t="shared" si="48"/>
        <v>148000</v>
      </c>
      <c r="K247" s="10"/>
      <c r="L247" s="4"/>
      <c r="M247" s="4"/>
      <c r="N247" s="4"/>
    </row>
    <row r="248" ht="15.75" customHeight="1">
      <c r="A248" s="8"/>
      <c r="B248" s="9"/>
      <c r="C248" s="4"/>
      <c r="D248" s="10"/>
      <c r="E248" s="10"/>
      <c r="F248" s="10"/>
      <c r="G248" s="10"/>
      <c r="H248" s="10"/>
      <c r="I248" s="10"/>
      <c r="J248" s="10"/>
      <c r="K248" s="10"/>
      <c r="L248" s="4"/>
      <c r="M248" s="4"/>
      <c r="N248" s="4"/>
    </row>
    <row r="249" ht="15.75" customHeight="1">
      <c r="A249" s="43"/>
      <c r="B249" s="112" t="s">
        <v>204</v>
      </c>
      <c r="C249" s="114" t="s">
        <v>205</v>
      </c>
      <c r="D249" s="135"/>
      <c r="E249" s="10"/>
      <c r="F249" s="10"/>
      <c r="G249" s="10"/>
      <c r="H249" s="10"/>
      <c r="I249" s="10"/>
      <c r="J249" s="10"/>
      <c r="K249" s="10"/>
      <c r="L249" s="4"/>
      <c r="M249" s="4"/>
      <c r="N249" s="4"/>
    </row>
    <row r="250" ht="15.75" customHeight="1">
      <c r="A250" s="43"/>
      <c r="B250" s="116">
        <v>641.0</v>
      </c>
      <c r="C250" s="117" t="s">
        <v>158</v>
      </c>
      <c r="D250" s="135"/>
      <c r="E250" s="10"/>
      <c r="F250" s="31"/>
      <c r="G250" s="10"/>
      <c r="H250" s="10"/>
      <c r="I250" s="17"/>
      <c r="J250" s="17"/>
      <c r="K250" s="76">
        <f>SUM(J251)</f>
        <v>45000</v>
      </c>
      <c r="L250" s="4"/>
      <c r="M250" s="4"/>
      <c r="N250" s="4"/>
    </row>
    <row r="251" ht="15.75" customHeight="1">
      <c r="A251" s="119" t="s">
        <v>156</v>
      </c>
      <c r="B251" s="120"/>
      <c r="C251" s="121" t="s">
        <v>233</v>
      </c>
      <c r="D251" s="139">
        <v>45000.0</v>
      </c>
      <c r="E251" s="139">
        <v>45000.0</v>
      </c>
      <c r="F251" s="31"/>
      <c r="G251" s="31"/>
      <c r="H251" s="31"/>
      <c r="I251" s="31"/>
      <c r="J251" s="10">
        <f>SUM(E251:H251)</f>
        <v>45000</v>
      </c>
      <c r="K251" s="10"/>
      <c r="L251" s="4"/>
      <c r="M251" s="4"/>
      <c r="N251" s="4"/>
    </row>
    <row r="252" ht="15.75" customHeight="1">
      <c r="A252" s="50"/>
      <c r="B252" s="123"/>
      <c r="C252" s="124" t="s">
        <v>204</v>
      </c>
      <c r="D252" s="35">
        <f t="shared" ref="D252:J252" si="49">SUM(D251)</f>
        <v>45000</v>
      </c>
      <c r="E252" s="35">
        <f t="shared" si="49"/>
        <v>45000</v>
      </c>
      <c r="F252" s="35">
        <f t="shared" si="49"/>
        <v>0</v>
      </c>
      <c r="G252" s="35">
        <f t="shared" si="49"/>
        <v>0</v>
      </c>
      <c r="H252" s="35">
        <f t="shared" si="49"/>
        <v>0</v>
      </c>
      <c r="I252" s="35">
        <f t="shared" si="49"/>
        <v>0</v>
      </c>
      <c r="J252" s="35">
        <f t="shared" si="49"/>
        <v>45000</v>
      </c>
      <c r="K252" s="10"/>
      <c r="L252" s="4"/>
      <c r="M252" s="4"/>
      <c r="N252" s="4"/>
    </row>
    <row r="253" ht="15.75" customHeight="1">
      <c r="A253" s="43"/>
      <c r="B253" s="37"/>
      <c r="C253" s="19"/>
      <c r="D253" s="10"/>
      <c r="E253" s="10"/>
      <c r="F253" s="17"/>
      <c r="G253" s="10"/>
      <c r="H253" s="10"/>
      <c r="I253" s="17"/>
      <c r="J253" s="17"/>
      <c r="K253" s="10"/>
      <c r="L253" s="4"/>
      <c r="M253" s="4"/>
      <c r="N253" s="4"/>
    </row>
    <row r="254" ht="15.75" customHeight="1">
      <c r="A254" s="43"/>
      <c r="B254" s="37" t="s">
        <v>208</v>
      </c>
      <c r="C254" s="19" t="s">
        <v>209</v>
      </c>
      <c r="D254" s="10"/>
      <c r="E254" s="10"/>
      <c r="F254" s="17"/>
      <c r="G254" s="10"/>
      <c r="H254" s="10"/>
      <c r="I254" s="17"/>
      <c r="J254" s="17"/>
      <c r="K254" s="10"/>
      <c r="L254" s="4"/>
      <c r="M254" s="4"/>
      <c r="N254" s="4"/>
    </row>
    <row r="255" ht="15.75" customHeight="1">
      <c r="A255" s="94"/>
      <c r="B255" s="37">
        <v>624.0</v>
      </c>
      <c r="C255" s="19" t="s">
        <v>17</v>
      </c>
      <c r="D255" s="30"/>
      <c r="E255" s="30"/>
      <c r="F255" s="30"/>
      <c r="G255" s="30"/>
      <c r="H255" s="30"/>
      <c r="I255" s="30"/>
      <c r="J255" s="30"/>
      <c r="K255" s="10">
        <f>SUM(J256)</f>
        <v>45000</v>
      </c>
      <c r="L255" s="31"/>
      <c r="M255" s="31"/>
      <c r="N255" s="31"/>
    </row>
    <row r="256" ht="15.75" customHeight="1">
      <c r="A256" s="119" t="s">
        <v>156</v>
      </c>
      <c r="B256" s="95"/>
      <c r="C256" s="4" t="s">
        <v>18</v>
      </c>
      <c r="D256" s="26">
        <v>45000.0</v>
      </c>
      <c r="E256" s="26">
        <v>45000.0</v>
      </c>
      <c r="F256" s="30"/>
      <c r="G256" s="30"/>
      <c r="H256" s="30"/>
      <c r="I256" s="30"/>
      <c r="J256" s="10">
        <f>SUM(E256:H256)</f>
        <v>45000</v>
      </c>
      <c r="K256" s="30"/>
      <c r="L256" s="31"/>
      <c r="M256" s="31"/>
      <c r="N256" s="31"/>
    </row>
    <row r="257" ht="15.75" customHeight="1">
      <c r="A257" s="83"/>
      <c r="B257" s="84" t="s">
        <v>180</v>
      </c>
      <c r="C257" s="85" t="s">
        <v>11</v>
      </c>
      <c r="D257" s="10"/>
      <c r="E257" s="10"/>
      <c r="F257" s="17"/>
      <c r="G257" s="10"/>
      <c r="H257" s="10"/>
      <c r="I257" s="17"/>
      <c r="J257" s="17"/>
      <c r="K257" s="10">
        <f>SUM(J258:J263)</f>
        <v>438200</v>
      </c>
      <c r="L257" s="4"/>
      <c r="M257" s="4"/>
      <c r="N257" s="4"/>
    </row>
    <row r="258" ht="15.75" customHeight="1">
      <c r="A258" s="78" t="s">
        <v>156</v>
      </c>
      <c r="B258" s="61"/>
      <c r="C258" s="125" t="s">
        <v>210</v>
      </c>
      <c r="D258" s="140">
        <v>18200.0</v>
      </c>
      <c r="E258" s="140">
        <v>18200.0</v>
      </c>
      <c r="F258" s="17"/>
      <c r="G258" s="10"/>
      <c r="H258" s="10"/>
      <c r="I258" s="65"/>
      <c r="J258" s="10">
        <f>SUM(E258:H258)</f>
        <v>18200</v>
      </c>
      <c r="K258" s="10"/>
      <c r="L258" s="4"/>
      <c r="M258" s="4"/>
      <c r="N258" s="4"/>
    </row>
    <row r="259" ht="15.75" customHeight="1">
      <c r="A259" s="23">
        <v>2026.0</v>
      </c>
      <c r="B259" s="39"/>
      <c r="C259" s="48" t="s">
        <v>212</v>
      </c>
      <c r="D259" s="75">
        <v>50000.0</v>
      </c>
      <c r="E259" s="26">
        <v>50000.0</v>
      </c>
      <c r="F259" s="10"/>
      <c r="G259" s="10"/>
      <c r="H259" s="10"/>
      <c r="I259" s="26"/>
      <c r="J259" s="10">
        <f>SUM(E259:I259)</f>
        <v>50000</v>
      </c>
      <c r="K259" s="10"/>
      <c r="L259" s="4"/>
      <c r="M259" s="4"/>
      <c r="N259" s="4"/>
    </row>
    <row r="260" ht="15.75" customHeight="1">
      <c r="A260" s="142" t="s">
        <v>156</v>
      </c>
      <c r="B260" s="144"/>
      <c r="C260" s="145" t="s">
        <v>244</v>
      </c>
      <c r="D260" s="146">
        <v>65000.0</v>
      </c>
      <c r="E260" s="146">
        <v>65000.0</v>
      </c>
      <c r="F260" s="147"/>
      <c r="G260" s="146"/>
      <c r="H260" s="146"/>
      <c r="I260" s="146"/>
      <c r="J260" s="146">
        <f t="shared" ref="J260:J263" si="50">SUM(E260:H260)</f>
        <v>65000</v>
      </c>
      <c r="K260" s="146"/>
      <c r="L260" s="148"/>
      <c r="M260" s="148"/>
      <c r="N260" s="148"/>
    </row>
    <row r="261" ht="15.75" customHeight="1">
      <c r="A261" s="78" t="s">
        <v>156</v>
      </c>
      <c r="B261" s="61"/>
      <c r="C261" s="24" t="s">
        <v>213</v>
      </c>
      <c r="D261" s="26">
        <v>50000.0</v>
      </c>
      <c r="E261" s="26">
        <v>50000.0</v>
      </c>
      <c r="F261" s="17"/>
      <c r="G261" s="10"/>
      <c r="H261" s="10"/>
      <c r="I261" s="65"/>
      <c r="J261" s="10">
        <f t="shared" si="50"/>
        <v>50000</v>
      </c>
      <c r="K261" s="10"/>
      <c r="L261" s="4"/>
      <c r="M261" s="4"/>
      <c r="N261" s="4"/>
    </row>
    <row r="262" ht="15.75" customHeight="1">
      <c r="A262" s="78" t="s">
        <v>156</v>
      </c>
      <c r="B262" s="61"/>
      <c r="C262" s="125" t="s">
        <v>215</v>
      </c>
      <c r="D262" s="140">
        <v>20000.0</v>
      </c>
      <c r="E262" s="140">
        <v>20000.0</v>
      </c>
      <c r="F262" s="17"/>
      <c r="G262" s="10"/>
      <c r="H262" s="10"/>
      <c r="I262" s="65"/>
      <c r="J262" s="10">
        <f t="shared" si="50"/>
        <v>20000</v>
      </c>
      <c r="K262" s="10"/>
      <c r="L262" s="4"/>
      <c r="M262" s="4"/>
      <c r="N262" s="4"/>
    </row>
    <row r="263" ht="15.75" customHeight="1">
      <c r="A263" s="78" t="s">
        <v>156</v>
      </c>
      <c r="B263" s="61"/>
      <c r="C263" s="24" t="s">
        <v>247</v>
      </c>
      <c r="D263" s="140">
        <v>235000.0</v>
      </c>
      <c r="E263" s="140">
        <v>235000.0</v>
      </c>
      <c r="F263" s="17"/>
      <c r="G263" s="10"/>
      <c r="H263" s="10"/>
      <c r="I263" s="65"/>
      <c r="J263" s="10">
        <f t="shared" si="50"/>
        <v>235000</v>
      </c>
      <c r="K263" s="10"/>
      <c r="L263" s="4"/>
      <c r="M263" s="4"/>
      <c r="N263" s="4"/>
    </row>
    <row r="264" ht="15.75" customHeight="1">
      <c r="A264" s="50"/>
      <c r="B264" s="61"/>
      <c r="C264" s="63">
        <v>3420.0</v>
      </c>
      <c r="D264" s="35">
        <f t="shared" ref="D264:J264" si="51">SUM(D256:D263)</f>
        <v>483200</v>
      </c>
      <c r="E264" s="35">
        <f t="shared" si="51"/>
        <v>483200</v>
      </c>
      <c r="F264" s="35">
        <f t="shared" si="51"/>
        <v>0</v>
      </c>
      <c r="G264" s="35">
        <f t="shared" si="51"/>
        <v>0</v>
      </c>
      <c r="H264" s="35">
        <f t="shared" si="51"/>
        <v>0</v>
      </c>
      <c r="I264" s="35">
        <f t="shared" si="51"/>
        <v>0</v>
      </c>
      <c r="J264" s="35">
        <f t="shared" si="51"/>
        <v>483200</v>
      </c>
      <c r="K264" s="10"/>
      <c r="L264" s="4"/>
      <c r="M264" s="4"/>
      <c r="N264" s="4"/>
    </row>
    <row r="265" ht="15.75" customHeight="1">
      <c r="A265" s="1"/>
      <c r="B265" s="18"/>
      <c r="C265" s="19"/>
      <c r="D265" s="10"/>
      <c r="E265" s="10"/>
      <c r="F265" s="10"/>
      <c r="G265" s="10"/>
      <c r="H265" s="10"/>
      <c r="I265" s="10"/>
      <c r="J265" s="10"/>
      <c r="K265" s="10"/>
      <c r="L265" s="4"/>
      <c r="M265" s="4"/>
      <c r="N265" s="4"/>
    </row>
    <row r="266" ht="15.75" customHeight="1">
      <c r="A266" s="1"/>
      <c r="B266" s="18">
        <v>4320.0</v>
      </c>
      <c r="C266" s="19" t="s">
        <v>218</v>
      </c>
      <c r="D266" s="10"/>
      <c r="E266" s="10"/>
      <c r="F266" s="10"/>
      <c r="G266" s="10"/>
      <c r="H266" s="10"/>
      <c r="I266" s="10"/>
      <c r="J266" s="10"/>
      <c r="K266" s="10"/>
      <c r="L266" s="4"/>
      <c r="M266" s="4"/>
      <c r="N266" s="4"/>
    </row>
    <row r="267" ht="15.75" customHeight="1">
      <c r="A267" s="43"/>
      <c r="B267" s="37">
        <v>619.0</v>
      </c>
      <c r="C267" s="21" t="s">
        <v>20</v>
      </c>
      <c r="D267" s="30"/>
      <c r="E267" s="30"/>
      <c r="F267" s="30"/>
      <c r="G267" s="30"/>
      <c r="H267" s="30"/>
      <c r="I267" s="30"/>
      <c r="J267" s="30"/>
      <c r="K267" s="76">
        <f>SUM(J268:J269)</f>
        <v>200000</v>
      </c>
      <c r="L267" s="30"/>
      <c r="M267" s="30"/>
      <c r="N267" s="30"/>
    </row>
    <row r="268" ht="15.75" customHeight="1">
      <c r="A268" s="119" t="s">
        <v>156</v>
      </c>
      <c r="B268" s="120"/>
      <c r="C268" s="128" t="s">
        <v>219</v>
      </c>
      <c r="D268" s="26">
        <v>200000.0</v>
      </c>
      <c r="E268" s="26">
        <v>200000.0</v>
      </c>
      <c r="F268" s="30"/>
      <c r="G268" s="30"/>
      <c r="H268" s="26"/>
      <c r="I268" s="10"/>
      <c r="J268" s="10">
        <f t="shared" ref="J268:J269" si="52">SUM(E268:H268)</f>
        <v>200000</v>
      </c>
      <c r="K268" s="10"/>
      <c r="L268" s="10"/>
      <c r="M268" s="10"/>
      <c r="N268" s="10"/>
    </row>
    <row r="269" ht="15.75" customHeight="1">
      <c r="A269" s="119" t="s">
        <v>13</v>
      </c>
      <c r="B269" s="129" t="s">
        <v>253</v>
      </c>
      <c r="C269" s="151" t="s">
        <v>254</v>
      </c>
      <c r="D269" s="58">
        <v>0.0</v>
      </c>
      <c r="E269" s="58">
        <v>0.0</v>
      </c>
      <c r="F269" s="152"/>
      <c r="G269" s="152"/>
      <c r="H269" s="58"/>
      <c r="I269" s="62"/>
      <c r="J269" s="62">
        <f t="shared" si="52"/>
        <v>0</v>
      </c>
      <c r="K269" s="10"/>
      <c r="L269" s="10"/>
      <c r="M269" s="10"/>
      <c r="N269" s="10"/>
    </row>
    <row r="270" ht="15.75" customHeight="1">
      <c r="A270" s="43"/>
      <c r="B270" s="37">
        <v>622.0</v>
      </c>
      <c r="C270" s="21" t="s">
        <v>11</v>
      </c>
      <c r="D270" s="30"/>
      <c r="E270" s="30"/>
      <c r="F270" s="30"/>
      <c r="G270" s="30"/>
      <c r="H270" s="30"/>
      <c r="I270" s="30"/>
      <c r="J270" s="30"/>
      <c r="K270" s="76">
        <f>SUM(J271)</f>
        <v>370000</v>
      </c>
      <c r="L270" s="30"/>
      <c r="M270" s="30"/>
      <c r="N270" s="30"/>
    </row>
    <row r="271" ht="15.75" customHeight="1">
      <c r="A271" s="119" t="s">
        <v>156</v>
      </c>
      <c r="B271" s="129" t="s">
        <v>220</v>
      </c>
      <c r="C271" s="130" t="s">
        <v>255</v>
      </c>
      <c r="D271" s="58">
        <v>370000.0</v>
      </c>
      <c r="E271" s="58">
        <v>370000.0</v>
      </c>
      <c r="F271" s="152"/>
      <c r="G271" s="152"/>
      <c r="H271" s="62"/>
      <c r="I271" s="62"/>
      <c r="J271" s="62">
        <f>SUM(E271:H271)</f>
        <v>370000</v>
      </c>
      <c r="K271" s="10"/>
      <c r="L271" s="10"/>
      <c r="M271" s="10"/>
      <c r="N271" s="10"/>
    </row>
    <row r="272" ht="15.75" customHeight="1">
      <c r="A272" s="1"/>
      <c r="B272" s="18">
        <v>625.0</v>
      </c>
      <c r="C272" s="19" t="s">
        <v>79</v>
      </c>
      <c r="D272" s="17"/>
      <c r="E272" s="17"/>
      <c r="F272" s="10"/>
      <c r="G272" s="10"/>
      <c r="H272" s="10"/>
      <c r="I272" s="17"/>
      <c r="J272" s="65"/>
      <c r="K272" s="76">
        <f>SUM(J273)</f>
        <v>150000</v>
      </c>
      <c r="L272" s="4"/>
      <c r="M272" s="4"/>
      <c r="N272" s="4"/>
    </row>
    <row r="273" ht="15.75" customHeight="1">
      <c r="A273" s="23">
        <v>2026.0</v>
      </c>
      <c r="B273" s="9"/>
      <c r="C273" s="24" t="s">
        <v>222</v>
      </c>
      <c r="D273" s="26">
        <v>150000.0</v>
      </c>
      <c r="E273" s="26">
        <v>150000.0</v>
      </c>
      <c r="F273" s="10"/>
      <c r="G273" s="10"/>
      <c r="H273" s="10"/>
      <c r="I273" s="10"/>
      <c r="J273" s="10">
        <f>SUM(E273:H273)</f>
        <v>150000</v>
      </c>
      <c r="K273" s="10"/>
      <c r="L273" s="4"/>
      <c r="M273" s="4"/>
      <c r="N273" s="4"/>
    </row>
    <row r="274" ht="15.75" customHeight="1">
      <c r="A274" s="83"/>
      <c r="B274" s="84" t="s">
        <v>180</v>
      </c>
      <c r="C274" s="85" t="s">
        <v>11</v>
      </c>
      <c r="D274" s="10"/>
      <c r="E274" s="10"/>
      <c r="F274" s="17"/>
      <c r="G274" s="10"/>
      <c r="H274" s="10"/>
      <c r="I274" s="17"/>
      <c r="J274" s="17"/>
      <c r="K274" s="10">
        <f>SUM(J275:J276)</f>
        <v>260000</v>
      </c>
      <c r="L274" s="4"/>
      <c r="M274" s="4"/>
      <c r="N274" s="4"/>
    </row>
    <row r="275" ht="15.75" customHeight="1">
      <c r="A275" s="132" t="s">
        <v>156</v>
      </c>
      <c r="B275" s="101" t="s">
        <v>13</v>
      </c>
      <c r="C275" s="133" t="s">
        <v>223</v>
      </c>
      <c r="D275" s="26">
        <v>100000.0</v>
      </c>
      <c r="E275" s="26">
        <v>100000.0</v>
      </c>
      <c r="F275" s="17"/>
      <c r="G275" s="10"/>
      <c r="H275" s="10"/>
      <c r="I275" s="17"/>
      <c r="J275" s="10">
        <f t="shared" ref="J275:J276" si="53">SUM(E275:H275)</f>
        <v>100000</v>
      </c>
      <c r="K275" s="10"/>
      <c r="L275" s="4"/>
      <c r="M275" s="4"/>
      <c r="N275" s="4"/>
    </row>
    <row r="276" ht="15.75" customHeight="1">
      <c r="A276" s="132" t="s">
        <v>156</v>
      </c>
      <c r="B276" s="101" t="s">
        <v>13</v>
      </c>
      <c r="C276" s="133" t="s">
        <v>224</v>
      </c>
      <c r="D276" s="26">
        <v>160000.0</v>
      </c>
      <c r="E276" s="26">
        <v>160000.0</v>
      </c>
      <c r="F276" s="17"/>
      <c r="G276" s="10"/>
      <c r="H276" s="10"/>
      <c r="I276" s="17"/>
      <c r="J276" s="10">
        <f t="shared" si="53"/>
        <v>160000</v>
      </c>
      <c r="K276" s="10"/>
      <c r="L276" s="4"/>
      <c r="M276" s="4"/>
      <c r="N276" s="4"/>
    </row>
    <row r="277" ht="15.75" customHeight="1">
      <c r="A277" s="1"/>
      <c r="B277" s="39">
        <v>633.0</v>
      </c>
      <c r="C277" s="40" t="s">
        <v>94</v>
      </c>
      <c r="D277" s="17"/>
      <c r="E277" s="17"/>
      <c r="F277" s="10"/>
      <c r="G277" s="10"/>
      <c r="H277" s="10"/>
      <c r="I277" s="17"/>
      <c r="J277" s="65"/>
      <c r="K277" s="76">
        <f>SUM(J278:J279)</f>
        <v>31000</v>
      </c>
      <c r="L277" s="4"/>
      <c r="M277" s="4"/>
      <c r="N277" s="4"/>
    </row>
    <row r="278" ht="15.75" customHeight="1">
      <c r="A278" s="23">
        <v>2026.0</v>
      </c>
      <c r="B278" s="9"/>
      <c r="C278" s="24" t="s">
        <v>225</v>
      </c>
      <c r="D278" s="26">
        <v>25000.0</v>
      </c>
      <c r="E278" s="26">
        <v>25000.0</v>
      </c>
      <c r="F278" s="10"/>
      <c r="G278" s="10"/>
      <c r="H278" s="10"/>
      <c r="I278" s="10"/>
      <c r="J278" s="10">
        <f t="shared" ref="J278:J279" si="54">SUM(E278:H278)</f>
        <v>25000</v>
      </c>
      <c r="K278" s="10"/>
      <c r="L278" s="4"/>
      <c r="M278" s="4"/>
      <c r="N278" s="4"/>
    </row>
    <row r="279" ht="15.75" customHeight="1">
      <c r="A279" s="23">
        <v>2026.0</v>
      </c>
      <c r="B279" s="9"/>
      <c r="C279" s="24" t="s">
        <v>227</v>
      </c>
      <c r="D279" s="26">
        <v>6000.0</v>
      </c>
      <c r="E279" s="26">
        <v>6000.0</v>
      </c>
      <c r="F279" s="10"/>
      <c r="G279" s="10"/>
      <c r="H279" s="10"/>
      <c r="I279" s="10"/>
      <c r="J279" s="10">
        <f t="shared" si="54"/>
        <v>6000</v>
      </c>
      <c r="K279" s="10"/>
      <c r="L279" s="4"/>
      <c r="M279" s="4"/>
      <c r="N279" s="4"/>
    </row>
    <row r="280" ht="15.75" customHeight="1">
      <c r="A280" s="83"/>
      <c r="B280" s="101" t="s">
        <v>228</v>
      </c>
      <c r="C280" s="85" t="s">
        <v>11</v>
      </c>
      <c r="D280" s="10"/>
      <c r="E280" s="10"/>
      <c r="F280" s="17"/>
      <c r="G280" s="10"/>
      <c r="H280" s="10"/>
      <c r="I280" s="17"/>
      <c r="J280" s="17"/>
      <c r="K280" s="10">
        <f>SUM(J281)</f>
        <v>100000</v>
      </c>
      <c r="L280" s="4"/>
      <c r="M280" s="4"/>
      <c r="N280" s="4"/>
    </row>
    <row r="281" ht="15.75" customHeight="1">
      <c r="A281" s="23">
        <v>2026.0</v>
      </c>
      <c r="B281" s="27" t="s">
        <v>13</v>
      </c>
      <c r="C281" s="24" t="s">
        <v>229</v>
      </c>
      <c r="D281" s="26">
        <v>100000.0</v>
      </c>
      <c r="E281" s="26">
        <v>100000.0</v>
      </c>
      <c r="F281" s="10"/>
      <c r="G281" s="10"/>
      <c r="H281" s="10"/>
      <c r="I281" s="10"/>
      <c r="J281" s="10">
        <f>SUM(E281:H281)</f>
        <v>100000</v>
      </c>
      <c r="K281" s="10"/>
      <c r="L281" s="4"/>
      <c r="M281" s="4"/>
      <c r="N281" s="4"/>
    </row>
    <row r="282" ht="15.75" customHeight="1">
      <c r="A282" s="94"/>
      <c r="B282" s="120"/>
      <c r="C282" s="134" t="s">
        <v>230</v>
      </c>
      <c r="D282" s="155">
        <f t="shared" ref="D282:J282" si="55">SUM(D268:D281)</f>
        <v>1111000</v>
      </c>
      <c r="E282" s="155">
        <f t="shared" si="55"/>
        <v>1111000</v>
      </c>
      <c r="F282" s="155">
        <f t="shared" si="55"/>
        <v>0</v>
      </c>
      <c r="G282" s="155">
        <f t="shared" si="55"/>
        <v>0</v>
      </c>
      <c r="H282" s="155">
        <f t="shared" si="55"/>
        <v>0</v>
      </c>
      <c r="I282" s="155">
        <f t="shared" si="55"/>
        <v>0</v>
      </c>
      <c r="J282" s="155">
        <f t="shared" si="55"/>
        <v>1111000</v>
      </c>
      <c r="K282" s="76"/>
      <c r="L282" s="30"/>
      <c r="M282" s="30"/>
      <c r="N282" s="30"/>
    </row>
    <row r="283" ht="15.75" customHeight="1">
      <c r="A283" s="8"/>
      <c r="B283" s="9"/>
      <c r="C283" s="4"/>
      <c r="D283" s="42"/>
      <c r="E283" s="10"/>
      <c r="F283" s="10"/>
      <c r="G283" s="10"/>
      <c r="H283" s="10"/>
      <c r="I283" s="10"/>
      <c r="J283" s="10"/>
      <c r="K283" s="10"/>
      <c r="L283" s="4"/>
      <c r="M283" s="4"/>
      <c r="N283" s="4"/>
    </row>
    <row r="284" ht="15.75" customHeight="1">
      <c r="A284" s="1"/>
      <c r="B284" s="18">
        <v>4330.0</v>
      </c>
      <c r="C284" s="19" t="s">
        <v>231</v>
      </c>
      <c r="D284" s="42"/>
      <c r="E284" s="10"/>
      <c r="F284" s="10"/>
      <c r="G284" s="10"/>
      <c r="H284" s="10"/>
      <c r="I284" s="10"/>
      <c r="J284" s="10"/>
      <c r="K284" s="10"/>
      <c r="L284" s="4"/>
      <c r="M284" s="4"/>
      <c r="N284" s="4"/>
    </row>
    <row r="285" ht="15.75" customHeight="1">
      <c r="A285" s="43"/>
      <c r="B285" s="137" t="s">
        <v>232</v>
      </c>
      <c r="C285" s="117" t="s">
        <v>152</v>
      </c>
      <c r="D285" s="135"/>
      <c r="E285" s="10"/>
      <c r="F285" s="10"/>
      <c r="G285" s="10"/>
      <c r="H285" s="10"/>
      <c r="I285" s="10"/>
      <c r="J285" s="10"/>
      <c r="K285" s="76">
        <f>SUM(J286:J287)</f>
        <v>300000</v>
      </c>
      <c r="L285" s="4"/>
      <c r="M285" s="4"/>
      <c r="N285" s="4"/>
    </row>
    <row r="286" ht="15.75" customHeight="1">
      <c r="A286" s="119" t="s">
        <v>156</v>
      </c>
      <c r="B286" s="120"/>
      <c r="C286" s="138" t="s">
        <v>234</v>
      </c>
      <c r="D286" s="65">
        <v>200000.0</v>
      </c>
      <c r="E286" s="65">
        <v>200000.0</v>
      </c>
      <c r="F286" s="10"/>
      <c r="G286" s="10"/>
      <c r="H286" s="10"/>
      <c r="I286" s="10"/>
      <c r="J286" s="10">
        <f t="shared" ref="J286:J287" si="56">SUM(E286:H286)</f>
        <v>200000</v>
      </c>
      <c r="K286" s="10"/>
      <c r="L286" s="4"/>
      <c r="M286" s="4"/>
      <c r="N286" s="4"/>
    </row>
    <row r="287" ht="15.75" customHeight="1">
      <c r="A287" s="78" t="s">
        <v>156</v>
      </c>
      <c r="B287" s="123"/>
      <c r="C287" s="138" t="s">
        <v>235</v>
      </c>
      <c r="D287" s="65">
        <v>100000.0</v>
      </c>
      <c r="E287" s="65">
        <v>100000.0</v>
      </c>
      <c r="F287" s="10"/>
      <c r="G287" s="10"/>
      <c r="H287" s="10"/>
      <c r="I287" s="10"/>
      <c r="J287" s="10">
        <f t="shared" si="56"/>
        <v>100000</v>
      </c>
      <c r="K287" s="10"/>
      <c r="L287" s="4"/>
      <c r="M287" s="4"/>
      <c r="N287" s="4"/>
    </row>
    <row r="288" ht="15.75" customHeight="1">
      <c r="A288" s="78"/>
      <c r="B288" s="112" t="s">
        <v>236</v>
      </c>
      <c r="C288" s="114" t="s">
        <v>11</v>
      </c>
      <c r="D288" s="65"/>
      <c r="E288" s="65"/>
      <c r="F288" s="10"/>
      <c r="G288" s="10"/>
      <c r="H288" s="10"/>
      <c r="I288" s="10"/>
      <c r="J288" s="10"/>
      <c r="K288" s="10">
        <f>SUM(J289)</f>
        <v>40000</v>
      </c>
      <c r="L288" s="4"/>
      <c r="M288" s="4"/>
      <c r="N288" s="4"/>
    </row>
    <row r="289" ht="15.75" customHeight="1">
      <c r="A289" s="23">
        <v>2026.0</v>
      </c>
      <c r="B289" s="9"/>
      <c r="C289" s="24" t="s">
        <v>237</v>
      </c>
      <c r="D289" s="26">
        <v>40000.0</v>
      </c>
      <c r="E289" s="26">
        <v>40000.0</v>
      </c>
      <c r="F289" s="10"/>
      <c r="G289" s="10"/>
      <c r="H289" s="10"/>
      <c r="I289" s="10"/>
      <c r="J289" s="10">
        <f>SUM(E289:H289)</f>
        <v>40000</v>
      </c>
      <c r="K289" s="10"/>
      <c r="L289" s="4"/>
      <c r="M289" s="4"/>
      <c r="N289" s="4"/>
    </row>
    <row r="290" ht="15.75" customHeight="1">
      <c r="A290" s="23"/>
      <c r="B290" s="18">
        <v>625.0</v>
      </c>
      <c r="C290" s="19" t="s">
        <v>79</v>
      </c>
      <c r="D290" s="26"/>
      <c r="E290" s="26"/>
      <c r="F290" s="10"/>
      <c r="G290" s="10"/>
      <c r="H290" s="10"/>
      <c r="I290" s="10"/>
      <c r="J290" s="10"/>
      <c r="K290" s="76">
        <f>SUM(J291)</f>
        <v>20000</v>
      </c>
      <c r="L290" s="4"/>
      <c r="M290" s="4"/>
      <c r="N290" s="4"/>
    </row>
    <row r="291" ht="15.75" customHeight="1">
      <c r="A291" s="23">
        <v>2026.0</v>
      </c>
      <c r="B291" s="9"/>
      <c r="C291" s="24" t="s">
        <v>238</v>
      </c>
      <c r="D291" s="26">
        <v>20000.0</v>
      </c>
      <c r="E291" s="26">
        <v>20000.0</v>
      </c>
      <c r="F291" s="10"/>
      <c r="G291" s="10"/>
      <c r="H291" s="10"/>
      <c r="I291" s="10"/>
      <c r="J291" s="10">
        <f>SUM(E291:H291)</f>
        <v>20000</v>
      </c>
      <c r="K291" s="10"/>
      <c r="L291" s="4"/>
      <c r="M291" s="4"/>
      <c r="N291" s="4"/>
    </row>
    <row r="292" ht="15.75" customHeight="1">
      <c r="A292" s="8"/>
      <c r="B292" s="9"/>
      <c r="C292" s="37" t="s">
        <v>239</v>
      </c>
      <c r="D292" s="35">
        <f t="shared" ref="D292:J292" si="57">SUM(D286:D291)</f>
        <v>360000</v>
      </c>
      <c r="E292" s="35">
        <f t="shared" si="57"/>
        <v>360000</v>
      </c>
      <c r="F292" s="35">
        <f t="shared" si="57"/>
        <v>0</v>
      </c>
      <c r="G292" s="35">
        <f t="shared" si="57"/>
        <v>0</v>
      </c>
      <c r="H292" s="35">
        <f t="shared" si="57"/>
        <v>0</v>
      </c>
      <c r="I292" s="35">
        <f t="shared" si="57"/>
        <v>0</v>
      </c>
      <c r="J292" s="35">
        <f t="shared" si="57"/>
        <v>360000</v>
      </c>
      <c r="K292" s="10"/>
      <c r="L292" s="4"/>
      <c r="M292" s="4"/>
      <c r="N292" s="4"/>
    </row>
    <row r="293" ht="15.75" customHeight="1">
      <c r="A293" s="8"/>
      <c r="B293" s="4"/>
      <c r="C293" s="4"/>
      <c r="D293" s="10"/>
      <c r="E293" s="10"/>
      <c r="F293" s="10"/>
      <c r="G293" s="10"/>
      <c r="H293" s="10"/>
      <c r="I293" s="10"/>
      <c r="J293" s="10"/>
      <c r="K293" s="10"/>
      <c r="L293" s="4"/>
      <c r="M293" s="4"/>
      <c r="N293" s="4"/>
    </row>
    <row r="294" ht="15.75" customHeight="1">
      <c r="A294" s="43"/>
      <c r="B294" s="137" t="s">
        <v>240</v>
      </c>
      <c r="C294" s="117" t="s">
        <v>241</v>
      </c>
      <c r="D294" s="135"/>
      <c r="E294" s="10"/>
      <c r="F294" s="10"/>
      <c r="G294" s="10"/>
      <c r="H294" s="10"/>
      <c r="I294" s="10"/>
      <c r="J294" s="10"/>
      <c r="K294" s="10"/>
      <c r="L294" s="4"/>
      <c r="M294" s="4"/>
      <c r="N294" s="4"/>
    </row>
    <row r="295" ht="15.75" customHeight="1">
      <c r="A295" s="43"/>
      <c r="B295" s="137" t="s">
        <v>242</v>
      </c>
      <c r="C295" s="117" t="s">
        <v>33</v>
      </c>
      <c r="D295" s="135"/>
      <c r="E295" s="10"/>
      <c r="F295" s="31"/>
      <c r="G295" s="10"/>
      <c r="H295" s="10"/>
      <c r="I295" s="17"/>
      <c r="J295" s="17"/>
      <c r="K295" s="76">
        <f>SUM(J296)</f>
        <v>30000</v>
      </c>
      <c r="L295" s="4"/>
      <c r="M295" s="4"/>
      <c r="N295" s="4"/>
    </row>
    <row r="296" ht="15.75" customHeight="1">
      <c r="A296" s="119" t="s">
        <v>156</v>
      </c>
      <c r="B296" s="120"/>
      <c r="C296" s="141" t="s">
        <v>243</v>
      </c>
      <c r="D296" s="139">
        <v>30000.0</v>
      </c>
      <c r="E296" s="139">
        <v>30000.0</v>
      </c>
      <c r="F296" s="31"/>
      <c r="G296" s="31"/>
      <c r="H296" s="31"/>
      <c r="I296" s="31"/>
      <c r="J296" s="10">
        <f>SUM(E296:H296)</f>
        <v>30000</v>
      </c>
      <c r="K296" s="10"/>
      <c r="L296" s="4"/>
      <c r="M296" s="4"/>
      <c r="N296" s="4"/>
    </row>
    <row r="297" ht="15.75" customHeight="1">
      <c r="A297" s="50"/>
      <c r="B297" s="123"/>
      <c r="C297" s="143" t="s">
        <v>240</v>
      </c>
      <c r="D297" s="35">
        <f t="shared" ref="D297:J297" si="58">SUM(D296)</f>
        <v>30000</v>
      </c>
      <c r="E297" s="35">
        <f t="shared" si="58"/>
        <v>30000</v>
      </c>
      <c r="F297" s="35">
        <f t="shared" si="58"/>
        <v>0</v>
      </c>
      <c r="G297" s="35">
        <f t="shared" si="58"/>
        <v>0</v>
      </c>
      <c r="H297" s="35">
        <f t="shared" si="58"/>
        <v>0</v>
      </c>
      <c r="I297" s="35">
        <f t="shared" si="58"/>
        <v>0</v>
      </c>
      <c r="J297" s="35">
        <f t="shared" si="58"/>
        <v>30000</v>
      </c>
      <c r="K297" s="10"/>
      <c r="L297" s="4"/>
      <c r="M297" s="4"/>
      <c r="N297" s="4"/>
    </row>
    <row r="298" ht="15.75" customHeight="1">
      <c r="A298" s="8"/>
      <c r="B298" s="9"/>
      <c r="C298" s="4"/>
      <c r="D298" s="42"/>
      <c r="E298" s="10"/>
      <c r="F298" s="31"/>
      <c r="G298" s="10"/>
      <c r="H298" s="10"/>
      <c r="I298" s="17"/>
      <c r="J298" s="17"/>
      <c r="K298" s="10"/>
      <c r="L298" s="4"/>
      <c r="M298" s="4"/>
      <c r="N298" s="4"/>
    </row>
    <row r="299" ht="15.75" customHeight="1">
      <c r="A299" s="43"/>
      <c r="B299" s="137" t="s">
        <v>245</v>
      </c>
      <c r="C299" s="117" t="s">
        <v>246</v>
      </c>
      <c r="D299" s="135"/>
      <c r="E299" s="10"/>
      <c r="F299" s="10"/>
      <c r="G299" s="10"/>
      <c r="H299" s="10"/>
      <c r="I299" s="10"/>
      <c r="J299" s="10"/>
      <c r="K299" s="10"/>
      <c r="L299" s="4"/>
      <c r="M299" s="4"/>
      <c r="N299" s="4"/>
    </row>
    <row r="300" ht="15.75" customHeight="1">
      <c r="A300" s="43"/>
      <c r="B300" s="137" t="s">
        <v>232</v>
      </c>
      <c r="C300" s="117" t="s">
        <v>152</v>
      </c>
      <c r="D300" s="135"/>
      <c r="E300" s="10"/>
      <c r="F300" s="31"/>
      <c r="G300" s="10"/>
      <c r="H300" s="10"/>
      <c r="I300" s="17"/>
      <c r="J300" s="17"/>
      <c r="K300" s="76">
        <f>SUM(J301)</f>
        <v>100000</v>
      </c>
      <c r="L300" s="4"/>
      <c r="M300" s="4"/>
      <c r="N300" s="4"/>
    </row>
    <row r="301" ht="15.75" customHeight="1">
      <c r="A301" s="119" t="s">
        <v>156</v>
      </c>
      <c r="B301" s="120"/>
      <c r="C301" s="138" t="s">
        <v>248</v>
      </c>
      <c r="D301" s="160">
        <v>100000.0</v>
      </c>
      <c r="E301" s="160">
        <v>100000.0</v>
      </c>
      <c r="F301" s="31"/>
      <c r="G301" s="31"/>
      <c r="H301" s="31"/>
      <c r="I301" s="31"/>
      <c r="J301" s="10">
        <f>SUM(E301:H301)</f>
        <v>100000</v>
      </c>
      <c r="K301" s="10"/>
      <c r="L301" s="4"/>
      <c r="M301" s="4"/>
      <c r="N301" s="4"/>
    </row>
    <row r="302" ht="15.75" customHeight="1">
      <c r="A302" s="50"/>
      <c r="B302" s="123"/>
      <c r="C302" s="143" t="s">
        <v>245</v>
      </c>
      <c r="D302" s="35">
        <f t="shared" ref="D302:J302" si="59">SUM(D301)</f>
        <v>100000</v>
      </c>
      <c r="E302" s="35">
        <f t="shared" si="59"/>
        <v>100000</v>
      </c>
      <c r="F302" s="35">
        <f t="shared" si="59"/>
        <v>0</v>
      </c>
      <c r="G302" s="35">
        <f t="shared" si="59"/>
        <v>0</v>
      </c>
      <c r="H302" s="35">
        <f t="shared" si="59"/>
        <v>0</v>
      </c>
      <c r="I302" s="35">
        <f t="shared" si="59"/>
        <v>0</v>
      </c>
      <c r="J302" s="35">
        <f t="shared" si="59"/>
        <v>100000</v>
      </c>
      <c r="K302" s="10"/>
      <c r="L302" s="4"/>
      <c r="M302" s="4"/>
      <c r="N302" s="4"/>
    </row>
    <row r="303" ht="15.75" customHeight="1">
      <c r="A303" s="50"/>
      <c r="B303" s="123"/>
      <c r="C303" s="137"/>
      <c r="D303" s="162"/>
      <c r="E303" s="162"/>
      <c r="F303" s="162"/>
      <c r="G303" s="162"/>
      <c r="H303" s="162"/>
      <c r="I303" s="162"/>
      <c r="J303" s="162"/>
      <c r="K303" s="10"/>
      <c r="L303" s="4"/>
      <c r="M303" s="4"/>
      <c r="N303" s="4"/>
    </row>
    <row r="304" ht="15.75" customHeight="1">
      <c r="A304" s="43"/>
      <c r="B304" s="112" t="s">
        <v>249</v>
      </c>
      <c r="C304" s="114" t="s">
        <v>250</v>
      </c>
      <c r="D304" s="135"/>
      <c r="E304" s="10"/>
      <c r="F304" s="10"/>
      <c r="G304" s="10"/>
      <c r="H304" s="10"/>
      <c r="I304" s="10"/>
      <c r="J304" s="10"/>
      <c r="K304" s="10"/>
      <c r="L304" s="4"/>
      <c r="M304" s="4"/>
      <c r="N304" s="4"/>
    </row>
    <row r="305" ht="15.75" customHeight="1">
      <c r="A305" s="43"/>
      <c r="B305" s="112" t="s">
        <v>251</v>
      </c>
      <c r="C305" s="114" t="s">
        <v>281</v>
      </c>
      <c r="D305" s="135"/>
      <c r="E305" s="10"/>
      <c r="F305" s="31"/>
      <c r="G305" s="10"/>
      <c r="H305" s="10"/>
      <c r="I305" s="17"/>
      <c r="J305" s="17"/>
      <c r="K305" s="76">
        <f>SUM(J306)</f>
        <v>20000</v>
      </c>
      <c r="L305" s="4"/>
      <c r="M305" s="4"/>
      <c r="N305" s="4"/>
    </row>
    <row r="306" ht="15.75" customHeight="1">
      <c r="A306" s="119" t="s">
        <v>156</v>
      </c>
      <c r="B306" s="120"/>
      <c r="C306" s="141" t="s">
        <v>252</v>
      </c>
      <c r="D306" s="139">
        <v>20000.0</v>
      </c>
      <c r="E306" s="139">
        <v>20000.0</v>
      </c>
      <c r="F306" s="31"/>
      <c r="G306" s="31"/>
      <c r="H306" s="31"/>
      <c r="I306" s="31"/>
      <c r="J306" s="10">
        <f>SUM(E306:H306)</f>
        <v>20000</v>
      </c>
      <c r="K306" s="10"/>
      <c r="L306" s="4"/>
      <c r="M306" s="4"/>
      <c r="N306" s="4"/>
    </row>
    <row r="307" ht="15.75" customHeight="1">
      <c r="A307" s="50"/>
      <c r="B307" s="123"/>
      <c r="C307" s="124" t="s">
        <v>249</v>
      </c>
      <c r="D307" s="35">
        <f t="shared" ref="D307:J307" si="60">SUM(D306)</f>
        <v>20000</v>
      </c>
      <c r="E307" s="35">
        <f t="shared" si="60"/>
        <v>20000</v>
      </c>
      <c r="F307" s="35">
        <f t="shared" si="60"/>
        <v>0</v>
      </c>
      <c r="G307" s="35">
        <f t="shared" si="60"/>
        <v>0</v>
      </c>
      <c r="H307" s="35">
        <f t="shared" si="60"/>
        <v>0</v>
      </c>
      <c r="I307" s="35">
        <f t="shared" si="60"/>
        <v>0</v>
      </c>
      <c r="J307" s="35">
        <f t="shared" si="60"/>
        <v>20000</v>
      </c>
      <c r="K307" s="10"/>
      <c r="L307" s="4"/>
      <c r="M307" s="4"/>
      <c r="N307" s="4"/>
    </row>
    <row r="308" ht="15.75" customHeight="1">
      <c r="A308" s="8"/>
      <c r="B308" s="9"/>
      <c r="C308" s="4"/>
      <c r="D308" s="42"/>
      <c r="E308" s="10"/>
      <c r="F308" s="31"/>
      <c r="G308" s="10"/>
      <c r="H308" s="10"/>
      <c r="I308" s="17"/>
      <c r="J308" s="17"/>
      <c r="K308" s="10"/>
      <c r="L308" s="4"/>
      <c r="M308" s="4"/>
      <c r="N308" s="4"/>
    </row>
    <row r="309" ht="15.75" customHeight="1">
      <c r="A309" s="1"/>
      <c r="B309" s="18">
        <v>9200.0</v>
      </c>
      <c r="C309" s="19" t="s">
        <v>256</v>
      </c>
      <c r="D309" s="42"/>
      <c r="E309" s="10"/>
      <c r="F309" s="31"/>
      <c r="G309" s="10"/>
      <c r="H309" s="10"/>
      <c r="I309" s="17"/>
      <c r="J309" s="17"/>
      <c r="K309" s="10"/>
      <c r="L309" s="4"/>
      <c r="M309" s="4"/>
      <c r="N309" s="4"/>
    </row>
    <row r="310" ht="15.75" customHeight="1">
      <c r="A310" s="1"/>
      <c r="B310" s="18">
        <v>623.0</v>
      </c>
      <c r="C310" s="19" t="s">
        <v>94</v>
      </c>
      <c r="D310" s="10"/>
      <c r="E310" s="10"/>
      <c r="F310" s="10"/>
      <c r="G310" s="10"/>
      <c r="H310" s="10"/>
      <c r="I310" s="10"/>
      <c r="J310" s="10"/>
      <c r="K310" s="76">
        <f>SUM(J311)</f>
        <v>40000</v>
      </c>
      <c r="L310" s="4"/>
      <c r="M310" s="4"/>
      <c r="N310" s="4"/>
    </row>
    <row r="311" ht="15.75" customHeight="1">
      <c r="A311" s="23">
        <v>2026.0</v>
      </c>
      <c r="B311" s="9"/>
      <c r="C311" s="4" t="s">
        <v>257</v>
      </c>
      <c r="D311" s="10">
        <v>40000.0</v>
      </c>
      <c r="E311" s="10">
        <v>40000.0</v>
      </c>
      <c r="F311" s="10"/>
      <c r="G311" s="10"/>
      <c r="H311" s="10"/>
      <c r="I311" s="10"/>
      <c r="J311" s="10">
        <f>SUM(E311:H311)</f>
        <v>40000</v>
      </c>
      <c r="K311" s="10"/>
      <c r="L311" s="4"/>
      <c r="M311" s="4"/>
      <c r="N311" s="4"/>
    </row>
    <row r="312" ht="15.75" customHeight="1">
      <c r="A312" s="1"/>
      <c r="B312" s="18">
        <v>625.0</v>
      </c>
      <c r="C312" s="19" t="s">
        <v>79</v>
      </c>
      <c r="D312" s="10"/>
      <c r="E312" s="10"/>
      <c r="F312" s="10"/>
      <c r="G312" s="10"/>
      <c r="H312" s="10"/>
      <c r="I312" s="10"/>
      <c r="J312" s="10"/>
      <c r="K312" s="76">
        <f>SUM(J313)</f>
        <v>50000</v>
      </c>
      <c r="L312" s="4"/>
      <c r="M312" s="4"/>
      <c r="N312" s="4"/>
    </row>
    <row r="313" ht="15.75" customHeight="1">
      <c r="A313" s="23">
        <v>2026.0</v>
      </c>
      <c r="B313" s="9"/>
      <c r="C313" s="24" t="s">
        <v>258</v>
      </c>
      <c r="D313" s="10">
        <v>50000.0</v>
      </c>
      <c r="E313" s="10">
        <v>50000.0</v>
      </c>
      <c r="F313" s="10"/>
      <c r="G313" s="10"/>
      <c r="H313" s="10"/>
      <c r="I313" s="10"/>
      <c r="J313" s="10">
        <f>SUM(E313:H313)</f>
        <v>50000</v>
      </c>
      <c r="K313" s="10"/>
      <c r="L313" s="4"/>
      <c r="M313" s="4"/>
      <c r="N313" s="4"/>
    </row>
    <row r="314" ht="15.75" customHeight="1">
      <c r="A314" s="43"/>
      <c r="B314" s="37" t="s">
        <v>259</v>
      </c>
      <c r="C314" s="19" t="s">
        <v>260</v>
      </c>
      <c r="D314" s="42"/>
      <c r="E314" s="10"/>
      <c r="F314" s="31"/>
      <c r="G314" s="10"/>
      <c r="H314" s="10"/>
      <c r="I314" s="17"/>
      <c r="J314" s="17"/>
      <c r="K314" s="76">
        <f>SUM(J315)</f>
        <v>50000</v>
      </c>
      <c r="L314" s="4"/>
      <c r="M314" s="4"/>
      <c r="N314" s="4"/>
    </row>
    <row r="315" ht="15.75" customHeight="1">
      <c r="A315" s="119" t="s">
        <v>156</v>
      </c>
      <c r="B315" s="120"/>
      <c r="C315" s="4" t="s">
        <v>261</v>
      </c>
      <c r="D315" s="42">
        <v>50000.0</v>
      </c>
      <c r="E315" s="42">
        <v>50000.0</v>
      </c>
      <c r="F315" s="31"/>
      <c r="G315" s="10"/>
      <c r="H315" s="10"/>
      <c r="I315" s="17"/>
      <c r="J315" s="10">
        <f>SUM(E315:H315)</f>
        <v>50000</v>
      </c>
      <c r="K315" s="10"/>
      <c r="L315" s="4"/>
      <c r="M315" s="4"/>
      <c r="N315" s="4"/>
    </row>
    <row r="316" ht="15.75" customHeight="1">
      <c r="A316" s="43"/>
      <c r="B316" s="37" t="s">
        <v>262</v>
      </c>
      <c r="C316" s="19" t="s">
        <v>263</v>
      </c>
      <c r="D316" s="10"/>
      <c r="E316" s="10"/>
      <c r="F316" s="10"/>
      <c r="G316" s="10"/>
      <c r="H316" s="10"/>
      <c r="I316" s="10"/>
      <c r="J316" s="10"/>
      <c r="K316" s="76">
        <f>SUM(J317:J318)</f>
        <v>72600</v>
      </c>
      <c r="L316" s="4"/>
      <c r="M316" s="4"/>
      <c r="N316" s="4"/>
    </row>
    <row r="317" ht="15.75" customHeight="1">
      <c r="A317" s="78" t="s">
        <v>156</v>
      </c>
      <c r="B317" s="37"/>
      <c r="C317" s="4" t="s">
        <v>264</v>
      </c>
      <c r="D317" s="26">
        <v>54600.0</v>
      </c>
      <c r="E317" s="26">
        <v>54600.0</v>
      </c>
      <c r="F317" s="10"/>
      <c r="G317" s="10"/>
      <c r="H317" s="10"/>
      <c r="I317" s="10"/>
      <c r="J317" s="10">
        <f t="shared" ref="J317:J318" si="61">SUM(E317:H317)</f>
        <v>54600</v>
      </c>
      <c r="K317" s="17"/>
      <c r="L317" s="4"/>
      <c r="M317" s="4"/>
      <c r="N317" s="4"/>
    </row>
    <row r="318" ht="15.75" customHeight="1">
      <c r="A318" s="78" t="s">
        <v>156</v>
      </c>
      <c r="B318" s="37"/>
      <c r="C318" s="24" t="s">
        <v>265</v>
      </c>
      <c r="D318" s="26">
        <v>18000.0</v>
      </c>
      <c r="E318" s="26">
        <v>18000.0</v>
      </c>
      <c r="F318" s="10"/>
      <c r="G318" s="10"/>
      <c r="H318" s="10"/>
      <c r="I318" s="10"/>
      <c r="J318" s="10">
        <f t="shared" si="61"/>
        <v>18000</v>
      </c>
      <c r="K318" s="17"/>
      <c r="L318" s="4"/>
      <c r="M318" s="4"/>
      <c r="N318" s="4"/>
    </row>
    <row r="319" ht="15.75" customHeight="1">
      <c r="A319" s="1"/>
      <c r="B319" s="37" t="s">
        <v>180</v>
      </c>
      <c r="C319" s="19" t="s">
        <v>11</v>
      </c>
      <c r="D319" s="10"/>
      <c r="E319" s="10"/>
      <c r="F319" s="10"/>
      <c r="G319" s="10"/>
      <c r="H319" s="10"/>
      <c r="I319" s="17"/>
      <c r="J319" s="10"/>
      <c r="K319" s="76">
        <f>SUM(J320:J321)</f>
        <v>1540000</v>
      </c>
      <c r="L319" s="4"/>
      <c r="M319" s="4"/>
      <c r="N319" s="4"/>
    </row>
    <row r="320" ht="15.75" customHeight="1">
      <c r="A320" s="23">
        <v>2026.0</v>
      </c>
      <c r="B320" s="9"/>
      <c r="C320" s="24" t="s">
        <v>266</v>
      </c>
      <c r="D320" s="26">
        <v>40000.0</v>
      </c>
      <c r="E320" s="26">
        <v>40000.0</v>
      </c>
      <c r="F320" s="10"/>
      <c r="G320" s="10"/>
      <c r="H320" s="10"/>
      <c r="I320" s="17"/>
      <c r="J320" s="10">
        <f>SUM(E320:H320)</f>
        <v>40000</v>
      </c>
      <c r="K320" s="10"/>
      <c r="L320" s="4"/>
      <c r="M320" s="4"/>
      <c r="N320" s="4"/>
    </row>
    <row r="321" ht="15.75" customHeight="1">
      <c r="A321" s="23">
        <v>2026.0</v>
      </c>
      <c r="B321" s="27" t="s">
        <v>13</v>
      </c>
      <c r="C321" s="67" t="s">
        <v>282</v>
      </c>
      <c r="D321" s="26">
        <v>1500000.0</v>
      </c>
      <c r="F321" s="26">
        <v>1500000.0</v>
      </c>
      <c r="G321" s="10"/>
      <c r="H321" s="10"/>
      <c r="I321" s="17"/>
      <c r="J321" s="10">
        <f>SUM(F321:H321)</f>
        <v>1500000</v>
      </c>
      <c r="K321" s="10"/>
      <c r="L321" s="4"/>
      <c r="M321" s="4"/>
      <c r="N321" s="4"/>
    </row>
    <row r="322" ht="15.75" customHeight="1">
      <c r="A322" s="1"/>
      <c r="B322" s="18">
        <v>641.0</v>
      </c>
      <c r="C322" s="19" t="s">
        <v>158</v>
      </c>
      <c r="D322" s="10"/>
      <c r="E322" s="10"/>
      <c r="F322" s="10"/>
      <c r="G322" s="10"/>
      <c r="H322" s="10"/>
      <c r="I322" s="17"/>
      <c r="J322" s="10"/>
      <c r="K322" s="76">
        <f>SUM(J323:J325)</f>
        <v>180000</v>
      </c>
      <c r="L322" s="4"/>
      <c r="M322" s="4"/>
      <c r="N322" s="4"/>
    </row>
    <row r="323" ht="15.75" customHeight="1">
      <c r="A323" s="23">
        <v>2026.0</v>
      </c>
      <c r="B323" s="9"/>
      <c r="C323" s="24" t="s">
        <v>267</v>
      </c>
      <c r="D323" s="26">
        <v>40000.0</v>
      </c>
      <c r="E323" s="26">
        <v>40000.0</v>
      </c>
      <c r="F323" s="10"/>
      <c r="G323" s="10"/>
      <c r="H323" s="10"/>
      <c r="I323" s="17"/>
      <c r="J323" s="10">
        <f t="shared" ref="J323:J325" si="62">SUM(E323:H323)</f>
        <v>40000</v>
      </c>
      <c r="K323" s="10"/>
      <c r="L323" s="4"/>
      <c r="M323" s="4"/>
      <c r="N323" s="4"/>
    </row>
    <row r="324" ht="15.75" customHeight="1">
      <c r="A324" s="23"/>
      <c r="B324" s="9"/>
      <c r="C324" s="24" t="s">
        <v>268</v>
      </c>
      <c r="D324" s="26">
        <v>40000.0</v>
      </c>
      <c r="E324" s="26">
        <v>40000.0</v>
      </c>
      <c r="F324" s="10"/>
      <c r="G324" s="10"/>
      <c r="H324" s="10"/>
      <c r="I324" s="17"/>
      <c r="J324" s="10">
        <f t="shared" si="62"/>
        <v>40000</v>
      </c>
      <c r="K324" s="10"/>
      <c r="L324" s="4"/>
      <c r="M324" s="4"/>
      <c r="N324" s="4"/>
    </row>
    <row r="325" ht="15.75" customHeight="1">
      <c r="A325" s="23">
        <v>2026.0</v>
      </c>
      <c r="B325" s="9"/>
      <c r="C325" s="24" t="s">
        <v>284</v>
      </c>
      <c r="D325" s="26">
        <v>100000.0</v>
      </c>
      <c r="E325" s="26">
        <v>100000.0</v>
      </c>
      <c r="F325" s="10"/>
      <c r="G325" s="10"/>
      <c r="H325" s="10"/>
      <c r="I325" s="17"/>
      <c r="J325" s="10">
        <f t="shared" si="62"/>
        <v>100000</v>
      </c>
      <c r="K325" s="10"/>
      <c r="L325" s="4"/>
      <c r="M325" s="4"/>
      <c r="N325" s="4"/>
    </row>
    <row r="326" ht="15.75" customHeight="1">
      <c r="A326" s="8"/>
      <c r="B326" s="9"/>
      <c r="C326" s="37" t="s">
        <v>270</v>
      </c>
      <c r="D326" s="35">
        <f t="shared" ref="D326:J326" si="63">SUM(D311:D325)</f>
        <v>1932600</v>
      </c>
      <c r="E326" s="35">
        <f t="shared" si="63"/>
        <v>432600</v>
      </c>
      <c r="F326" s="35">
        <f t="shared" si="63"/>
        <v>1500000</v>
      </c>
      <c r="G326" s="35">
        <f t="shared" si="63"/>
        <v>0</v>
      </c>
      <c r="H326" s="35">
        <f t="shared" si="63"/>
        <v>0</v>
      </c>
      <c r="I326" s="35">
        <f t="shared" si="63"/>
        <v>0</v>
      </c>
      <c r="J326" s="35">
        <f t="shared" si="63"/>
        <v>1932600</v>
      </c>
      <c r="K326" s="17"/>
      <c r="L326" s="4"/>
      <c r="M326" s="4"/>
      <c r="N326" s="4"/>
    </row>
    <row r="327" ht="15.75" customHeight="1">
      <c r="A327" s="8"/>
      <c r="B327" s="4"/>
      <c r="C327" s="4"/>
      <c r="D327" s="10"/>
      <c r="E327" s="10"/>
      <c r="F327" s="10"/>
      <c r="G327" s="10"/>
      <c r="H327" s="10"/>
      <c r="I327" s="10"/>
      <c r="J327" s="10"/>
      <c r="K327" s="17"/>
      <c r="L327" s="4"/>
      <c r="M327" s="4"/>
      <c r="N327" s="4"/>
    </row>
    <row r="328" ht="15.75" customHeight="1">
      <c r="A328" s="83"/>
      <c r="B328" s="84" t="s">
        <v>271</v>
      </c>
      <c r="C328" s="85" t="s">
        <v>272</v>
      </c>
      <c r="D328" s="30"/>
      <c r="E328" s="30"/>
      <c r="F328" s="30"/>
      <c r="G328" s="30"/>
      <c r="H328" s="30"/>
      <c r="I328" s="30"/>
      <c r="J328" s="30"/>
      <c r="K328" s="30"/>
      <c r="L328" s="31"/>
      <c r="M328" s="31"/>
      <c r="N328" s="31"/>
    </row>
    <row r="329" ht="15.75" customHeight="1">
      <c r="A329" s="23"/>
      <c r="B329" s="39">
        <v>627.0</v>
      </c>
      <c r="C329" s="40" t="s">
        <v>43</v>
      </c>
      <c r="D329" s="26"/>
      <c r="E329" s="26"/>
      <c r="F329" s="10"/>
      <c r="G329" s="10"/>
      <c r="H329" s="10"/>
      <c r="I329" s="10"/>
      <c r="J329" s="10"/>
      <c r="K329" s="10">
        <f>SUM(J330)</f>
        <v>200000</v>
      </c>
      <c r="L329" s="4"/>
      <c r="M329" s="4"/>
      <c r="N329" s="4"/>
    </row>
    <row r="330" ht="15.75" customHeight="1">
      <c r="A330" s="23">
        <v>2026.0</v>
      </c>
      <c r="B330" s="27" t="s">
        <v>13</v>
      </c>
      <c r="C330" s="24" t="s">
        <v>273</v>
      </c>
      <c r="D330" s="26">
        <v>200000.0</v>
      </c>
      <c r="E330" s="26">
        <v>200000.0</v>
      </c>
      <c r="F330" s="10"/>
      <c r="G330" s="10"/>
      <c r="H330" s="10"/>
      <c r="I330" s="10"/>
      <c r="J330" s="10">
        <f>SUM(E330:H330)</f>
        <v>200000</v>
      </c>
      <c r="K330" s="10"/>
      <c r="L330" s="4"/>
      <c r="M330" s="4"/>
      <c r="N330" s="4"/>
    </row>
    <row r="331" ht="15.75" customHeight="1">
      <c r="A331" s="83"/>
      <c r="B331" s="84" t="s">
        <v>180</v>
      </c>
      <c r="C331" s="85" t="s">
        <v>11</v>
      </c>
      <c r="D331" s="30"/>
      <c r="E331" s="30"/>
      <c r="F331" s="30"/>
      <c r="G331" s="30"/>
      <c r="H331" s="30"/>
      <c r="I331" s="30"/>
      <c r="J331" s="30"/>
      <c r="K331" s="76">
        <f>SUM(J332:J333)</f>
        <v>255000</v>
      </c>
      <c r="L331" s="31"/>
      <c r="M331" s="31"/>
      <c r="N331" s="31"/>
    </row>
    <row r="332" ht="15.75" customHeight="1">
      <c r="A332" s="23">
        <v>2026.0</v>
      </c>
      <c r="B332" s="9"/>
      <c r="C332" s="24" t="s">
        <v>274</v>
      </c>
      <c r="D332" s="26">
        <v>10000.0</v>
      </c>
      <c r="E332" s="26">
        <v>10000.0</v>
      </c>
      <c r="F332" s="10"/>
      <c r="G332" s="10"/>
      <c r="H332" s="10"/>
      <c r="I332" s="10"/>
      <c r="J332" s="10">
        <f t="shared" ref="J332:J333" si="64">SUM(E332:H332)</f>
        <v>10000</v>
      </c>
      <c r="K332" s="10"/>
      <c r="L332" s="4"/>
      <c r="M332" s="4"/>
      <c r="N332" s="4"/>
    </row>
    <row r="333" ht="15.75" customHeight="1">
      <c r="A333" s="23">
        <v>2026.0</v>
      </c>
      <c r="B333" s="27" t="s">
        <v>67</v>
      </c>
      <c r="C333" s="24" t="s">
        <v>275</v>
      </c>
      <c r="D333" s="26">
        <v>245000.0</v>
      </c>
      <c r="E333" s="26">
        <v>245000.0</v>
      </c>
      <c r="F333" s="10"/>
      <c r="G333" s="10"/>
      <c r="H333" s="10"/>
      <c r="I333" s="10"/>
      <c r="J333" s="10">
        <f t="shared" si="64"/>
        <v>245000</v>
      </c>
      <c r="K333" s="10"/>
      <c r="L333" s="4"/>
      <c r="M333" s="4"/>
      <c r="N333" s="4"/>
    </row>
    <row r="334" ht="15.75" customHeight="1">
      <c r="A334" s="94"/>
      <c r="B334" s="95"/>
      <c r="C334" s="156">
        <v>9240.0</v>
      </c>
      <c r="D334" s="100">
        <f t="shared" ref="D334:J334" si="65">SUM(D330:D333)</f>
        <v>455000</v>
      </c>
      <c r="E334" s="100">
        <f t="shared" si="65"/>
        <v>455000</v>
      </c>
      <c r="F334" s="100">
        <f t="shared" si="65"/>
        <v>0</v>
      </c>
      <c r="G334" s="100">
        <f t="shared" si="65"/>
        <v>0</v>
      </c>
      <c r="H334" s="100">
        <f t="shared" si="65"/>
        <v>0</v>
      </c>
      <c r="I334" s="100">
        <f t="shared" si="65"/>
        <v>0</v>
      </c>
      <c r="J334" s="100">
        <f t="shared" si="65"/>
        <v>455000</v>
      </c>
      <c r="K334" s="30"/>
      <c r="L334" s="31"/>
      <c r="M334" s="31"/>
      <c r="N334" s="31"/>
    </row>
    <row r="335" ht="15.75" customHeight="1">
      <c r="A335" s="94"/>
      <c r="B335" s="95"/>
      <c r="C335" s="31"/>
      <c r="D335" s="30"/>
      <c r="E335" s="30"/>
      <c r="F335" s="30"/>
      <c r="G335" s="30"/>
      <c r="H335" s="30"/>
      <c r="I335" s="30"/>
      <c r="J335" s="30"/>
      <c r="K335" s="30"/>
      <c r="L335" s="31"/>
      <c r="M335" s="31"/>
      <c r="N335" s="31"/>
    </row>
    <row r="336" ht="15.75" customHeight="1">
      <c r="A336" s="83"/>
      <c r="B336" s="101" t="s">
        <v>276</v>
      </c>
      <c r="C336" s="102" t="s">
        <v>277</v>
      </c>
      <c r="D336" s="30"/>
      <c r="E336" s="30"/>
      <c r="F336" s="30"/>
      <c r="G336" s="30"/>
      <c r="H336" s="30"/>
      <c r="I336" s="30"/>
      <c r="J336" s="30"/>
      <c r="K336" s="30"/>
      <c r="L336" s="31"/>
      <c r="M336" s="31"/>
      <c r="N336" s="31"/>
    </row>
    <row r="337" ht="15.75" customHeight="1">
      <c r="A337" s="83"/>
      <c r="B337" s="84" t="s">
        <v>180</v>
      </c>
      <c r="C337" s="85" t="s">
        <v>11</v>
      </c>
      <c r="D337" s="30"/>
      <c r="E337" s="30"/>
      <c r="F337" s="30"/>
      <c r="G337" s="30"/>
      <c r="H337" s="30"/>
      <c r="I337" s="30"/>
      <c r="J337" s="30"/>
      <c r="K337" s="76">
        <f>SUM(J338)</f>
        <v>6000</v>
      </c>
      <c r="L337" s="31"/>
      <c r="M337" s="31"/>
      <c r="N337" s="31"/>
    </row>
    <row r="338" ht="15.75" customHeight="1">
      <c r="A338" s="23">
        <v>2026.0</v>
      </c>
      <c r="B338" s="9"/>
      <c r="C338" s="24" t="s">
        <v>278</v>
      </c>
      <c r="D338" s="26">
        <v>6000.0</v>
      </c>
      <c r="E338" s="26">
        <v>6000.0</v>
      </c>
      <c r="F338" s="10"/>
      <c r="G338" s="10"/>
      <c r="H338" s="10"/>
      <c r="I338" s="10"/>
      <c r="J338" s="10">
        <f>SUM(E338:H338)</f>
        <v>6000</v>
      </c>
      <c r="K338" s="10"/>
      <c r="L338" s="4"/>
      <c r="M338" s="4"/>
      <c r="N338" s="4"/>
    </row>
    <row r="339" ht="15.75" customHeight="1">
      <c r="A339" s="94"/>
      <c r="B339" s="95"/>
      <c r="C339" s="158">
        <v>9300.0</v>
      </c>
      <c r="D339" s="100">
        <f t="shared" ref="D339:J339" si="66">SUM(D337:D338)</f>
        <v>6000</v>
      </c>
      <c r="E339" s="100">
        <f t="shared" si="66"/>
        <v>6000</v>
      </c>
      <c r="F339" s="100">
        <f t="shared" si="66"/>
        <v>0</v>
      </c>
      <c r="G339" s="100">
        <f t="shared" si="66"/>
        <v>0</v>
      </c>
      <c r="H339" s="100">
        <f t="shared" si="66"/>
        <v>0</v>
      </c>
      <c r="I339" s="100">
        <f t="shared" si="66"/>
        <v>0</v>
      </c>
      <c r="J339" s="100">
        <f t="shared" si="66"/>
        <v>6000</v>
      </c>
      <c r="K339" s="30"/>
      <c r="L339" s="31"/>
      <c r="M339" s="31"/>
      <c r="N339" s="31"/>
    </row>
    <row r="340" ht="15.75" customHeight="1">
      <c r="A340" s="94"/>
      <c r="B340" s="95"/>
      <c r="C340" s="31"/>
      <c r="D340" s="30"/>
      <c r="E340" s="30"/>
      <c r="F340" s="30"/>
      <c r="G340" s="30"/>
      <c r="H340" s="30"/>
      <c r="I340" s="30"/>
      <c r="J340" s="30"/>
      <c r="K340" s="30"/>
      <c r="L340" s="31"/>
      <c r="M340" s="31"/>
      <c r="N340" s="31"/>
    </row>
    <row r="341" ht="15.75" customHeight="1">
      <c r="A341" s="8"/>
      <c r="B341" s="4"/>
      <c r="C341" s="4"/>
      <c r="D341" s="10"/>
      <c r="E341" s="10"/>
      <c r="F341" s="10"/>
      <c r="G341" s="10"/>
      <c r="H341" s="10"/>
      <c r="I341" s="10"/>
      <c r="J341" s="10"/>
      <c r="K341" s="17"/>
      <c r="L341" s="24" t="s">
        <v>279</v>
      </c>
      <c r="M341" s="4"/>
      <c r="N341" s="4"/>
    </row>
    <row r="342" ht="15.75" customHeight="1">
      <c r="A342" s="8"/>
      <c r="B342" s="4"/>
      <c r="C342" s="161" t="s">
        <v>280</v>
      </c>
      <c r="D342" s="187">
        <f t="shared" ref="D342:J342" si="67">SUM(D12,D20,D29,D36,D41,D46,D76,D87,D100,D105,D110,D120,D127,D144,D149,D156,D161,D166,D171,D177,D182,D189,D194,D200,D206,D211,D218,D223,D230,D235,D240,D247,D252,D264,D282,D292,D297,D302,D307,D326,D334,,D339)</f>
        <v>25275642.85</v>
      </c>
      <c r="E342" s="187">
        <f t="shared" si="67"/>
        <v>21889291.9</v>
      </c>
      <c r="F342" s="187">
        <f t="shared" si="67"/>
        <v>1634000</v>
      </c>
      <c r="G342" s="187">
        <f t="shared" si="67"/>
        <v>0</v>
      </c>
      <c r="H342" s="187">
        <f t="shared" si="67"/>
        <v>406750</v>
      </c>
      <c r="I342" s="187">
        <f t="shared" si="67"/>
        <v>1445600.946</v>
      </c>
      <c r="J342" s="187">
        <f t="shared" si="67"/>
        <v>25375642.85</v>
      </c>
      <c r="K342" s="17"/>
      <c r="L342" s="17">
        <f>J342-D342</f>
        <v>100000</v>
      </c>
      <c r="M342" s="4"/>
      <c r="N342" s="4"/>
    </row>
    <row r="343" ht="15.75" customHeight="1">
      <c r="A343" s="8"/>
      <c r="B343" s="4"/>
      <c r="C343" s="4"/>
      <c r="D343" s="10"/>
      <c r="E343" s="10"/>
      <c r="F343" s="26" t="s">
        <v>313</v>
      </c>
      <c r="G343" s="10"/>
      <c r="H343" s="10"/>
      <c r="I343" s="10"/>
      <c r="J343" s="10"/>
      <c r="K343" s="10"/>
      <c r="L343" s="4"/>
      <c r="M343" s="4"/>
      <c r="N343" s="4"/>
    </row>
    <row r="344" ht="15.75" customHeight="1">
      <c r="A344" s="8"/>
      <c r="B344" s="4"/>
      <c r="C344" s="4"/>
      <c r="D344" s="10"/>
      <c r="E344" s="10"/>
      <c r="F344" s="10"/>
      <c r="G344" s="10"/>
      <c r="H344" s="10"/>
      <c r="I344" s="10"/>
      <c r="J344" s="10"/>
      <c r="K344" s="10"/>
      <c r="L344" s="4"/>
      <c r="M344" s="4"/>
      <c r="N344" s="4"/>
    </row>
    <row r="345" ht="15.75" customHeight="1">
      <c r="A345" s="8"/>
      <c r="B345" s="4"/>
      <c r="C345" s="164" t="s">
        <v>283</v>
      </c>
      <c r="D345" s="165" t="s">
        <v>285</v>
      </c>
      <c r="E345" s="165" t="s">
        <v>3</v>
      </c>
      <c r="F345" s="165" t="s">
        <v>47</v>
      </c>
      <c r="G345" s="165" t="s">
        <v>5</v>
      </c>
      <c r="H345" s="165" t="s">
        <v>6</v>
      </c>
      <c r="I345" s="165" t="s">
        <v>7</v>
      </c>
      <c r="J345" s="165" t="s">
        <v>8</v>
      </c>
      <c r="K345" s="10"/>
      <c r="L345" s="4"/>
      <c r="M345" s="4"/>
      <c r="N345" s="4"/>
    </row>
    <row r="346" ht="15.75" customHeight="1">
      <c r="A346" s="8"/>
      <c r="B346" s="4"/>
      <c r="C346" s="4"/>
      <c r="D346" s="166">
        <f t="shared" ref="D346:J346" si="68">SUM(D45,D68,D217,D269,D271)</f>
        <v>4700932.85</v>
      </c>
      <c r="E346" s="166">
        <f t="shared" si="68"/>
        <v>3378581.904</v>
      </c>
      <c r="F346" s="166">
        <f t="shared" si="68"/>
        <v>34000</v>
      </c>
      <c r="G346" s="166">
        <f t="shared" si="68"/>
        <v>0</v>
      </c>
      <c r="H346" s="166">
        <f t="shared" si="68"/>
        <v>406750</v>
      </c>
      <c r="I346" s="166">
        <f t="shared" si="68"/>
        <v>881600.9457</v>
      </c>
      <c r="J346" s="166">
        <f t="shared" si="68"/>
        <v>4700932.85</v>
      </c>
      <c r="K346" s="10"/>
      <c r="L346" s="4"/>
      <c r="M346" s="4"/>
      <c r="N346" s="4"/>
    </row>
    <row r="347" ht="15.75" customHeight="1">
      <c r="A347" s="8"/>
      <c r="B347" s="4"/>
      <c r="C347" s="4"/>
      <c r="D347" s="10"/>
      <c r="E347" s="10"/>
      <c r="F347" s="10"/>
      <c r="G347" s="10"/>
      <c r="H347" s="10"/>
      <c r="I347" s="10"/>
      <c r="J347" s="10"/>
      <c r="K347" s="10"/>
      <c r="L347" s="4"/>
      <c r="M347" s="4"/>
      <c r="N347" s="4"/>
    </row>
    <row r="348" ht="15.75" customHeight="1">
      <c r="A348" s="8"/>
      <c r="B348" s="4"/>
      <c r="C348" s="4"/>
      <c r="D348" s="10"/>
      <c r="E348" s="10"/>
      <c r="F348" s="10"/>
      <c r="G348" s="10"/>
      <c r="H348" s="10"/>
      <c r="I348" s="10"/>
      <c r="J348" s="10"/>
      <c r="K348" s="10"/>
      <c r="L348" s="4"/>
      <c r="M348" s="4"/>
      <c r="N348" s="4"/>
    </row>
    <row r="349" ht="15.75" customHeight="1">
      <c r="A349" s="94"/>
      <c r="B349" s="95"/>
      <c r="C349" s="173" t="s">
        <v>290</v>
      </c>
      <c r="D349" s="174" t="s">
        <v>8</v>
      </c>
      <c r="E349" s="175" t="s">
        <v>291</v>
      </c>
      <c r="F349" s="6"/>
      <c r="G349" s="6"/>
      <c r="H349" s="6"/>
      <c r="I349" s="6"/>
      <c r="J349" s="6"/>
      <c r="K349" s="6"/>
      <c r="L349" s="7"/>
      <c r="M349" s="31"/>
      <c r="N349" s="31"/>
    </row>
    <row r="350" ht="15.75" customHeight="1">
      <c r="A350" s="94"/>
      <c r="B350" s="95"/>
      <c r="C350" s="31"/>
      <c r="D350" s="176"/>
      <c r="E350" s="177" t="s">
        <v>292</v>
      </c>
      <c r="F350" s="177" t="s">
        <v>293</v>
      </c>
      <c r="G350" s="178" t="s">
        <v>294</v>
      </c>
      <c r="H350" s="7"/>
      <c r="I350" s="177" t="s">
        <v>156</v>
      </c>
      <c r="J350" s="177" t="s">
        <v>295</v>
      </c>
      <c r="K350" s="180" t="s">
        <v>296</v>
      </c>
      <c r="L350" s="177" t="s">
        <v>297</v>
      </c>
      <c r="M350" s="31"/>
      <c r="N350" s="31"/>
    </row>
    <row r="351" ht="15.75" customHeight="1">
      <c r="A351" s="94"/>
      <c r="B351" s="95"/>
      <c r="C351" s="31"/>
      <c r="D351" s="30"/>
      <c r="E351" s="54"/>
      <c r="F351" s="196"/>
      <c r="G351" s="197" t="s">
        <v>315</v>
      </c>
      <c r="H351" s="197" t="s">
        <v>316</v>
      </c>
      <c r="I351" s="30"/>
      <c r="J351" s="30"/>
      <c r="K351" s="30"/>
      <c r="L351" s="54"/>
      <c r="M351" s="30"/>
      <c r="N351" s="30"/>
    </row>
    <row r="352" ht="15.75" customHeight="1">
      <c r="A352" s="50"/>
      <c r="B352" s="181" t="s">
        <v>298</v>
      </c>
      <c r="C352" s="4" t="s">
        <v>299</v>
      </c>
      <c r="D352" s="10">
        <v>53240.0</v>
      </c>
      <c r="E352" s="198">
        <v>5324.0</v>
      </c>
      <c r="F352" s="198">
        <v>39930.0</v>
      </c>
      <c r="G352" s="10">
        <v>0.0</v>
      </c>
      <c r="H352" s="10">
        <v>0.0</v>
      </c>
      <c r="I352" s="10"/>
      <c r="J352" s="30"/>
      <c r="L352" s="30">
        <v>7986.0</v>
      </c>
      <c r="N352" s="30">
        <f>SUM(E352:L352)</f>
        <v>53240</v>
      </c>
    </row>
    <row r="353" ht="15.75" customHeight="1">
      <c r="A353" s="50"/>
      <c r="B353" s="199" t="s">
        <v>48</v>
      </c>
      <c r="C353" s="200" t="s">
        <v>49</v>
      </c>
      <c r="D353" s="201">
        <v>6101734.0</v>
      </c>
      <c r="E353" s="202"/>
      <c r="F353" s="203">
        <v>233309.77</v>
      </c>
      <c r="G353" s="201">
        <v>582023.63</v>
      </c>
      <c r="H353" s="201">
        <v>2939030.91</v>
      </c>
      <c r="I353" s="201">
        <v>2347369.69</v>
      </c>
      <c r="J353" s="204"/>
      <c r="K353" s="204"/>
      <c r="L353" s="202"/>
      <c r="N353" s="30">
        <f t="shared" ref="N353:N355" si="69">SUM(E353:K353)</f>
        <v>6101734</v>
      </c>
    </row>
    <row r="354" ht="15.75" customHeight="1">
      <c r="A354" s="50"/>
      <c r="B354" s="199" t="s">
        <v>75</v>
      </c>
      <c r="C354" s="200" t="s">
        <v>80</v>
      </c>
      <c r="D354" s="201">
        <v>934407.9</v>
      </c>
      <c r="E354" s="202"/>
      <c r="F354" s="203">
        <v>0.0</v>
      </c>
      <c r="G354" s="201">
        <v>488703.95</v>
      </c>
      <c r="H354" s="201">
        <v>89140.79</v>
      </c>
      <c r="I354" s="201">
        <v>356563.16</v>
      </c>
      <c r="J354" s="204"/>
      <c r="K354" s="204"/>
      <c r="L354" s="202"/>
      <c r="N354" s="30">
        <f t="shared" si="69"/>
        <v>934407.9</v>
      </c>
    </row>
    <row r="355" ht="15.75" customHeight="1">
      <c r="A355" s="50"/>
      <c r="B355" s="199" t="s">
        <v>301</v>
      </c>
      <c r="C355" s="67" t="s">
        <v>302</v>
      </c>
      <c r="D355" s="201">
        <v>6820025.39</v>
      </c>
      <c r="E355" s="202"/>
      <c r="F355" s="201">
        <v>47193.26</v>
      </c>
      <c r="G355" s="201">
        <v>0.0</v>
      </c>
      <c r="H355" s="201">
        <v>5828456.78</v>
      </c>
      <c r="I355" s="201">
        <v>944375.35</v>
      </c>
      <c r="J355" s="204"/>
      <c r="K355" s="204"/>
      <c r="L355" s="202"/>
      <c r="N355" s="30">
        <f t="shared" si="69"/>
        <v>6820025.39</v>
      </c>
    </row>
    <row r="356" ht="15.75" customHeight="1">
      <c r="A356" s="50"/>
      <c r="B356" s="181"/>
      <c r="C356" s="24" t="s">
        <v>303</v>
      </c>
      <c r="D356" s="26">
        <v>39325.0</v>
      </c>
      <c r="E356" s="54"/>
      <c r="F356" s="10"/>
      <c r="G356" s="10"/>
      <c r="H356" s="26">
        <v>7865.0</v>
      </c>
      <c r="I356" s="26">
        <v>25561.25</v>
      </c>
      <c r="J356" s="30"/>
      <c r="K356" s="30"/>
      <c r="L356" s="205">
        <v>5898.75</v>
      </c>
      <c r="N356" s="30"/>
    </row>
    <row r="357" ht="15.75" customHeight="1">
      <c r="A357" s="94"/>
      <c r="B357" s="206" t="s">
        <v>305</v>
      </c>
      <c r="C357" s="200" t="s">
        <v>306</v>
      </c>
      <c r="D357" s="201">
        <v>102841.0</v>
      </c>
      <c r="E357" s="202"/>
      <c r="F357" s="204">
        <v>0.0</v>
      </c>
      <c r="G357" s="201">
        <v>71988.7</v>
      </c>
      <c r="H357" s="201">
        <v>30852.3</v>
      </c>
      <c r="I357" s="204"/>
      <c r="J357" s="204"/>
      <c r="K357" s="204"/>
      <c r="L357" s="202"/>
      <c r="N357" s="30">
        <f t="shared" ref="N357:N359" si="70">SUM(E357:K357)</f>
        <v>102841</v>
      </c>
    </row>
    <row r="358" ht="15.75" customHeight="1">
      <c r="A358" s="94"/>
      <c r="B358" s="206" t="s">
        <v>253</v>
      </c>
      <c r="C358" s="207" t="s">
        <v>254</v>
      </c>
      <c r="D358" s="201">
        <v>1123904.27</v>
      </c>
      <c r="E358" s="202"/>
      <c r="F358" s="203">
        <v>0.0</v>
      </c>
      <c r="G358" s="201">
        <v>422248.58</v>
      </c>
      <c r="H358" s="201">
        <v>701655.69</v>
      </c>
      <c r="I358" s="204"/>
      <c r="J358" s="204"/>
      <c r="K358" s="204"/>
      <c r="L358" s="202"/>
      <c r="N358" s="30">
        <f t="shared" si="70"/>
        <v>1123904.27</v>
      </c>
    </row>
    <row r="359" ht="15.75" customHeight="1">
      <c r="A359" s="94"/>
      <c r="B359" s="208" t="s">
        <v>317</v>
      </c>
      <c r="C359" s="209" t="s">
        <v>307</v>
      </c>
      <c r="D359" s="201">
        <v>3682855.48</v>
      </c>
      <c r="E359" s="202"/>
      <c r="F359" s="201">
        <v>146924.69</v>
      </c>
      <c r="G359" s="201">
        <v>1021735.27</v>
      </c>
      <c r="H359" s="201">
        <v>2514195.52</v>
      </c>
      <c r="I359" s="204"/>
      <c r="J359" s="204"/>
      <c r="K359" s="204"/>
      <c r="L359" s="202"/>
      <c r="N359" s="30">
        <f t="shared" si="70"/>
        <v>3682855.48</v>
      </c>
    </row>
    <row r="360" ht="15.75" customHeight="1">
      <c r="A360" s="50"/>
      <c r="B360" s="181"/>
      <c r="C360" s="24" t="s">
        <v>308</v>
      </c>
      <c r="D360" s="26">
        <v>55111.36</v>
      </c>
      <c r="E360" s="54"/>
      <c r="F360" s="26"/>
      <c r="G360" s="10"/>
      <c r="H360" s="26">
        <v>22044.54</v>
      </c>
      <c r="I360" s="26">
        <v>24800.11</v>
      </c>
      <c r="J360" s="30"/>
      <c r="K360" s="210">
        <v>8266.7</v>
      </c>
      <c r="L360" s="54"/>
      <c r="N360" s="210">
        <v>119507.97</v>
      </c>
    </row>
    <row r="361" ht="15.75" customHeight="1">
      <c r="A361" s="94"/>
      <c r="B361" s="206" t="s">
        <v>309</v>
      </c>
      <c r="C361" s="207" t="s">
        <v>310</v>
      </c>
      <c r="D361" s="201">
        <v>332420.5</v>
      </c>
      <c r="E361" s="202"/>
      <c r="F361" s="201">
        <v>0.0</v>
      </c>
      <c r="G361" s="201">
        <v>150000.0</v>
      </c>
      <c r="H361" s="201">
        <v>182420.5</v>
      </c>
      <c r="I361" s="204"/>
      <c r="J361" s="204"/>
      <c r="K361" s="204"/>
      <c r="L361" s="202"/>
      <c r="N361" s="30">
        <f t="shared" ref="N361:N362" si="71">SUM(E361:K361)</f>
        <v>332420.5</v>
      </c>
    </row>
    <row r="362" ht="15.75" customHeight="1">
      <c r="A362" s="94"/>
      <c r="B362" s="206" t="s">
        <v>311</v>
      </c>
      <c r="C362" s="207" t="s">
        <v>318</v>
      </c>
      <c r="D362" s="201">
        <v>426206.0</v>
      </c>
      <c r="E362" s="202"/>
      <c r="F362" s="201">
        <v>140370.79</v>
      </c>
      <c r="G362" s="201">
        <v>0.0</v>
      </c>
      <c r="H362" s="201">
        <v>143231.91</v>
      </c>
      <c r="I362" s="201">
        <v>142603.3</v>
      </c>
      <c r="J362" s="204"/>
      <c r="K362" s="204"/>
      <c r="L362" s="202"/>
      <c r="N362" s="30">
        <f t="shared" si="71"/>
        <v>426206</v>
      </c>
    </row>
    <row r="363" ht="15.75" customHeight="1">
      <c r="A363" s="94"/>
      <c r="B363" s="206"/>
      <c r="C363" s="209" t="s">
        <v>193</v>
      </c>
      <c r="D363" s="201"/>
      <c r="E363" s="202"/>
      <c r="F363" s="201"/>
      <c r="G363" s="201"/>
      <c r="H363" s="201"/>
      <c r="I363" s="201"/>
      <c r="J363" s="204"/>
      <c r="K363" s="204"/>
      <c r="L363" s="202"/>
      <c r="M363" s="30"/>
      <c r="N363" s="30"/>
    </row>
    <row r="364" ht="15.75" customHeight="1">
      <c r="A364" s="8"/>
      <c r="B364" s="4"/>
      <c r="C364" s="4"/>
      <c r="D364" s="10"/>
      <c r="E364" s="10"/>
      <c r="F364" s="10"/>
      <c r="G364" s="10"/>
      <c r="H364" s="198"/>
      <c r="I364" s="198"/>
      <c r="J364" s="198"/>
      <c r="K364" s="198"/>
      <c r="L364" s="4"/>
      <c r="M364" s="4"/>
      <c r="N364" s="4"/>
    </row>
    <row r="365" ht="15.75" customHeight="1">
      <c r="A365" s="193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 ht="15.75" customHeight="1">
      <c r="A366" s="193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</sheetData>
  <mergeCells count="3">
    <mergeCell ref="B2:J2"/>
    <mergeCell ref="E349:L349"/>
    <mergeCell ref="G350:H350"/>
  </mergeCells>
  <conditionalFormatting sqref="A1:A366">
    <cfRule type="cellIs" dxfId="0" priority="1" operator="equal">
      <formula>2026</formula>
    </cfRule>
  </conditionalFormatting>
  <conditionalFormatting sqref="A1:A366">
    <cfRule type="cellIs" dxfId="1" priority="2" operator="equal">
      <formula>"!!!"</formula>
    </cfRule>
  </conditionalFormatting>
  <conditionalFormatting sqref="B1:B366">
    <cfRule type="beginsWith" dxfId="2" priority="3" operator="beginsWith" text="!!!">
      <formula>LEFT((B1),LEN("!!!"))=("!!!")</formula>
    </cfRule>
  </conditionalFormatting>
  <conditionalFormatting sqref="L342">
    <cfRule type="cellIs" dxfId="3" priority="4" operator="notEqual">
      <formula>0</formula>
    </cfRule>
  </conditionalFormatting>
  <conditionalFormatting sqref="L342">
    <cfRule type="cellIs" dxfId="0" priority="5" operator="equal">
      <formula>0</formula>
    </cfRule>
  </conditionalFormatting>
  <hyperlinks>
    <hyperlink r:id="rId1" ref="C251"/>
  </hyperlinks>
  <printOptions gridLines="1"/>
  <pageMargins bottom="0.75" footer="0.0" header="0.0" left="0.7" right="0.7" top="0.75"/>
  <pageSetup fitToHeight="0" paperSize="9" orientation="landscape"/>
  <headerFooter>
    <oddHeader>&amp;L&amp;F</oddHeader>
    <oddFooter/>
  </headerFooter>
  <drawing r:id="rId2"/>
</worksheet>
</file>