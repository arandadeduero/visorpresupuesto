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>
    <definedName name="suma_cap9">'2026'!$F$185</definedName>
    <definedName name="suma_cap7">'2026'!$F$172</definedName>
    <definedName name="suma_cap1">'2026'!$F$12</definedName>
    <definedName name="suma_cap6">'2026'!$F$157</definedName>
    <definedName name="suma_cap3">'2026'!$F$100</definedName>
    <definedName name="suma_cap5">'2026'!$F$151</definedName>
    <definedName name="suma_cap8">'2026'!$F$179</definedName>
    <definedName name="ing_75083">'2026'!$F$163</definedName>
    <definedName name="suma_cap4">'2026'!$F$131</definedName>
    <definedName name="suma_cap2">'2026'!$F$19</definedName>
    <definedName name="UNESPA">'2026'!$F$77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tc={c601a6d4-3735-4518-a97c-3fa1751d53d2}</author>
  </authors>
  <commentList>
    <comment authorId="0" ref="E163">
      <text>
        <t xml:space="preserve">https://transparencia.jcyl.es/sioc/AcuerdosConsejoGobierno/20240530-21/MAV-85-2024.pdf
	-Guillermo López</t>
      </text>
    </comment>
    <comment authorId="0" ref="F163">
      <text>
        <t xml:space="preserve">https://transparencia.jcyl.es/sioc/AcuerdosConsejoGobierno/20240530-21/MAV-85-2024.pdf
	-Guillermo López</t>
      </text>
    </comment>
    <comment authorId="0" ref="I163">
      <text>
        <t xml:space="preserve">https://transparencia.jcyl.es/sioc/AcuerdosConsejoGobierno/20240530-21/MAV-85-2024.pdf
	-Guillermo López</t>
      </text>
    </comment>
    <comment authorId="0" ref="D59">
      <text>
        <t xml:space="preserve">Con el nuevo contrato no hay ingresos para el Ayuntamiento
	-Guillermo López</t>
      </text>
    </comment>
    <comment authorId="0" ref="E59">
      <text>
        <t xml:space="preserve">Con el nuevo contrato no hay ingresos para el Ayuntamiento
	-Guillermo López</t>
      </text>
    </comment>
    <comment authorId="0" ref="F59">
      <text>
        <t xml:space="preserve">Con el nuevo contrato no hay ingresos para el Ayuntamiento
	-Guillermo López</t>
      </text>
    </comment>
    <comment authorId="0" ref="D55">
      <text>
        <t xml:space="preserve">Con el nuevo contrato no hay ingresos para el Ayuntamiento
	-Guillermo López</t>
      </text>
    </comment>
    <comment authorId="0" ref="E104">
      <text>
        <t xml:space="preserve">https://www.lamoncloa.gob.es/serviciosdeprensa/notasprensa/hacienda/Paginas/2024/150724-entidades-locales-entregas-a-cuenta.aspx
	-Guillermo López</t>
      </text>
    </comment>
    <comment authorId="0" ref="E55">
      <text>
        <t xml:space="preserve">Con el nuevo contrato no hay ingresos para el Ayuntamiento
	-Guillermo López</t>
      </text>
    </comment>
    <comment authorId="0" ref="F104">
      <text>
        <t xml:space="preserve">https://www.lamoncloa.gob.es/serviciosdeprensa/notasprensa/hacienda/Paginas/2024/150724-entidades-locales-entregas-a-cuenta.aspx
	-Guillermo López</t>
      </text>
    </comment>
    <comment authorId="0" ref="F55">
      <text>
        <t xml:space="preserve">Con el nuevo contrato no hay ingresos para el Ayuntamiento
	-Guillermo López</t>
      </text>
    </comment>
    <comment authorId="1" xr:uid="{c601a6d4-3735-4518-a97c-3fa1751d53d2}" ref="F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https://www.hacienda.gob.es/es-ES/CDI/Paginas/SistemasFinanciacionDeuda/InformacionEELLs/DatosFinanciacionEL.aspx
https://www.hacienda.gob.es/gl-ES/Prensa/Noticias/Paginas/2025/20250617-ENTREGAS-A-CUENTA-CCAA-Y-AYUNTAMIENTOS.aspx
</t>
      </text>
    </comment>
  </commentList>
</comments>
</file>

<file path=xl/sharedStrings.xml><?xml version="1.0" encoding="utf-8"?>
<sst xmlns="http://schemas.openxmlformats.org/spreadsheetml/2006/main" count="289" uniqueCount="256">
  <si>
    <t xml:space="preserve">   </t>
  </si>
  <si>
    <t>CLASIFIC. ECONÓMICA</t>
  </si>
  <si>
    <t>CAPÍTULO I: IMPUESTOS DIRECTOS</t>
  </si>
  <si>
    <t>AÑO 2024</t>
  </si>
  <si>
    <t>AÑO 2025</t>
  </si>
  <si>
    <t>AÑO 2026</t>
  </si>
  <si>
    <t>Incr / Decr</t>
  </si>
  <si>
    <t>IMPUESTO SOBRE BIENES INMUEBLES DE NATURALEZA RÚSTICA</t>
  </si>
  <si>
    <t>IMPUESTO SOBRE BIENES INMUEBLES DE NATURALEZA URBANA</t>
  </si>
  <si>
    <t>IMPUESTO SOBRE VEHÍCULOS DE TRACCIÓN MECÁNICA</t>
  </si>
  <si>
    <t>IMPUESTO SOBRE INCREMENTO DE VALOR DE LOS TERRENOS NATURALEZA URBANA</t>
  </si>
  <si>
    <t>ARTÍCULO 11</t>
  </si>
  <si>
    <t>IMPUESTO SOBRE ACTIVIDADES ECONÓMICAS</t>
  </si>
  <si>
    <t>ARTÍCULO 13</t>
  </si>
  <si>
    <t>TOTAL CAPÍTULO I</t>
  </si>
  <si>
    <t>CAPÍTULO II: IMPUESTOS INDIRECTOS</t>
  </si>
  <si>
    <t>IMPUESTO SOBRE INSTALACIONES, CONSTRUCCIONES Y OBRAS</t>
  </si>
  <si>
    <t>ARTÍCULO 29</t>
  </si>
  <si>
    <t>TOTAL CAPÍTULO II</t>
  </si>
  <si>
    <t>CAPÍTULO III: TASAS Y OTROS INGRESOS</t>
  </si>
  <si>
    <t>300.00</t>
  </si>
  <si>
    <t>TASA ABASTECIMIENTO AGUA</t>
  </si>
  <si>
    <t>302.00</t>
  </si>
  <si>
    <t>TASA DE BASURAS: RECOGIDA Y TRANSPORTE (Ley 7/2022)</t>
  </si>
  <si>
    <t>305.00</t>
  </si>
  <si>
    <t>TASA EXTINCIÓN DE INCENDIOS</t>
  </si>
  <si>
    <t>ARTÍCULO 30</t>
  </si>
  <si>
    <t>321.00</t>
  </si>
  <si>
    <t>TASA LICENCIAS URBANÍSTICAS</t>
  </si>
  <si>
    <t>325.00</t>
  </si>
  <si>
    <t>TASA EXPEDICIÓN DE DOCUMENTOS</t>
  </si>
  <si>
    <t>326.00</t>
  </si>
  <si>
    <t>TASA RETIRADA DE VEHÍCULOS</t>
  </si>
  <si>
    <t>327.00</t>
  </si>
  <si>
    <t>TASA PARTICIPACIÓN EXÁMENES Y PROCESOS SELECTIVOS</t>
  </si>
  <si>
    <t>329.00</t>
  </si>
  <si>
    <t>TASA AUTOTAXIS</t>
  </si>
  <si>
    <t>329.01</t>
  </si>
  <si>
    <t>TASA APERTURA ESTABLECIMIENTOS</t>
  </si>
  <si>
    <t>329.03</t>
  </si>
  <si>
    <t>TASA CELEBRACIÓN MATRIMONIOS CIVILES</t>
  </si>
  <si>
    <t>ARTÍCULO 32</t>
  </si>
  <si>
    <t>330.00</t>
  </si>
  <si>
    <t>TASA POR ESTACIONAMIENTO DE VEHÍCULOS (ORA)</t>
  </si>
  <si>
    <t>331.00</t>
  </si>
  <si>
    <t>TASA ENTRADA DE VEHÍCULOS A TRAVÉS DE LAS ACERAS</t>
  </si>
  <si>
    <t>332.00</t>
  </si>
  <si>
    <t>TASA UTILIZACIÓN PRIVATIVA EMPRESAS EXPLOTADORAS DE SERVICIOS Y SUMINISTROS</t>
  </si>
  <si>
    <t>335.00</t>
  </si>
  <si>
    <t>TASA POR OCUPACIÓN DE LA VÍA PÚBLICA CON TERRAZAS Y VELADORES</t>
  </si>
  <si>
    <t>339.00</t>
  </si>
  <si>
    <t>TASA POR OTRAS OCUPACIONES DEL DOMINIO PÚBLICO LOCAL</t>
  </si>
  <si>
    <t>339.01</t>
  </si>
  <si>
    <t xml:space="preserve">TASA POR OCUPACIÓN DE LA VÍA PÚBLICA CON QUIOSCOS </t>
  </si>
  <si>
    <t>339.02</t>
  </si>
  <si>
    <t>TASA POR OCUPACIÓN DE LA VÍA PÚBLICA CON BARRACAS Y PUESTOS DE FERIA</t>
  </si>
  <si>
    <t>339.03</t>
  </si>
  <si>
    <t>TASA POR APROVECHAMIENTO ESPECIAL DEL SUELO CON CAJEROS AUTOMÁTICOS</t>
  </si>
  <si>
    <t>TASA POR OCUPACIÓN DE VIVIENDA PÚBLICA</t>
  </si>
  <si>
    <t>339.04</t>
  </si>
  <si>
    <t>TASA CEMENTERIO</t>
  </si>
  <si>
    <t>339.09</t>
  </si>
  <si>
    <t>OTRAS TASAS POR UTILIZACIÓN PRIVATIVA DEL DOMINIO PÚBLICO LOCAL</t>
  </si>
  <si>
    <t>ARTÍCULO 33</t>
  </si>
  <si>
    <t>341.00</t>
  </si>
  <si>
    <t xml:space="preserve">PRECIO PÚBLICO AYUDA A DOMICILIO </t>
  </si>
  <si>
    <t>341.02</t>
  </si>
  <si>
    <t>PRECIO PÚBLICO SERVICIO DE COMIDAS</t>
  </si>
  <si>
    <t>341.03</t>
  </si>
  <si>
    <t>PRECIO PÚBLICO ATENCIÓN PREVENTIVA</t>
  </si>
  <si>
    <t>342.00</t>
  </si>
  <si>
    <t>PRECIO PÚBLICO ESCUELA DE MÚSICA</t>
  </si>
  <si>
    <t>342.01</t>
  </si>
  <si>
    <t>PRECIO PÚBLICO ESCUELA DE FOLCLORE</t>
  </si>
  <si>
    <t>342.02</t>
  </si>
  <si>
    <t>PRECIO PÚBLICO ESCUELA DE CERÁMICA</t>
  </si>
  <si>
    <t>342.03</t>
  </si>
  <si>
    <t>PRECIO PÚBLICO ACTIVIDADES JUVENILES</t>
  </si>
  <si>
    <t>342.04</t>
  </si>
  <si>
    <t>PRECIO PÚBLICO ESCUELAS INFANTILES MUNICIPALES</t>
  </si>
  <si>
    <t>342.05</t>
  </si>
  <si>
    <t>PRECIO PÚBLICO CURSOS DE VERANO</t>
  </si>
  <si>
    <t>342.06</t>
  </si>
  <si>
    <t>PRECIO PÚBLICO OTROS CURSOS ESCUELA DE CERÁMICA</t>
  </si>
  <si>
    <t>342.07</t>
  </si>
  <si>
    <t>PRECIO PÚBLICO COLONIAS DE VERANO</t>
  </si>
  <si>
    <t>342.08</t>
  </si>
  <si>
    <t>PRECIO PÚBLICO VISITAS TEATRALIZADAS</t>
  </si>
  <si>
    <t>342.09</t>
  </si>
  <si>
    <t>PRECIO PÚBLICO VISITAS BODEGAS PEÑAS</t>
  </si>
  <si>
    <t>342.10</t>
  </si>
  <si>
    <t>PRECIO PÚBLICO AUTOBÚS TURÍSTICO</t>
  </si>
  <si>
    <t>342.11</t>
  </si>
  <si>
    <t>PRECIO PÚBLICO MUSEO DEL TREN</t>
  </si>
  <si>
    <t>342.12</t>
  </si>
  <si>
    <t>PRECIO PÚBLICO MUSEO DE PINTURA</t>
  </si>
  <si>
    <t>342.13</t>
  </si>
  <si>
    <t>PRECIO PÚBLICO VISITAS BODEGA LAS ÁNIMAS</t>
  </si>
  <si>
    <t>343.00</t>
  </si>
  <si>
    <t>PRECIO PÚBLICO UTILIZACIÓN INSTALACIONES DEPORTIVAS</t>
  </si>
  <si>
    <t>344.00</t>
  </si>
  <si>
    <t>PRECIO PÚBLICO ESPECTÁCULOS CASA DE CULTURA</t>
  </si>
  <si>
    <t>345.00</t>
  </si>
  <si>
    <t>PRECIO PÚBLICO TRANSPORTE URBANO DE VIAJEROS</t>
  </si>
  <si>
    <t>349.00</t>
  </si>
  <si>
    <t>PRECIO PÚBLICO ACTIVIDADES ACCIÓN SOCIAL</t>
  </si>
  <si>
    <t>349.01</t>
  </si>
  <si>
    <t>PRECIO PÚBLICO DE LA BANDA DE MÚSICA</t>
  </si>
  <si>
    <t>349.02</t>
  </si>
  <si>
    <t>PRECIO PÚBLICO FERIAS</t>
  </si>
  <si>
    <t>349.03</t>
  </si>
  <si>
    <t>PRECIO PÚBLICO UTILIZACIÓN RECINTO FERIAL</t>
  </si>
  <si>
    <t>349.05</t>
  </si>
  <si>
    <t>PRECIO PÚBLICO OTRAS ACTIVIDADES</t>
  </si>
  <si>
    <t>ARTÍCULO 34</t>
  </si>
  <si>
    <t>351.00</t>
  </si>
  <si>
    <t>CONTRIBUCIÓN ESPECIAL UNESPA. SERVICIO EXTINCIÓN DE INCENDIOS</t>
  </si>
  <si>
    <t>ARTÍCULO 35</t>
  </si>
  <si>
    <t>360.00</t>
  </si>
  <si>
    <t>VENTAS EFECTOS INÚTILES (papel, vidrio, plástico y otros)</t>
  </si>
  <si>
    <t>&lt;-- ecoembes / ecovidrio…</t>
  </si>
  <si>
    <t>361.00</t>
  </si>
  <si>
    <t>VENTAS TRABAJOS OTRAS EMPRESAS</t>
  </si>
  <si>
    <t>362.00</t>
  </si>
  <si>
    <t>VENTAS OTROS EFECTOS</t>
  </si>
  <si>
    <t>ARTÍCULO 36</t>
  </si>
  <si>
    <t>389.00</t>
  </si>
  <si>
    <t>REINTEGROS DE PRESUPUESTOS CERRADOS</t>
  </si>
  <si>
    <t>ARTÍCULO 38</t>
  </si>
  <si>
    <t>391.00</t>
  </si>
  <si>
    <t>MULTAS POR INFRACCIONES URBANÍSTICAS</t>
  </si>
  <si>
    <t>391.20</t>
  </si>
  <si>
    <t>MULTAS DE TRÁFICO ORA</t>
  </si>
  <si>
    <t>391.21</t>
  </si>
  <si>
    <t>MULTAS DE INFRACCIONES DE TRÁFICO (NO ORA)</t>
  </si>
  <si>
    <t>391.30</t>
  </si>
  <si>
    <t>MULTAS COERCITIVAS INFRACCIONES ORDENANZAS</t>
  </si>
  <si>
    <t>391.90</t>
  </si>
  <si>
    <t>OTRAS SANCIONES</t>
  </si>
  <si>
    <t>392.11</t>
  </si>
  <si>
    <t xml:space="preserve">RECARGOS DE APREMIO </t>
  </si>
  <si>
    <t>393.00</t>
  </si>
  <si>
    <t>INTERESES DE DEMORA</t>
  </si>
  <si>
    <t>397.00</t>
  </si>
  <si>
    <t>APROVECHAMIENTOS URBANÍSTICOS</t>
  </si>
  <si>
    <t>398.00</t>
  </si>
  <si>
    <t xml:space="preserve">INDEMNIZACIONES POR SINIESTROS </t>
  </si>
  <si>
    <t>399.00</t>
  </si>
  <si>
    <t>RECURSOS EVENTUALES</t>
  </si>
  <si>
    <t>ARTÍCULO 39</t>
  </si>
  <si>
    <t>TOTAL CAPÍTULO III</t>
  </si>
  <si>
    <t>CAPÍTULO IV: TRANSFERENCIAS CORRIENTES</t>
  </si>
  <si>
    <t>420.00</t>
  </si>
  <si>
    <t>PARTICIPACIÓN EN LOS TRIBUTOS DEL ESTADO</t>
  </si>
  <si>
    <t>420.20</t>
  </si>
  <si>
    <t>COMPENSACIONES POR BENEFICIOS FISCALES</t>
  </si>
  <si>
    <t>420.90</t>
  </si>
  <si>
    <t>OTRAS PARTICIPACIONES (FONDO ADICIONAL PARA COMPENSAR LA LIQ NEGATIVA 2020)</t>
  </si>
  <si>
    <t>420.91</t>
  </si>
  <si>
    <t>OTRAS TRANSFERENCIAS. CONTRATACIÓN AGENTE INNOVACIÓN LOCAL</t>
  </si>
  <si>
    <t>420.93</t>
  </si>
  <si>
    <t>OTRAS TRANSF. PACTO DE ESTADO CONTRA VIOLENCIA DE GÉNERO</t>
  </si>
  <si>
    <t>420.94</t>
  </si>
  <si>
    <t>OTRAS TRANSF. CONTROL COLONIAS FELINAS</t>
  </si>
  <si>
    <t>ARTÍCULO 42</t>
  </si>
  <si>
    <t>450.00</t>
  </si>
  <si>
    <t>PARTICIPACIÓN EN INGRESOS DE LA CCAA. FONDO INCONDICIONADO</t>
  </si>
  <si>
    <t>450.02</t>
  </si>
  <si>
    <t>TRANSFERENCIAS CORRIENTES CONVENIOS SERVICIOS SOCIALES. ACUERDO MARCO</t>
  </si>
  <si>
    <t>450.05</t>
  </si>
  <si>
    <t>TRANSFERENCIAS CORRIENTES CONVENIO JCYL GRATUIDAD ESCUELAS INFANTILES</t>
  </si>
  <si>
    <t>450.80</t>
  </si>
  <si>
    <t>OTRAS SUBVENCIONES CORRIENTES. COMPETENCIAS DELEGADAS DEPORTES</t>
  </si>
  <si>
    <t>450.81</t>
  </si>
  <si>
    <t>OTRAS TRANSFERENCIAS. PROTECCION ACUSTICA</t>
  </si>
  <si>
    <t>450.83</t>
  </si>
  <si>
    <t>OTRAS TRANSF. SUBV. PRTR OFICINA GESTIÓN ARU STA CATALINA</t>
  </si>
  <si>
    <t>ARTÍCULO 45</t>
  </si>
  <si>
    <t>461.00</t>
  </si>
  <si>
    <t>CONVENIO DIPUTACIÓN PRESTACIÓN SERVICIO EXTINCIÓN DE INCENDIOS</t>
  </si>
  <si>
    <t>461.01</t>
  </si>
  <si>
    <t>CONVENIO DIPUTACIÓN VUELTA CICLISTA JUNIOR A LA RIBERA</t>
  </si>
  <si>
    <t>ARTÍCULO 46</t>
  </si>
  <si>
    <t>470.01</t>
  </si>
  <si>
    <t>SUBVENCIONES DE EMPRESAS PRIVADAS. CERTAMEN DE BANDAS</t>
  </si>
  <si>
    <t>470.12</t>
  </si>
  <si>
    <t>SUBVENCIONES DE EMPRESAS PRIVADAS. FESTEJOS</t>
  </si>
  <si>
    <t>470.10</t>
  </si>
  <si>
    <t>SUBVENCIONES DE EMPRESAS PRIVADAS. ACTIVIDADES DEPORTIVAS</t>
  </si>
  <si>
    <t>ARTÍCULO 47</t>
  </si>
  <si>
    <t>497.00</t>
  </si>
  <si>
    <t>OTRAS TRANSFERENCIAS DE LA UNION EUROPEA. ARU SANTA CATALINA</t>
  </si>
  <si>
    <t>ARTÍCULO 49</t>
  </si>
  <si>
    <t>TOTAL CAPÍTULO IV</t>
  </si>
  <si>
    <t>CAPÍTULO V: INGRESOS PATRIMONIALES</t>
  </si>
  <si>
    <t>520.00</t>
  </si>
  <si>
    <t>INTERESES DE DEPÓSITOS DE EMPRESAS PRIVADAS</t>
  </si>
  <si>
    <t>520.01</t>
  </si>
  <si>
    <t>INTERESES DE CUENTAS ARU</t>
  </si>
  <si>
    <t>540.00</t>
  </si>
  <si>
    <t>ARRENDAMIENTO FINCAS URBANAS</t>
  </si>
  <si>
    <t>ARTÍCULO 54</t>
  </si>
  <si>
    <t>550.02</t>
  </si>
  <si>
    <t>CONCESIÓN ALBERGUE JUVENIL</t>
  </si>
  <si>
    <t>552.03</t>
  </si>
  <si>
    <t>CONCESIÓN QUIOSCOS</t>
  </si>
  <si>
    <t>552.04</t>
  </si>
  <si>
    <t>CONCESIÓN APARCAMIENTO DE CAMIONES</t>
  </si>
  <si>
    <t>552.05</t>
  </si>
  <si>
    <t>CONCESIÓN PARKING SOL DE LAS MORERAS</t>
  </si>
  <si>
    <t>553.00</t>
  </si>
  <si>
    <t>CONCESIÓN PUERTO SECO</t>
  </si>
  <si>
    <t>555.00</t>
  </si>
  <si>
    <t>APROVECHAMIENTO COTO MONTE LA CALABAZA</t>
  </si>
  <si>
    <t>555.01</t>
  </si>
  <si>
    <t>APROVECHAMIENTO PASTOS MONTE LA CALABAZA</t>
  </si>
  <si>
    <t>ARTÍCULO 55</t>
  </si>
  <si>
    <t>599.00</t>
  </si>
  <si>
    <t>OTROS INGRESOS PATRIMONIALES</t>
  </si>
  <si>
    <t>ARTÍCULO 59</t>
  </si>
  <si>
    <t>TOTAL CAPÍTULO V</t>
  </si>
  <si>
    <t>CAPÍTULO VI: ENAJENACIÓN DE INVERSIONES REALES</t>
  </si>
  <si>
    <t>PATRIMONIO PÚBLICO DEL SUELO</t>
  </si>
  <si>
    <t>&lt;-- quinta julia</t>
  </si>
  <si>
    <t>ARTÍCULO 60</t>
  </si>
  <si>
    <t>TOTAL CAPÍTULO VI</t>
  </si>
  <si>
    <t>CAPÍTULO VII: TRANSFERENCIAS DE CAPITAL</t>
  </si>
  <si>
    <t>750.60</t>
  </si>
  <si>
    <t>OTRAS TRANSFERENCIAS CAPITAL. SUBVENCIÓN DIRECTA CONSEJERÍA DE PRESIDENCIA</t>
  </si>
  <si>
    <t>750.80</t>
  </si>
  <si>
    <t>OTRAS TRANSFERENCIAS. FCL INVERSIONES AGENDA 2030</t>
  </si>
  <si>
    <t>750.81</t>
  </si>
  <si>
    <t>OTRAS TRANSFERENCIAS. FCL INVERSIONES DESAFÍOS DEMOGRÁFICOS</t>
  </si>
  <si>
    <t>750.83</t>
  </si>
  <si>
    <t>OTRAS TRANSF. SUBV. PRTR ARU SANTA CATALINA</t>
  </si>
  <si>
    <t>ARTÍCULO 75</t>
  </si>
  <si>
    <t>789.00</t>
  </si>
  <si>
    <t>TRANSF. DE FAMILIAS E INST. SIN FINES DE LUCRO. PROPIETARIOS ARU</t>
  </si>
  <si>
    <t>ARTÍCULO 78</t>
  </si>
  <si>
    <t>797.00</t>
  </si>
  <si>
    <t>OTRAS TRANSFERENCIAS DE LA UNIÓN EUROPEA. ARU SANTA CATALINA</t>
  </si>
  <si>
    <t>ARTÍCULO 79</t>
  </si>
  <si>
    <t>TOTAL CAPÍTULO VII</t>
  </si>
  <si>
    <t>CAPÍTULO VIII: ACTIVOS FINANCIEROS</t>
  </si>
  <si>
    <t>830.00</t>
  </si>
  <si>
    <t>REINTEGROS ANTICIPOS AL PERSONAL</t>
  </si>
  <si>
    <t>870.10</t>
  </si>
  <si>
    <t>REMANENTE DE TESORERÍA AFECTADO FONDOS EUROPEOS NEXT-GENERATION</t>
  </si>
  <si>
    <t>ARTÍCULO 80</t>
  </si>
  <si>
    <t>TOTAL CAPÍTULO VIII</t>
  </si>
  <si>
    <t>CAPÍTULO IX: PASIVOS FINANCIEROS</t>
  </si>
  <si>
    <t>913.00</t>
  </si>
  <si>
    <t>PRÉSTAMOS DE ENTES DE FUERA DEL SECTOR PÚBLICO A LARGO PLAZO</t>
  </si>
  <si>
    <t>ARTÍCULO 91</t>
  </si>
  <si>
    <t>TOTAL CAPÍTULO IX</t>
  </si>
  <si>
    <t>PREVISIONES TOTALES ESTADO DE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</si>
</sst>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10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3" fontId="2" numFmtId="0" xfId="0" applyAlignment="1" applyBorder="1" applyFill="1" applyFont="1">
      <alignment horizontal="right" shrinkToFit="0" vertical="bottom" wrapText="0"/>
    </xf>
    <xf borderId="1" fillId="3" fontId="2" numFmtId="164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4" xfId="0" applyFont="1" applyNumberFormat="1"/>
    <xf borderId="0" fillId="0" fontId="1" numFmtId="165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4" fontId="2" numFmtId="0" xfId="0" applyAlignment="1" applyBorder="1" applyFill="1" applyFont="1">
      <alignment horizontal="center" shrinkToFit="0" vertical="bottom" wrapText="0"/>
    </xf>
    <xf borderId="1" fillId="4" fontId="2" numFmtId="16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5762625</xdr:colOff>
      <xdr:row>27</xdr:row>
      <xdr:rowOff>0</xdr:rowOff>
    </xdr:from>
    <xdr:ext cx="685800" cy="295275"/>
    <xdr:sp>
      <xdr:nvSpPr>
        <xdr:cNvPr id="3" name="Shape 3"/>
        <xdr:cNvSpPr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uillermo López" id="{85ba5f95-e625-43d2-849c-4fed893bf0a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4" dT="2025-06-28T22:37:39.00" personId="{85ba5f95-e625-43d2-849c-4fed893bf0a7}" id="{c601a6d4-3735-4518-a97c-3fa1751d53d2}" done="0">
    <x18tc:text xml:space="preserve">https://www.hacienda.gob.es/es-ES/CDI/Paginas/SistemasFinanciacionDeuda/InformacionEELLs/DatosFinanciacionEL.aspx
https://www.hacienda.gob.es/gl-ES/Prensa/Noticias/Paginas/2025/20250617-ENTREGAS-A-CUENTA-CCAA-Y-AYUNTAMIENTOS.aspx</x18tc:text>
    <x18tc:extLst>
      <ext uri="{F7C98A9C-CBB3-438F-8F68-D28B6AF4A901}">
        <xltc2:checksum/>
        <xltc2:hyperlink startIndex="0" length="113" url="https://www.hacienda.gob.es/es-ES/CDI/Paginas/SistemasFinanciacionDeuda/InformacionEELLs/DatosFinanciacionEL.aspx"/>
        <xltc2:hyperlink startIndex="115" length="115" url="https://www.hacienda.gob.es/gl-ES/Prensa/Noticias/Paginas/2025/20250617-ENTREGAS-A-CUENTA-CCAA-Y-AYUNTAMIENTOS.aspx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5.75"/>
    <col customWidth="1" min="3" max="3" width="78.63"/>
    <col customWidth="1" hidden="1" min="4" max="5" width="15.63"/>
    <col customWidth="1" min="6" max="6" width="15.63"/>
    <col customWidth="1" min="7" max="7" width="11.88"/>
    <col customWidth="1" min="8" max="8" width="3.25"/>
    <col customWidth="1" min="9" max="9" width="12.0"/>
  </cols>
  <sheetData>
    <row r="1" ht="13.5" customHeight="1">
      <c r="A1" s="1"/>
      <c r="B1" s="2"/>
      <c r="C1" s="2"/>
      <c r="D1" s="3"/>
      <c r="E1" s="3"/>
      <c r="F1" s="3"/>
      <c r="G1" s="4"/>
      <c r="H1" s="5"/>
      <c r="I1" s="5"/>
    </row>
    <row r="2" ht="26.25" customHeight="1">
      <c r="A2" s="1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8" t="s">
        <v>5</v>
      </c>
      <c r="G2" s="9" t="s">
        <v>6</v>
      </c>
      <c r="H2" s="5"/>
      <c r="I2" s="5"/>
    </row>
    <row r="3" ht="12.75" customHeight="1">
      <c r="A3" s="5"/>
      <c r="B3" s="10">
        <v>112.0</v>
      </c>
      <c r="C3" s="11" t="s">
        <v>7</v>
      </c>
      <c r="D3" s="12">
        <v>548000.0</v>
      </c>
      <c r="E3" s="12">
        <v>590000.0</v>
      </c>
      <c r="F3" s="13">
        <v>595000.0</v>
      </c>
      <c r="G3" s="14">
        <f t="shared" ref="G3:G23" si="1">IFERROR((F3-E3)/E3,"")</f>
        <v>0.008474576271</v>
      </c>
      <c r="H3" s="5"/>
      <c r="I3" s="5"/>
    </row>
    <row r="4" ht="12.75" customHeight="1">
      <c r="A4" s="5"/>
      <c r="B4" s="10">
        <v>113.0</v>
      </c>
      <c r="C4" s="11" t="s">
        <v>8</v>
      </c>
      <c r="D4" s="12">
        <v>1.055E7</v>
      </c>
      <c r="E4" s="12">
        <v>1.14E7</v>
      </c>
      <c r="F4" s="13">
        <v>1.1675E7</v>
      </c>
      <c r="G4" s="14">
        <f t="shared" si="1"/>
        <v>0.02412280702</v>
      </c>
      <c r="H4" s="5"/>
      <c r="I4" s="15"/>
    </row>
    <row r="5" ht="12.75" customHeight="1">
      <c r="A5" s="5"/>
      <c r="B5" s="10">
        <v>115.0</v>
      </c>
      <c r="C5" s="11" t="s">
        <v>9</v>
      </c>
      <c r="D5" s="12">
        <v>1730000.0</v>
      </c>
      <c r="E5" s="12">
        <v>1730000.0</v>
      </c>
      <c r="F5" s="13">
        <v>1780000.0</v>
      </c>
      <c r="G5" s="14">
        <f t="shared" si="1"/>
        <v>0.0289017341</v>
      </c>
      <c r="H5" s="5"/>
      <c r="I5" s="5"/>
    </row>
    <row r="6" ht="12.75" customHeight="1">
      <c r="A6" s="5"/>
      <c r="B6" s="10">
        <v>116.0</v>
      </c>
      <c r="C6" s="11" t="s">
        <v>10</v>
      </c>
      <c r="D6" s="12">
        <v>400000.0</v>
      </c>
      <c r="E6" s="12">
        <v>600000.0</v>
      </c>
      <c r="F6" s="13">
        <v>800000.0</v>
      </c>
      <c r="G6" s="14">
        <f t="shared" si="1"/>
        <v>0.3333333333</v>
      </c>
      <c r="H6" s="5"/>
      <c r="I6" s="5"/>
    </row>
    <row r="7" ht="12.75" customHeight="1">
      <c r="A7" s="5"/>
      <c r="B7" s="10"/>
      <c r="C7" s="16" t="s">
        <v>11</v>
      </c>
      <c r="D7" s="17">
        <v>1.3228E7</v>
      </c>
      <c r="E7" s="17">
        <v>1.432E7</v>
      </c>
      <c r="F7" s="17">
        <f>SUM(F3:F6)</f>
        <v>14850000</v>
      </c>
      <c r="G7" s="14">
        <f t="shared" si="1"/>
        <v>0.03701117318</v>
      </c>
      <c r="H7" s="5"/>
      <c r="I7" s="5"/>
    </row>
    <row r="8" ht="12.75" customHeight="1">
      <c r="A8" s="5"/>
      <c r="B8" s="10"/>
      <c r="C8" s="16"/>
      <c r="D8" s="17"/>
      <c r="E8" s="17"/>
      <c r="F8" s="17"/>
      <c r="G8" s="14" t="str">
        <f t="shared" si="1"/>
        <v/>
      </c>
      <c r="H8" s="5"/>
      <c r="I8" s="5"/>
    </row>
    <row r="9" ht="12.75" customHeight="1">
      <c r="A9" s="5"/>
      <c r="B9" s="10">
        <v>130.0</v>
      </c>
      <c r="C9" s="11" t="s">
        <v>12</v>
      </c>
      <c r="D9" s="12">
        <v>1450000.0</v>
      </c>
      <c r="E9" s="12">
        <v>1500000.0</v>
      </c>
      <c r="F9" s="13">
        <v>1750000.0</v>
      </c>
      <c r="G9" s="14">
        <f t="shared" si="1"/>
        <v>0.1666666667</v>
      </c>
      <c r="H9" s="5"/>
      <c r="I9" s="5"/>
    </row>
    <row r="10" ht="13.5" customHeight="1">
      <c r="A10" s="5"/>
      <c r="B10" s="5"/>
      <c r="C10" s="16" t="s">
        <v>13</v>
      </c>
      <c r="D10" s="17">
        <v>1450000.0</v>
      </c>
      <c r="E10" s="17">
        <v>1500000.0</v>
      </c>
      <c r="F10" s="17">
        <f>SUM(F9)</f>
        <v>1750000</v>
      </c>
      <c r="G10" s="14">
        <f t="shared" si="1"/>
        <v>0.1666666667</v>
      </c>
      <c r="H10" s="5"/>
      <c r="I10" s="5"/>
    </row>
    <row r="11" ht="13.5" customHeight="1">
      <c r="A11" s="5"/>
      <c r="B11" s="5"/>
      <c r="C11" s="16"/>
      <c r="D11" s="17"/>
      <c r="E11" s="17"/>
      <c r="F11" s="17"/>
      <c r="G11" s="14" t="str">
        <f t="shared" si="1"/>
        <v/>
      </c>
      <c r="H11" s="5"/>
      <c r="I11" s="5"/>
    </row>
    <row r="12" ht="13.5" customHeight="1">
      <c r="A12" s="5"/>
      <c r="B12" s="5"/>
      <c r="C12" s="18" t="s">
        <v>14</v>
      </c>
      <c r="D12" s="19">
        <v>1.4678E7</v>
      </c>
      <c r="E12" s="19">
        <v>1.582E7</v>
      </c>
      <c r="F12" s="19">
        <f>F7+F10</f>
        <v>16600000</v>
      </c>
      <c r="G12" s="14">
        <f t="shared" si="1"/>
        <v>0.04930467762</v>
      </c>
      <c r="H12" s="5"/>
      <c r="I12" s="5"/>
    </row>
    <row r="13" ht="12.75" customHeight="1">
      <c r="A13" s="5"/>
      <c r="B13" s="5"/>
      <c r="C13" s="16"/>
      <c r="D13" s="12"/>
      <c r="E13" s="12"/>
      <c r="F13" s="12"/>
      <c r="G13" s="14" t="str">
        <f t="shared" si="1"/>
        <v/>
      </c>
      <c r="H13" s="5"/>
      <c r="I13" s="5"/>
    </row>
    <row r="14" ht="13.5" customHeight="1">
      <c r="A14" s="5"/>
      <c r="B14" s="20"/>
      <c r="C14" s="5"/>
      <c r="D14" s="12"/>
      <c r="E14" s="12"/>
      <c r="F14" s="12"/>
      <c r="G14" s="14" t="str">
        <f t="shared" si="1"/>
        <v/>
      </c>
      <c r="H14" s="5"/>
      <c r="I14" s="5"/>
    </row>
    <row r="15" ht="26.25" customHeight="1">
      <c r="A15" s="5"/>
      <c r="B15" s="6" t="s">
        <v>1</v>
      </c>
      <c r="C15" s="6" t="s">
        <v>15</v>
      </c>
      <c r="D15" s="7" t="s">
        <v>3</v>
      </c>
      <c r="E15" s="7" t="s">
        <v>4</v>
      </c>
      <c r="F15" s="8" t="s">
        <v>5</v>
      </c>
      <c r="G15" s="14" t="str">
        <f t="shared" si="1"/>
        <v/>
      </c>
      <c r="H15" s="5"/>
      <c r="I15" s="5"/>
    </row>
    <row r="16" ht="12.75" customHeight="1">
      <c r="A16" s="5"/>
      <c r="B16" s="10">
        <v>290.0</v>
      </c>
      <c r="C16" s="5" t="s">
        <v>16</v>
      </c>
      <c r="D16" s="12">
        <v>900000.0</v>
      </c>
      <c r="E16" s="12">
        <v>900000.0</v>
      </c>
      <c r="F16" s="12">
        <v>900000.0</v>
      </c>
      <c r="G16" s="14">
        <f t="shared" si="1"/>
        <v>0</v>
      </c>
      <c r="H16" s="5"/>
      <c r="I16" s="5"/>
    </row>
    <row r="17" ht="13.5" customHeight="1">
      <c r="A17" s="5"/>
      <c r="B17" s="21"/>
      <c r="C17" s="16" t="s">
        <v>17</v>
      </c>
      <c r="D17" s="17">
        <v>900000.0</v>
      </c>
      <c r="E17" s="17">
        <v>900000.0</v>
      </c>
      <c r="F17" s="17">
        <f>SUM(F16)</f>
        <v>900000</v>
      </c>
      <c r="G17" s="14">
        <f t="shared" si="1"/>
        <v>0</v>
      </c>
      <c r="H17" s="5"/>
      <c r="I17" s="5"/>
    </row>
    <row r="18" ht="13.5" customHeight="1">
      <c r="A18" s="5"/>
      <c r="B18" s="21"/>
      <c r="C18" s="16"/>
      <c r="D18" s="17"/>
      <c r="E18" s="17"/>
      <c r="F18" s="17"/>
      <c r="G18" s="14" t="str">
        <f t="shared" si="1"/>
        <v/>
      </c>
      <c r="H18" s="5"/>
      <c r="I18" s="5"/>
    </row>
    <row r="19" ht="13.5" customHeight="1">
      <c r="A19" s="5"/>
      <c r="B19" s="10"/>
      <c r="C19" s="18" t="s">
        <v>18</v>
      </c>
      <c r="D19" s="19">
        <v>900000.0</v>
      </c>
      <c r="E19" s="19">
        <v>900000.0</v>
      </c>
      <c r="F19" s="19">
        <f>F17</f>
        <v>900000</v>
      </c>
      <c r="G19" s="14">
        <f t="shared" si="1"/>
        <v>0</v>
      </c>
      <c r="H19" s="5"/>
      <c r="I19" s="5"/>
    </row>
    <row r="20" ht="12.75" customHeight="1">
      <c r="A20" s="5"/>
      <c r="B20" s="10"/>
      <c r="C20" s="5"/>
      <c r="D20" s="12"/>
      <c r="E20" s="12"/>
      <c r="F20" s="12"/>
      <c r="G20" s="14" t="str">
        <f t="shared" si="1"/>
        <v/>
      </c>
      <c r="H20" s="5"/>
      <c r="I20" s="5"/>
    </row>
    <row r="21" ht="13.5" customHeight="1">
      <c r="A21" s="5"/>
      <c r="B21" s="20"/>
      <c r="C21" s="5"/>
      <c r="D21" s="12"/>
      <c r="E21" s="12"/>
      <c r="F21" s="12"/>
      <c r="G21" s="14" t="str">
        <f t="shared" si="1"/>
        <v/>
      </c>
      <c r="H21" s="5"/>
      <c r="I21" s="5"/>
    </row>
    <row r="22" ht="26.25" customHeight="1">
      <c r="A22" s="5"/>
      <c r="B22" s="6" t="s">
        <v>1</v>
      </c>
      <c r="C22" s="6" t="s">
        <v>19</v>
      </c>
      <c r="D22" s="7" t="s">
        <v>3</v>
      </c>
      <c r="E22" s="7" t="s">
        <v>4</v>
      </c>
      <c r="F22" s="8" t="s">
        <v>5</v>
      </c>
      <c r="G22" s="14" t="str">
        <f t="shared" si="1"/>
        <v/>
      </c>
      <c r="H22" s="5"/>
      <c r="I22" s="5"/>
    </row>
    <row r="23" ht="13.5" customHeight="1">
      <c r="A23" s="5"/>
      <c r="B23" s="22" t="s">
        <v>20</v>
      </c>
      <c r="C23" s="5" t="s">
        <v>21</v>
      </c>
      <c r="D23" s="23">
        <v>4500000.0</v>
      </c>
      <c r="E23" s="23">
        <v>2400000.0</v>
      </c>
      <c r="F23" s="24">
        <v>2800000.0</v>
      </c>
      <c r="G23" s="14">
        <f t="shared" si="1"/>
        <v>0.1666666667</v>
      </c>
      <c r="H23" s="5"/>
      <c r="I23" s="5"/>
    </row>
    <row r="24" ht="13.5" customHeight="1">
      <c r="A24" s="5"/>
      <c r="B24" s="25" t="s">
        <v>22</v>
      </c>
      <c r="C24" s="15" t="s">
        <v>23</v>
      </c>
      <c r="D24" s="23"/>
      <c r="E24" s="24">
        <v>0.0</v>
      </c>
      <c r="F24" s="24">
        <v>0.0</v>
      </c>
      <c r="G24" s="14"/>
      <c r="H24" s="5"/>
      <c r="I24" s="5"/>
    </row>
    <row r="25" ht="13.5" customHeight="1">
      <c r="A25" s="5"/>
      <c r="B25" s="10" t="s">
        <v>24</v>
      </c>
      <c r="C25" s="5" t="s">
        <v>25</v>
      </c>
      <c r="D25" s="12">
        <v>10000.0</v>
      </c>
      <c r="E25" s="12">
        <v>10000.0</v>
      </c>
      <c r="F25" s="13">
        <v>13000.0</v>
      </c>
      <c r="G25" s="14">
        <f t="shared" ref="G25:G59" si="2">IFERROR((F25-E25)/E25,"")</f>
        <v>0.3</v>
      </c>
      <c r="H25" s="5"/>
      <c r="I25" s="5"/>
    </row>
    <row r="26" ht="12.75" customHeight="1">
      <c r="A26" s="5"/>
      <c r="B26" s="21"/>
      <c r="C26" s="16" t="s">
        <v>26</v>
      </c>
      <c r="D26" s="17">
        <v>4510000.0</v>
      </c>
      <c r="E26" s="17">
        <v>2410000.0</v>
      </c>
      <c r="F26" s="17">
        <f>SUM(F23:F25)</f>
        <v>2813000</v>
      </c>
      <c r="G26" s="14">
        <f t="shared" si="2"/>
        <v>0.167219917</v>
      </c>
      <c r="H26" s="5"/>
      <c r="I26" s="5"/>
    </row>
    <row r="27" ht="12.75" customHeight="1">
      <c r="A27" s="5"/>
      <c r="B27" s="21"/>
      <c r="C27" s="16"/>
      <c r="D27" s="17"/>
      <c r="E27" s="17"/>
      <c r="F27" s="17"/>
      <c r="G27" s="14" t="str">
        <f t="shared" si="2"/>
        <v/>
      </c>
      <c r="H27" s="5"/>
      <c r="I27" s="5"/>
    </row>
    <row r="28" ht="12.75" customHeight="1">
      <c r="A28" s="5"/>
      <c r="B28" s="10" t="s">
        <v>27</v>
      </c>
      <c r="C28" s="5" t="s">
        <v>28</v>
      </c>
      <c r="D28" s="12">
        <v>225000.0</v>
      </c>
      <c r="E28" s="12">
        <v>280000.0</v>
      </c>
      <c r="F28" s="13">
        <v>300000.0</v>
      </c>
      <c r="G28" s="14">
        <f t="shared" si="2"/>
        <v>0.07142857143</v>
      </c>
      <c r="H28" s="5"/>
      <c r="I28" s="5"/>
    </row>
    <row r="29" ht="12.75" customHeight="1">
      <c r="A29" s="5"/>
      <c r="B29" s="10" t="s">
        <v>29</v>
      </c>
      <c r="C29" s="5" t="s">
        <v>30</v>
      </c>
      <c r="D29" s="12">
        <v>6000.0</v>
      </c>
      <c r="E29" s="12">
        <v>6000.0</v>
      </c>
      <c r="F29" s="12">
        <v>6000.0</v>
      </c>
      <c r="G29" s="14">
        <f t="shared" si="2"/>
        <v>0</v>
      </c>
      <c r="H29" s="5"/>
      <c r="I29" s="5"/>
    </row>
    <row r="30" ht="12.75" customHeight="1">
      <c r="A30" s="5"/>
      <c r="B30" s="10" t="s">
        <v>31</v>
      </c>
      <c r="C30" s="5" t="s">
        <v>32</v>
      </c>
      <c r="D30" s="12">
        <v>150000.0</v>
      </c>
      <c r="E30" s="12">
        <v>75000.0</v>
      </c>
      <c r="F30" s="13">
        <v>75000.0</v>
      </c>
      <c r="G30" s="14">
        <f t="shared" si="2"/>
        <v>0</v>
      </c>
      <c r="H30" s="5"/>
      <c r="I30" s="5"/>
    </row>
    <row r="31" ht="12.75" customHeight="1">
      <c r="A31" s="5"/>
      <c r="B31" s="10" t="s">
        <v>33</v>
      </c>
      <c r="C31" s="5" t="s">
        <v>34</v>
      </c>
      <c r="D31" s="12">
        <v>12000.0</v>
      </c>
      <c r="E31" s="12">
        <v>12000.0</v>
      </c>
      <c r="F31" s="12">
        <v>12000.0</v>
      </c>
      <c r="G31" s="14">
        <f t="shared" si="2"/>
        <v>0</v>
      </c>
      <c r="H31" s="5"/>
      <c r="I31" s="5"/>
    </row>
    <row r="32" ht="12.75" customHeight="1">
      <c r="A32" s="5"/>
      <c r="B32" s="10" t="s">
        <v>35</v>
      </c>
      <c r="C32" s="5" t="s">
        <v>36</v>
      </c>
      <c r="D32" s="12">
        <v>60.0</v>
      </c>
      <c r="E32" s="12">
        <v>60.0</v>
      </c>
      <c r="F32" s="13">
        <v>600.0</v>
      </c>
      <c r="G32" s="14">
        <f t="shared" si="2"/>
        <v>9</v>
      </c>
      <c r="H32" s="5"/>
      <c r="I32" s="5"/>
    </row>
    <row r="33" ht="12.75" customHeight="1">
      <c r="A33" s="5"/>
      <c r="B33" s="10" t="s">
        <v>37</v>
      </c>
      <c r="C33" s="5" t="s">
        <v>38</v>
      </c>
      <c r="D33" s="12">
        <v>3000.0</v>
      </c>
      <c r="E33" s="12">
        <v>3000.0</v>
      </c>
      <c r="F33" s="13">
        <v>6000.0</v>
      </c>
      <c r="G33" s="14">
        <f t="shared" si="2"/>
        <v>1</v>
      </c>
      <c r="H33" s="5"/>
      <c r="I33" s="5"/>
    </row>
    <row r="34" ht="12.75" customHeight="1">
      <c r="A34" s="5"/>
      <c r="B34" s="10" t="s">
        <v>39</v>
      </c>
      <c r="C34" s="5" t="s">
        <v>40</v>
      </c>
      <c r="D34" s="12">
        <v>800.0</v>
      </c>
      <c r="E34" s="12">
        <v>800.0</v>
      </c>
      <c r="F34" s="13">
        <v>2500.0</v>
      </c>
      <c r="G34" s="14">
        <f t="shared" si="2"/>
        <v>2.125</v>
      </c>
      <c r="H34" s="5"/>
      <c r="I34" s="5"/>
    </row>
    <row r="35" ht="12.75" customHeight="1">
      <c r="A35" s="5"/>
      <c r="B35" s="10"/>
      <c r="C35" s="16" t="s">
        <v>41</v>
      </c>
      <c r="D35" s="17">
        <v>396060.0</v>
      </c>
      <c r="E35" s="17">
        <v>376060.0</v>
      </c>
      <c r="F35" s="17">
        <f>SUM(F28:F34)</f>
        <v>402100</v>
      </c>
      <c r="G35" s="14">
        <f t="shared" si="2"/>
        <v>0.06924426953</v>
      </c>
      <c r="H35" s="5"/>
      <c r="I35" s="5"/>
    </row>
    <row r="36" ht="12.75" customHeight="1">
      <c r="A36" s="5"/>
      <c r="B36" s="10"/>
      <c r="C36" s="16"/>
      <c r="D36" s="12"/>
      <c r="E36" s="12"/>
      <c r="F36" s="12"/>
      <c r="G36" s="14" t="str">
        <f t="shared" si="2"/>
        <v/>
      </c>
      <c r="H36" s="5"/>
      <c r="I36" s="5"/>
    </row>
    <row r="37" ht="12.75" customHeight="1">
      <c r="A37" s="5"/>
      <c r="B37" s="10" t="s">
        <v>42</v>
      </c>
      <c r="C37" s="5" t="s">
        <v>43</v>
      </c>
      <c r="D37" s="12">
        <v>550000.0</v>
      </c>
      <c r="E37" s="12">
        <v>550000.0</v>
      </c>
      <c r="F37" s="13">
        <v>580000.0</v>
      </c>
      <c r="G37" s="14">
        <f t="shared" si="2"/>
        <v>0.05454545455</v>
      </c>
      <c r="H37" s="5"/>
      <c r="I37" s="5"/>
    </row>
    <row r="38" ht="12.75" customHeight="1">
      <c r="A38" s="5"/>
      <c r="B38" s="10" t="s">
        <v>44</v>
      </c>
      <c r="C38" s="5" t="s">
        <v>45</v>
      </c>
      <c r="D38" s="12">
        <v>197000.0</v>
      </c>
      <c r="E38" s="12">
        <v>192000.0</v>
      </c>
      <c r="F38" s="13">
        <v>205000.0</v>
      </c>
      <c r="G38" s="14">
        <f t="shared" si="2"/>
        <v>0.06770833333</v>
      </c>
      <c r="H38" s="5"/>
      <c r="I38" s="5"/>
    </row>
    <row r="39" ht="12.75" customHeight="1">
      <c r="A39" s="5"/>
      <c r="B39" s="10" t="s">
        <v>46</v>
      </c>
      <c r="C39" s="5" t="s">
        <v>47</v>
      </c>
      <c r="D39" s="12">
        <v>900000.0</v>
      </c>
      <c r="E39" s="12">
        <v>900000.0</v>
      </c>
      <c r="F39" s="12">
        <v>900000.0</v>
      </c>
      <c r="G39" s="14">
        <f t="shared" si="2"/>
        <v>0</v>
      </c>
      <c r="H39" s="5"/>
      <c r="I39" s="5"/>
    </row>
    <row r="40" ht="12.75" customHeight="1">
      <c r="A40" s="5"/>
      <c r="B40" s="10" t="s">
        <v>48</v>
      </c>
      <c r="C40" s="5" t="s">
        <v>49</v>
      </c>
      <c r="D40" s="12">
        <v>40000.0</v>
      </c>
      <c r="E40" s="12">
        <v>40000.0</v>
      </c>
      <c r="F40" s="13">
        <v>43250.0</v>
      </c>
      <c r="G40" s="14">
        <f t="shared" si="2"/>
        <v>0.08125</v>
      </c>
      <c r="H40" s="5"/>
      <c r="I40" s="5"/>
    </row>
    <row r="41" ht="12.75" customHeight="1">
      <c r="A41" s="5"/>
      <c r="B41" s="10" t="s">
        <v>50</v>
      </c>
      <c r="C41" s="5" t="s">
        <v>51</v>
      </c>
      <c r="D41" s="12">
        <v>30000.0</v>
      </c>
      <c r="E41" s="12">
        <v>30000.0</v>
      </c>
      <c r="F41" s="13">
        <v>70000.0</v>
      </c>
      <c r="G41" s="14">
        <f t="shared" si="2"/>
        <v>1.333333333</v>
      </c>
      <c r="H41" s="5"/>
      <c r="I41" s="5"/>
    </row>
    <row r="42" ht="12.75" customHeight="1">
      <c r="A42" s="5"/>
      <c r="B42" s="10" t="s">
        <v>52</v>
      </c>
      <c r="C42" s="5" t="s">
        <v>53</v>
      </c>
      <c r="D42" s="12">
        <v>2000.0</v>
      </c>
      <c r="E42" s="12">
        <v>25000.0</v>
      </c>
      <c r="F42" s="13">
        <v>25000.0</v>
      </c>
      <c r="G42" s="14">
        <f t="shared" si="2"/>
        <v>0</v>
      </c>
      <c r="H42" s="5"/>
      <c r="I42" s="5"/>
    </row>
    <row r="43" ht="12.75" customHeight="1">
      <c r="A43" s="5"/>
      <c r="B43" s="10" t="s">
        <v>54</v>
      </c>
      <c r="C43" s="5" t="s">
        <v>55</v>
      </c>
      <c r="D43" s="12">
        <v>70000.0</v>
      </c>
      <c r="E43" s="12">
        <v>37000.0</v>
      </c>
      <c r="F43" s="13">
        <v>92000.0</v>
      </c>
      <c r="G43" s="14">
        <f t="shared" si="2"/>
        <v>1.486486486</v>
      </c>
      <c r="H43" s="5"/>
      <c r="I43" s="5"/>
    </row>
    <row r="44" ht="12.75" customHeight="1">
      <c r="A44" s="5"/>
      <c r="B44" s="26" t="s">
        <v>56</v>
      </c>
      <c r="C44" s="15" t="s">
        <v>57</v>
      </c>
      <c r="D44" s="12"/>
      <c r="E44" s="12"/>
      <c r="F44" s="13">
        <v>2860.0</v>
      </c>
      <c r="G44" s="14" t="str">
        <f t="shared" si="2"/>
        <v/>
      </c>
      <c r="H44" s="5"/>
      <c r="I44" s="5"/>
    </row>
    <row r="45" ht="12.75" customHeight="1">
      <c r="A45" s="5"/>
      <c r="B45" s="10" t="s">
        <v>56</v>
      </c>
      <c r="C45" s="5" t="s">
        <v>58</v>
      </c>
      <c r="D45" s="12">
        <v>3000.0</v>
      </c>
      <c r="E45" s="12">
        <v>3000.0</v>
      </c>
      <c r="F45" s="12">
        <v>3000.0</v>
      </c>
      <c r="G45" s="14">
        <f t="shared" si="2"/>
        <v>0</v>
      </c>
      <c r="H45" s="5"/>
      <c r="I45" s="5"/>
    </row>
    <row r="46" ht="12.75" customHeight="1">
      <c r="A46" s="5"/>
      <c r="B46" s="10" t="s">
        <v>59</v>
      </c>
      <c r="C46" s="5" t="s">
        <v>60</v>
      </c>
      <c r="D46" s="12">
        <v>30000.0</v>
      </c>
      <c r="E46" s="12">
        <v>25000.0</v>
      </c>
      <c r="F46" s="13">
        <v>35000.0</v>
      </c>
      <c r="G46" s="14">
        <f t="shared" si="2"/>
        <v>0.4</v>
      </c>
      <c r="H46" s="5"/>
      <c r="I46" s="5"/>
    </row>
    <row r="47" ht="12.75" customHeight="1">
      <c r="A47" s="5"/>
      <c r="B47" s="10" t="s">
        <v>61</v>
      </c>
      <c r="C47" s="5" t="s">
        <v>62</v>
      </c>
      <c r="D47" s="12">
        <v>10000.0</v>
      </c>
      <c r="E47" s="12">
        <v>17000.0</v>
      </c>
      <c r="F47" s="12">
        <v>17000.0</v>
      </c>
      <c r="G47" s="14">
        <f t="shared" si="2"/>
        <v>0</v>
      </c>
      <c r="H47" s="5"/>
      <c r="I47" s="5"/>
    </row>
    <row r="48" ht="12.75" customHeight="1">
      <c r="A48" s="5"/>
      <c r="B48" s="27"/>
      <c r="C48" s="16" t="s">
        <v>63</v>
      </c>
      <c r="D48" s="17">
        <v>1832800.0</v>
      </c>
      <c r="E48" s="17">
        <v>1819800.0</v>
      </c>
      <c r="F48" s="17">
        <f>SUM(F37:F47)</f>
        <v>1973110</v>
      </c>
      <c r="G48" s="14">
        <f t="shared" si="2"/>
        <v>0.08424552149</v>
      </c>
      <c r="H48" s="5"/>
      <c r="I48" s="5"/>
    </row>
    <row r="49" ht="12.75" customHeight="1">
      <c r="A49" s="5"/>
      <c r="B49" s="27"/>
      <c r="C49" s="16"/>
      <c r="D49" s="17"/>
      <c r="E49" s="17"/>
      <c r="F49" s="17"/>
      <c r="G49" s="14" t="str">
        <f t="shared" si="2"/>
        <v/>
      </c>
      <c r="H49" s="5"/>
      <c r="I49" s="5"/>
    </row>
    <row r="50" ht="12.75" customHeight="1">
      <c r="A50" s="5"/>
      <c r="B50" s="10" t="s">
        <v>64</v>
      </c>
      <c r="C50" s="5" t="s">
        <v>65</v>
      </c>
      <c r="D50" s="12">
        <v>140000.0</v>
      </c>
      <c r="E50" s="12">
        <v>140000.0</v>
      </c>
      <c r="F50" s="13">
        <v>205000.0</v>
      </c>
      <c r="G50" s="14">
        <f t="shared" si="2"/>
        <v>0.4642857143</v>
      </c>
      <c r="H50" s="5"/>
      <c r="I50" s="5"/>
    </row>
    <row r="51" ht="12.75" customHeight="1">
      <c r="A51" s="5"/>
      <c r="B51" s="10" t="s">
        <v>66</v>
      </c>
      <c r="C51" s="5" t="s">
        <v>67</v>
      </c>
      <c r="D51" s="12">
        <v>110000.0</v>
      </c>
      <c r="E51" s="12">
        <v>90000.0</v>
      </c>
      <c r="F51" s="13">
        <v>120000.0</v>
      </c>
      <c r="G51" s="14">
        <f t="shared" si="2"/>
        <v>0.3333333333</v>
      </c>
      <c r="H51" s="5"/>
      <c r="I51" s="5"/>
    </row>
    <row r="52" ht="12.75" customHeight="1">
      <c r="A52" s="5"/>
      <c r="B52" s="10" t="s">
        <v>68</v>
      </c>
      <c r="C52" s="5" t="s">
        <v>69</v>
      </c>
      <c r="D52" s="12">
        <v>55000.0</v>
      </c>
      <c r="E52" s="12">
        <v>55000.0</v>
      </c>
      <c r="F52" s="13">
        <v>110000.0</v>
      </c>
      <c r="G52" s="14">
        <f t="shared" si="2"/>
        <v>1</v>
      </c>
      <c r="H52" s="5"/>
      <c r="I52" s="5"/>
    </row>
    <row r="53" ht="12.75" customHeight="1">
      <c r="A53" s="5"/>
      <c r="B53" s="10" t="s">
        <v>70</v>
      </c>
      <c r="C53" s="5" t="s">
        <v>71</v>
      </c>
      <c r="D53" s="12">
        <v>162000.0</v>
      </c>
      <c r="E53" s="12">
        <v>150000.0</v>
      </c>
      <c r="F53" s="13">
        <v>155000.0</v>
      </c>
      <c r="G53" s="14">
        <f t="shared" si="2"/>
        <v>0.03333333333</v>
      </c>
      <c r="H53" s="5"/>
      <c r="I53" s="5"/>
    </row>
    <row r="54" ht="12.75" customHeight="1">
      <c r="A54" s="5"/>
      <c r="B54" s="10" t="s">
        <v>72</v>
      </c>
      <c r="C54" s="5" t="s">
        <v>73</v>
      </c>
      <c r="D54" s="12">
        <v>30000.0</v>
      </c>
      <c r="E54" s="12">
        <v>30000.0</v>
      </c>
      <c r="F54" s="13">
        <v>35000.0</v>
      </c>
      <c r="G54" s="14">
        <f t="shared" si="2"/>
        <v>0.1666666667</v>
      </c>
      <c r="H54" s="5"/>
      <c r="I54" s="5"/>
    </row>
    <row r="55" ht="12.75" customHeight="1">
      <c r="A55" s="5"/>
      <c r="B55" s="10" t="s">
        <v>74</v>
      </c>
      <c r="C55" s="5" t="s">
        <v>75</v>
      </c>
      <c r="D55" s="12">
        <v>0.0</v>
      </c>
      <c r="E55" s="12">
        <v>0.0</v>
      </c>
      <c r="F55" s="12">
        <v>0.0</v>
      </c>
      <c r="G55" s="14" t="str">
        <f t="shared" si="2"/>
        <v/>
      </c>
      <c r="H55" s="5"/>
      <c r="I55" s="5"/>
    </row>
    <row r="56" ht="12.75" customHeight="1">
      <c r="A56" s="5"/>
      <c r="B56" s="10" t="s">
        <v>76</v>
      </c>
      <c r="C56" s="5" t="s">
        <v>77</v>
      </c>
      <c r="D56" s="23">
        <v>6000.0</v>
      </c>
      <c r="E56" s="23">
        <v>6000.0</v>
      </c>
      <c r="F56" s="23">
        <v>6000.0</v>
      </c>
      <c r="G56" s="14">
        <f t="shared" si="2"/>
        <v>0</v>
      </c>
      <c r="H56" s="5"/>
      <c r="I56" s="5"/>
    </row>
    <row r="57" ht="12.75" customHeight="1">
      <c r="A57" s="5"/>
      <c r="B57" s="10" t="s">
        <v>78</v>
      </c>
      <c r="C57" s="5" t="s">
        <v>79</v>
      </c>
      <c r="D57" s="12">
        <v>110000.0</v>
      </c>
      <c r="E57" s="12">
        <v>120000.0</v>
      </c>
      <c r="F57" s="13">
        <v>105000.0</v>
      </c>
      <c r="G57" s="14">
        <f t="shared" si="2"/>
        <v>-0.125</v>
      </c>
      <c r="H57" s="5"/>
      <c r="I57" s="5"/>
    </row>
    <row r="58" ht="12.75" customHeight="1">
      <c r="A58" s="5"/>
      <c r="B58" s="10" t="s">
        <v>80</v>
      </c>
      <c r="C58" s="5" t="s">
        <v>81</v>
      </c>
      <c r="D58" s="12">
        <v>500.0</v>
      </c>
      <c r="E58" s="12">
        <v>500.0</v>
      </c>
      <c r="F58" s="12">
        <v>500.0</v>
      </c>
      <c r="G58" s="14">
        <f t="shared" si="2"/>
        <v>0</v>
      </c>
      <c r="H58" s="5"/>
      <c r="I58" s="5"/>
    </row>
    <row r="59" ht="12.75" customHeight="1">
      <c r="A59" s="5"/>
      <c r="B59" s="10" t="s">
        <v>82</v>
      </c>
      <c r="C59" s="5" t="s">
        <v>83</v>
      </c>
      <c r="D59" s="12">
        <v>0.0</v>
      </c>
      <c r="E59" s="12">
        <v>0.0</v>
      </c>
      <c r="F59" s="12">
        <v>0.0</v>
      </c>
      <c r="G59" s="14" t="str">
        <f t="shared" si="2"/>
        <v/>
      </c>
      <c r="H59" s="5"/>
      <c r="I59" s="5"/>
    </row>
    <row r="60" ht="12.75" customHeight="1">
      <c r="A60" s="5"/>
      <c r="B60" s="26" t="s">
        <v>84</v>
      </c>
      <c r="C60" s="15" t="s">
        <v>85</v>
      </c>
      <c r="D60" s="12"/>
      <c r="E60" s="12"/>
      <c r="F60" s="13">
        <v>100000.0</v>
      </c>
      <c r="G60" s="14"/>
      <c r="H60" s="5"/>
      <c r="I60" s="5"/>
    </row>
    <row r="61" ht="12.75" customHeight="1">
      <c r="A61" s="5"/>
      <c r="B61" s="26" t="s">
        <v>86</v>
      </c>
      <c r="C61" s="15" t="s">
        <v>87</v>
      </c>
      <c r="D61" s="12"/>
      <c r="E61" s="13"/>
      <c r="F61" s="13">
        <v>30000.0</v>
      </c>
      <c r="G61" s="14"/>
      <c r="H61" s="5"/>
      <c r="I61" s="5"/>
    </row>
    <row r="62" ht="12.75" customHeight="1">
      <c r="A62" s="5"/>
      <c r="B62" s="26" t="s">
        <v>88</v>
      </c>
      <c r="C62" s="15" t="s">
        <v>89</v>
      </c>
      <c r="D62" s="12"/>
      <c r="E62" s="13"/>
      <c r="F62" s="13">
        <v>10000.0</v>
      </c>
      <c r="G62" s="14"/>
      <c r="H62" s="5"/>
      <c r="I62" s="5"/>
    </row>
    <row r="63" ht="12.75" customHeight="1">
      <c r="A63" s="5"/>
      <c r="B63" s="26" t="s">
        <v>90</v>
      </c>
      <c r="C63" s="15" t="s">
        <v>91</v>
      </c>
      <c r="D63" s="12"/>
      <c r="E63" s="13"/>
      <c r="F63" s="13">
        <v>10000.0</v>
      </c>
      <c r="G63" s="14"/>
      <c r="H63" s="5"/>
      <c r="I63" s="5"/>
    </row>
    <row r="64" ht="12.75" customHeight="1">
      <c r="A64" s="5"/>
      <c r="B64" s="26" t="s">
        <v>92</v>
      </c>
      <c r="C64" s="15" t="s">
        <v>93</v>
      </c>
      <c r="D64" s="12"/>
      <c r="E64" s="13"/>
      <c r="F64" s="13">
        <v>5000.0</v>
      </c>
      <c r="G64" s="14"/>
      <c r="H64" s="5"/>
      <c r="I64" s="5"/>
    </row>
    <row r="65" ht="12.75" customHeight="1">
      <c r="A65" s="5"/>
      <c r="B65" s="26" t="s">
        <v>94</v>
      </c>
      <c r="C65" s="15" t="s">
        <v>95</v>
      </c>
      <c r="D65" s="12"/>
      <c r="E65" s="13"/>
      <c r="F65" s="13">
        <v>5000.0</v>
      </c>
      <c r="G65" s="14"/>
      <c r="H65" s="5"/>
      <c r="I65" s="5"/>
    </row>
    <row r="66" ht="12.75" customHeight="1">
      <c r="A66" s="5"/>
      <c r="B66" s="26" t="s">
        <v>96</v>
      </c>
      <c r="C66" s="15" t="s">
        <v>97</v>
      </c>
      <c r="D66" s="12"/>
      <c r="E66" s="13"/>
      <c r="F66" s="13">
        <v>5000.0</v>
      </c>
      <c r="G66" s="14"/>
      <c r="H66" s="5"/>
      <c r="I66" s="5"/>
    </row>
    <row r="67" ht="12.75" customHeight="1">
      <c r="A67" s="5"/>
      <c r="B67" s="10" t="s">
        <v>98</v>
      </c>
      <c r="C67" s="5" t="s">
        <v>99</v>
      </c>
      <c r="D67" s="12">
        <v>12000.0</v>
      </c>
      <c r="E67" s="12">
        <v>290000.0</v>
      </c>
      <c r="F67" s="13">
        <v>310000.0</v>
      </c>
      <c r="G67" s="14">
        <f t="shared" ref="G67:G89" si="3">IFERROR((F67-E67)/E67,"")</f>
        <v>0.06896551724</v>
      </c>
      <c r="H67" s="5"/>
      <c r="I67" s="5"/>
    </row>
    <row r="68" ht="12.75" customHeight="1">
      <c r="A68" s="5"/>
      <c r="B68" s="10" t="s">
        <v>100</v>
      </c>
      <c r="C68" s="5" t="s">
        <v>101</v>
      </c>
      <c r="D68" s="12">
        <v>60000.0</v>
      </c>
      <c r="E68" s="12">
        <v>60000.0</v>
      </c>
      <c r="F68" s="13">
        <v>95000.0</v>
      </c>
      <c r="G68" s="14">
        <f t="shared" si="3"/>
        <v>0.5833333333</v>
      </c>
      <c r="H68" s="5"/>
      <c r="I68" s="5"/>
    </row>
    <row r="69" ht="12.75" customHeight="1">
      <c r="A69" s="5"/>
      <c r="B69" s="10" t="s">
        <v>102</v>
      </c>
      <c r="C69" s="5" t="s">
        <v>103</v>
      </c>
      <c r="D69" s="12">
        <v>45000.0</v>
      </c>
      <c r="E69" s="12">
        <v>45000.0</v>
      </c>
      <c r="F69" s="13">
        <v>51000.0</v>
      </c>
      <c r="G69" s="14">
        <f t="shared" si="3"/>
        <v>0.1333333333</v>
      </c>
      <c r="H69" s="5"/>
      <c r="I69" s="5"/>
    </row>
    <row r="70" ht="12.75" customHeight="1">
      <c r="A70" s="5"/>
      <c r="B70" s="10" t="s">
        <v>104</v>
      </c>
      <c r="C70" s="5" t="s">
        <v>105</v>
      </c>
      <c r="D70" s="12">
        <v>30000.0</v>
      </c>
      <c r="E70" s="12">
        <v>27000.0</v>
      </c>
      <c r="F70" s="13">
        <v>40000.0</v>
      </c>
      <c r="G70" s="14">
        <f t="shared" si="3"/>
        <v>0.4814814815</v>
      </c>
      <c r="H70" s="5"/>
      <c r="I70" s="5"/>
    </row>
    <row r="71" ht="12.75" customHeight="1">
      <c r="A71" s="5"/>
      <c r="B71" s="10" t="s">
        <v>106</v>
      </c>
      <c r="C71" s="5" t="s">
        <v>107</v>
      </c>
      <c r="D71" s="12">
        <v>1200.0</v>
      </c>
      <c r="E71" s="12">
        <v>1200.0</v>
      </c>
      <c r="F71" s="12">
        <v>1200.0</v>
      </c>
      <c r="G71" s="14">
        <f t="shared" si="3"/>
        <v>0</v>
      </c>
      <c r="H71" s="5"/>
      <c r="I71" s="5"/>
    </row>
    <row r="72" ht="12.75" customHeight="1">
      <c r="A72" s="5"/>
      <c r="B72" s="10" t="s">
        <v>108</v>
      </c>
      <c r="C72" s="5" t="s">
        <v>109</v>
      </c>
      <c r="D72" s="12">
        <v>0.0</v>
      </c>
      <c r="E72" s="12">
        <v>0.0</v>
      </c>
      <c r="F72" s="12">
        <v>0.0</v>
      </c>
      <c r="G72" s="14" t="str">
        <f t="shared" si="3"/>
        <v/>
      </c>
      <c r="H72" s="5"/>
      <c r="I72" s="5"/>
    </row>
    <row r="73" ht="12.75" customHeight="1">
      <c r="A73" s="5"/>
      <c r="B73" s="10" t="s">
        <v>110</v>
      </c>
      <c r="C73" s="5" t="s">
        <v>111</v>
      </c>
      <c r="D73" s="12">
        <v>5000.0</v>
      </c>
      <c r="E73" s="12">
        <v>5000.0</v>
      </c>
      <c r="F73" s="13">
        <v>5000.0</v>
      </c>
      <c r="G73" s="14">
        <f t="shared" si="3"/>
        <v>0</v>
      </c>
      <c r="H73" s="5"/>
      <c r="I73" s="5"/>
    </row>
    <row r="74" ht="12.75" customHeight="1">
      <c r="A74" s="5"/>
      <c r="B74" s="10" t="s">
        <v>112</v>
      </c>
      <c r="C74" s="5" t="s">
        <v>113</v>
      </c>
      <c r="D74" s="12">
        <v>1000.0</v>
      </c>
      <c r="E74" s="12">
        <v>51000.0</v>
      </c>
      <c r="F74" s="12">
        <v>51000.0</v>
      </c>
      <c r="G74" s="14">
        <f t="shared" si="3"/>
        <v>0</v>
      </c>
      <c r="H74" s="5"/>
      <c r="I74" s="5"/>
    </row>
    <row r="75" ht="12.75" customHeight="1">
      <c r="A75" s="5"/>
      <c r="B75" s="21"/>
      <c r="C75" s="16" t="s">
        <v>114</v>
      </c>
      <c r="D75" s="17">
        <v>767700.0</v>
      </c>
      <c r="E75" s="17">
        <v>1070700.0</v>
      </c>
      <c r="F75" s="17">
        <f>SUM(F50:F74)</f>
        <v>1454700</v>
      </c>
      <c r="G75" s="14">
        <f t="shared" si="3"/>
        <v>0.3586438778</v>
      </c>
      <c r="H75" s="5"/>
      <c r="I75" s="5"/>
    </row>
    <row r="76" ht="12.75" customHeight="1">
      <c r="A76" s="5"/>
      <c r="B76" s="21"/>
      <c r="C76" s="16"/>
      <c r="D76" s="17"/>
      <c r="E76" s="17"/>
      <c r="F76" s="17"/>
      <c r="G76" s="14" t="str">
        <f t="shared" si="3"/>
        <v/>
      </c>
      <c r="H76" s="5"/>
      <c r="I76" s="5"/>
    </row>
    <row r="77" ht="12.75" customHeight="1">
      <c r="A77" s="5"/>
      <c r="B77" s="10" t="s">
        <v>115</v>
      </c>
      <c r="C77" s="5" t="s">
        <v>116</v>
      </c>
      <c r="D77" s="12">
        <v>200000.0</v>
      </c>
      <c r="E77" s="12">
        <v>210000.0</v>
      </c>
      <c r="F77" s="13">
        <v>240000.0</v>
      </c>
      <c r="G77" s="14">
        <f t="shared" si="3"/>
        <v>0.1428571429</v>
      </c>
      <c r="H77" s="5"/>
      <c r="I77" s="5"/>
    </row>
    <row r="78" ht="12.75" customHeight="1">
      <c r="A78" s="5"/>
      <c r="B78" s="28"/>
      <c r="C78" s="16" t="s">
        <v>117</v>
      </c>
      <c r="D78" s="17">
        <v>200000.0</v>
      </c>
      <c r="E78" s="17">
        <v>210000.0</v>
      </c>
      <c r="F78" s="17">
        <f>SUM(F77)</f>
        <v>240000</v>
      </c>
      <c r="G78" s="14">
        <f t="shared" si="3"/>
        <v>0.1428571429</v>
      </c>
      <c r="H78" s="5"/>
      <c r="I78" s="5"/>
    </row>
    <row r="79" ht="12.75" customHeight="1">
      <c r="A79" s="5"/>
      <c r="B79" s="28"/>
      <c r="C79" s="16"/>
      <c r="D79" s="17"/>
      <c r="E79" s="17"/>
      <c r="F79" s="17"/>
      <c r="G79" s="14" t="str">
        <f t="shared" si="3"/>
        <v/>
      </c>
      <c r="H79" s="5"/>
      <c r="I79" s="5"/>
    </row>
    <row r="80" ht="12.75" customHeight="1">
      <c r="A80" s="5"/>
      <c r="B80" s="10" t="s">
        <v>118</v>
      </c>
      <c r="C80" s="15" t="s">
        <v>119</v>
      </c>
      <c r="D80" s="12">
        <v>350000.0</v>
      </c>
      <c r="E80" s="12">
        <v>350000.0</v>
      </c>
      <c r="F80" s="13">
        <v>550000.0</v>
      </c>
      <c r="G80" s="14">
        <f t="shared" si="3"/>
        <v>0.5714285714</v>
      </c>
      <c r="H80" s="5"/>
      <c r="I80" s="15" t="s">
        <v>120</v>
      </c>
    </row>
    <row r="81" ht="12.75" customHeight="1">
      <c r="A81" s="5"/>
      <c r="B81" s="10" t="s">
        <v>121</v>
      </c>
      <c r="C81" s="5" t="s">
        <v>122</v>
      </c>
      <c r="D81" s="12">
        <v>500.0</v>
      </c>
      <c r="E81" s="12">
        <v>500.0</v>
      </c>
      <c r="F81" s="12">
        <v>500.0</v>
      </c>
      <c r="G81" s="14">
        <f t="shared" si="3"/>
        <v>0</v>
      </c>
      <c r="H81" s="5"/>
      <c r="I81" s="5"/>
    </row>
    <row r="82" ht="12.75" customHeight="1">
      <c r="A82" s="5"/>
      <c r="B82" s="10" t="s">
        <v>123</v>
      </c>
      <c r="C82" s="5" t="s">
        <v>124</v>
      </c>
      <c r="D82" s="12">
        <v>500.0</v>
      </c>
      <c r="E82" s="12">
        <v>500.0</v>
      </c>
      <c r="F82" s="12">
        <v>500.0</v>
      </c>
      <c r="G82" s="14">
        <f t="shared" si="3"/>
        <v>0</v>
      </c>
      <c r="H82" s="5"/>
      <c r="I82" s="5"/>
    </row>
    <row r="83" ht="12.75" customHeight="1">
      <c r="A83" s="5"/>
      <c r="B83" s="21"/>
      <c r="C83" s="16" t="s">
        <v>125</v>
      </c>
      <c r="D83" s="17">
        <v>351000.0</v>
      </c>
      <c r="E83" s="17">
        <v>351000.0</v>
      </c>
      <c r="F83" s="17">
        <f>SUM(F80:F82)</f>
        <v>551000</v>
      </c>
      <c r="G83" s="14">
        <f t="shared" si="3"/>
        <v>0.5698005698</v>
      </c>
      <c r="H83" s="5"/>
      <c r="I83" s="5"/>
    </row>
    <row r="84" ht="12.75" customHeight="1">
      <c r="A84" s="5"/>
      <c r="B84" s="5"/>
      <c r="C84" s="5"/>
      <c r="D84" s="12"/>
      <c r="E84" s="12"/>
      <c r="F84" s="12"/>
      <c r="G84" s="14" t="str">
        <f t="shared" si="3"/>
        <v/>
      </c>
      <c r="H84" s="5"/>
      <c r="I84" s="5"/>
    </row>
    <row r="85" ht="12.75" customHeight="1">
      <c r="A85" s="5"/>
      <c r="B85" s="10" t="s">
        <v>126</v>
      </c>
      <c r="C85" s="5" t="s">
        <v>127</v>
      </c>
      <c r="D85" s="12">
        <v>10000.0</v>
      </c>
      <c r="E85" s="12">
        <v>10000.0</v>
      </c>
      <c r="F85" s="12">
        <v>10000.0</v>
      </c>
      <c r="G85" s="14">
        <f t="shared" si="3"/>
        <v>0</v>
      </c>
      <c r="H85" s="5"/>
      <c r="I85" s="5"/>
    </row>
    <row r="86" ht="12.75" customHeight="1">
      <c r="A86" s="5"/>
      <c r="B86" s="21"/>
      <c r="C86" s="16" t="s">
        <v>128</v>
      </c>
      <c r="D86" s="17">
        <v>10000.0</v>
      </c>
      <c r="E86" s="17">
        <v>10000.0</v>
      </c>
      <c r="F86" s="17">
        <f>SUM(F85)</f>
        <v>10000</v>
      </c>
      <c r="G86" s="14">
        <f t="shared" si="3"/>
        <v>0</v>
      </c>
      <c r="H86" s="5"/>
      <c r="I86" s="5"/>
    </row>
    <row r="87" ht="12.75" customHeight="1">
      <c r="A87" s="5"/>
      <c r="B87" s="21"/>
      <c r="C87" s="16"/>
      <c r="D87" s="17"/>
      <c r="E87" s="17"/>
      <c r="F87" s="17"/>
      <c r="G87" s="14" t="str">
        <f t="shared" si="3"/>
        <v/>
      </c>
      <c r="H87" s="5"/>
      <c r="I87" s="5"/>
    </row>
    <row r="88" ht="12.75" customHeight="1">
      <c r="A88" s="5"/>
      <c r="B88" s="10" t="s">
        <v>129</v>
      </c>
      <c r="C88" s="5" t="s">
        <v>130</v>
      </c>
      <c r="D88" s="12">
        <v>5000.0</v>
      </c>
      <c r="E88" s="12">
        <v>5000.0</v>
      </c>
      <c r="F88" s="12">
        <v>5000.0</v>
      </c>
      <c r="G88" s="14">
        <f t="shared" si="3"/>
        <v>0</v>
      </c>
      <c r="H88" s="5"/>
      <c r="I88" s="5"/>
    </row>
    <row r="89" ht="12.75" customHeight="1">
      <c r="A89" s="5"/>
      <c r="B89" s="10" t="s">
        <v>131</v>
      </c>
      <c r="C89" s="15" t="s">
        <v>132</v>
      </c>
      <c r="D89" s="12">
        <v>380000.0</v>
      </c>
      <c r="E89" s="12">
        <v>600000.0</v>
      </c>
      <c r="F89" s="13">
        <v>500000.0</v>
      </c>
      <c r="G89" s="14">
        <f t="shared" si="3"/>
        <v>-0.1666666667</v>
      </c>
      <c r="H89" s="5"/>
      <c r="I89" s="5"/>
    </row>
    <row r="90" ht="12.75" customHeight="1">
      <c r="A90" s="5"/>
      <c r="B90" s="26" t="s">
        <v>133</v>
      </c>
      <c r="C90" s="15" t="s">
        <v>134</v>
      </c>
      <c r="D90" s="12"/>
      <c r="E90" s="12"/>
      <c r="F90" s="13">
        <v>100000.0</v>
      </c>
      <c r="G90" s="14"/>
      <c r="H90" s="5"/>
      <c r="I90" s="5"/>
    </row>
    <row r="91" ht="12.75" customHeight="1">
      <c r="A91" s="5"/>
      <c r="B91" s="10" t="s">
        <v>135</v>
      </c>
      <c r="C91" s="15" t="s">
        <v>136</v>
      </c>
      <c r="D91" s="12">
        <v>5000.0</v>
      </c>
      <c r="E91" s="12">
        <v>5000.0</v>
      </c>
      <c r="F91" s="13">
        <v>25000.0</v>
      </c>
      <c r="G91" s="14">
        <f t="shared" ref="G91:G120" si="4">IFERROR((F91-E91)/E91,"")</f>
        <v>4</v>
      </c>
      <c r="H91" s="5"/>
      <c r="I91" s="5"/>
    </row>
    <row r="92" ht="12.75" customHeight="1">
      <c r="A92" s="5"/>
      <c r="B92" s="10" t="s">
        <v>137</v>
      </c>
      <c r="C92" s="5" t="s">
        <v>138</v>
      </c>
      <c r="D92" s="12">
        <v>15000.0</v>
      </c>
      <c r="E92" s="12">
        <v>15000.0</v>
      </c>
      <c r="F92" s="12">
        <v>15000.0</v>
      </c>
      <c r="G92" s="14">
        <f t="shared" si="4"/>
        <v>0</v>
      </c>
      <c r="H92" s="5"/>
      <c r="I92" s="5"/>
    </row>
    <row r="93" ht="12.75" customHeight="1">
      <c r="A93" s="5"/>
      <c r="B93" s="10" t="s">
        <v>139</v>
      </c>
      <c r="C93" s="5" t="s">
        <v>140</v>
      </c>
      <c r="D93" s="12">
        <v>120000.0</v>
      </c>
      <c r="E93" s="12">
        <v>120000.0</v>
      </c>
      <c r="F93" s="13">
        <v>150000.0</v>
      </c>
      <c r="G93" s="14">
        <f t="shared" si="4"/>
        <v>0.25</v>
      </c>
      <c r="H93" s="5"/>
      <c r="I93" s="5"/>
    </row>
    <row r="94" ht="12.75" customHeight="1">
      <c r="A94" s="5"/>
      <c r="B94" s="10" t="s">
        <v>141</v>
      </c>
      <c r="C94" s="5" t="s">
        <v>142</v>
      </c>
      <c r="D94" s="12">
        <v>40000.0</v>
      </c>
      <c r="E94" s="12">
        <v>40000.0</v>
      </c>
      <c r="F94" s="13">
        <v>45000.0</v>
      </c>
      <c r="G94" s="14">
        <f t="shared" si="4"/>
        <v>0.125</v>
      </c>
      <c r="H94" s="5"/>
      <c r="I94" s="5"/>
    </row>
    <row r="95" ht="12.75" customHeight="1">
      <c r="A95" s="5"/>
      <c r="B95" s="10" t="s">
        <v>143</v>
      </c>
      <c r="C95" s="5" t="s">
        <v>144</v>
      </c>
      <c r="D95" s="12">
        <v>500.0</v>
      </c>
      <c r="E95" s="12">
        <v>500.0</v>
      </c>
      <c r="F95" s="12">
        <v>500.0</v>
      </c>
      <c r="G95" s="14">
        <f t="shared" si="4"/>
        <v>0</v>
      </c>
      <c r="H95" s="5"/>
      <c r="I95" s="5"/>
    </row>
    <row r="96" ht="12.75" customHeight="1">
      <c r="A96" s="5"/>
      <c r="B96" s="10" t="s">
        <v>145</v>
      </c>
      <c r="C96" s="5" t="s">
        <v>146</v>
      </c>
      <c r="D96" s="12">
        <v>3000.0</v>
      </c>
      <c r="E96" s="12">
        <v>3000.0</v>
      </c>
      <c r="F96" s="13">
        <v>25000.0</v>
      </c>
      <c r="G96" s="14">
        <f t="shared" si="4"/>
        <v>7.333333333</v>
      </c>
      <c r="H96" s="5"/>
      <c r="I96" s="5"/>
    </row>
    <row r="97" ht="12.75" customHeight="1">
      <c r="A97" s="5"/>
      <c r="B97" s="10" t="s">
        <v>147</v>
      </c>
      <c r="C97" s="5" t="s">
        <v>148</v>
      </c>
      <c r="D97" s="12">
        <v>50000.0</v>
      </c>
      <c r="E97" s="12">
        <v>50000.0</v>
      </c>
      <c r="F97" s="12">
        <v>50000.0</v>
      </c>
      <c r="G97" s="14">
        <f t="shared" si="4"/>
        <v>0</v>
      </c>
      <c r="H97" s="5"/>
      <c r="I97" s="5"/>
    </row>
    <row r="98" ht="13.5" customHeight="1">
      <c r="A98" s="5"/>
      <c r="B98" s="10"/>
      <c r="C98" s="16" t="s">
        <v>149</v>
      </c>
      <c r="D98" s="17">
        <v>618500.0</v>
      </c>
      <c r="E98" s="17">
        <v>838500.0</v>
      </c>
      <c r="F98" s="17">
        <f>SUM(F88:F97)</f>
        <v>915500</v>
      </c>
      <c r="G98" s="14">
        <f t="shared" si="4"/>
        <v>0.09183064997</v>
      </c>
      <c r="H98" s="5"/>
      <c r="I98" s="5"/>
    </row>
    <row r="99" ht="13.5" customHeight="1">
      <c r="A99" s="5"/>
      <c r="B99" s="10"/>
      <c r="C99" s="16"/>
      <c r="D99" s="17"/>
      <c r="E99" s="17"/>
      <c r="F99" s="17"/>
      <c r="G99" s="14" t="str">
        <f t="shared" si="4"/>
        <v/>
      </c>
      <c r="H99" s="5"/>
      <c r="I99" s="5"/>
    </row>
    <row r="100" ht="13.5" customHeight="1">
      <c r="A100" s="5"/>
      <c r="B100" s="10"/>
      <c r="C100" s="18" t="s">
        <v>150</v>
      </c>
      <c r="D100" s="19">
        <v>8686060.0</v>
      </c>
      <c r="E100" s="19">
        <v>7086060.0</v>
      </c>
      <c r="F100" s="19">
        <f>F98+F86+F83+F78+F75+F48+F35+F26</f>
        <v>8359410</v>
      </c>
      <c r="G100" s="14">
        <f t="shared" si="4"/>
        <v>0.1796978857</v>
      </c>
      <c r="H100" s="5"/>
      <c r="I100" s="5"/>
    </row>
    <row r="101" ht="12.75" customHeight="1">
      <c r="A101" s="5"/>
      <c r="B101" s="20"/>
      <c r="C101" s="5"/>
      <c r="D101" s="12"/>
      <c r="E101" s="12"/>
      <c r="F101" s="12"/>
      <c r="G101" s="14" t="str">
        <f t="shared" si="4"/>
        <v/>
      </c>
      <c r="H101" s="5"/>
      <c r="I101" s="5"/>
    </row>
    <row r="102" ht="13.5" customHeight="1">
      <c r="A102" s="5"/>
      <c r="B102" s="20"/>
      <c r="C102" s="5"/>
      <c r="D102" s="12"/>
      <c r="E102" s="12"/>
      <c r="F102" s="12"/>
      <c r="G102" s="14" t="str">
        <f t="shared" si="4"/>
        <v/>
      </c>
      <c r="H102" s="5"/>
      <c r="I102" s="5"/>
    </row>
    <row r="103" ht="26.25" customHeight="1">
      <c r="A103" s="5"/>
      <c r="B103" s="6" t="s">
        <v>1</v>
      </c>
      <c r="C103" s="6" t="s">
        <v>151</v>
      </c>
      <c r="D103" s="7" t="s">
        <v>3</v>
      </c>
      <c r="E103" s="7" t="s">
        <v>4</v>
      </c>
      <c r="F103" s="8" t="s">
        <v>5</v>
      </c>
      <c r="G103" s="14" t="str">
        <f t="shared" si="4"/>
        <v/>
      </c>
      <c r="H103" s="5"/>
      <c r="I103" s="5"/>
    </row>
    <row r="104" ht="12.75" customHeight="1">
      <c r="A104" s="5"/>
      <c r="B104" s="10" t="s">
        <v>152</v>
      </c>
      <c r="C104" s="5" t="s">
        <v>153</v>
      </c>
      <c r="D104" s="12">
        <v>9200000.0</v>
      </c>
      <c r="E104" s="12">
        <v>1.03E7</v>
      </c>
      <c r="F104" s="13">
        <v>1.078E7</v>
      </c>
      <c r="G104" s="14">
        <f t="shared" si="4"/>
        <v>0.04660194175</v>
      </c>
      <c r="H104" s="5"/>
      <c r="I104" s="5"/>
    </row>
    <row r="105" ht="12.75" customHeight="1">
      <c r="A105" s="5"/>
      <c r="B105" s="10" t="s">
        <v>154</v>
      </c>
      <c r="C105" s="5" t="s">
        <v>155</v>
      </c>
      <c r="D105" s="29">
        <v>36000.0</v>
      </c>
      <c r="E105" s="29">
        <v>36000.0</v>
      </c>
      <c r="F105" s="30">
        <v>45000.0</v>
      </c>
      <c r="G105" s="14">
        <f t="shared" si="4"/>
        <v>0.25</v>
      </c>
      <c r="H105" s="5"/>
      <c r="I105" s="5"/>
    </row>
    <row r="106" ht="12.75" hidden="1" customHeight="1">
      <c r="A106" s="5"/>
      <c r="B106" s="10" t="s">
        <v>156</v>
      </c>
      <c r="C106" s="5" t="s">
        <v>157</v>
      </c>
      <c r="D106" s="12">
        <v>310589.44</v>
      </c>
      <c r="E106" s="12">
        <v>0.0</v>
      </c>
      <c r="F106" s="12">
        <v>0.0</v>
      </c>
      <c r="G106" s="14" t="str">
        <f t="shared" si="4"/>
        <v/>
      </c>
      <c r="H106" s="5"/>
      <c r="I106" s="5"/>
    </row>
    <row r="107" ht="12.75" customHeight="1">
      <c r="A107" s="5"/>
      <c r="B107" s="10" t="s">
        <v>158</v>
      </c>
      <c r="C107" s="5" t="s">
        <v>159</v>
      </c>
      <c r="D107" s="12">
        <v>37500.0</v>
      </c>
      <c r="E107" s="12">
        <v>37500.0</v>
      </c>
      <c r="F107" s="12">
        <v>37500.0</v>
      </c>
      <c r="G107" s="14">
        <f t="shared" si="4"/>
        <v>0</v>
      </c>
      <c r="H107" s="5"/>
      <c r="I107" s="5"/>
    </row>
    <row r="108" ht="12.75" customHeight="1">
      <c r="A108" s="5"/>
      <c r="B108" s="10" t="s">
        <v>160</v>
      </c>
      <c r="C108" s="5" t="s">
        <v>161</v>
      </c>
      <c r="D108" s="12">
        <v>20000.0</v>
      </c>
      <c r="E108" s="12">
        <v>22500.0</v>
      </c>
      <c r="F108" s="13">
        <v>25500.0</v>
      </c>
      <c r="G108" s="14">
        <f t="shared" si="4"/>
        <v>0.1333333333</v>
      </c>
      <c r="H108" s="5"/>
      <c r="I108" s="5"/>
    </row>
    <row r="109" ht="12.75" customHeight="1">
      <c r="A109" s="5"/>
      <c r="B109" s="10" t="s">
        <v>162</v>
      </c>
      <c r="C109" s="5" t="s">
        <v>163</v>
      </c>
      <c r="D109" s="12">
        <v>26609.91</v>
      </c>
      <c r="E109" s="12">
        <v>29000.0</v>
      </c>
      <c r="F109" s="12">
        <v>29000.0</v>
      </c>
      <c r="G109" s="14">
        <f t="shared" si="4"/>
        <v>0</v>
      </c>
      <c r="H109" s="5"/>
      <c r="I109" s="5"/>
    </row>
    <row r="110" ht="12.75" customHeight="1">
      <c r="A110" s="5"/>
      <c r="B110" s="21"/>
      <c r="C110" s="16" t="s">
        <v>164</v>
      </c>
      <c r="D110" s="17">
        <v>9630699.35</v>
      </c>
      <c r="E110" s="17">
        <v>1.0425E7</v>
      </c>
      <c r="F110" s="17">
        <f>SUM(F104:F109)</f>
        <v>10917000</v>
      </c>
      <c r="G110" s="14">
        <f t="shared" si="4"/>
        <v>0.0471942446</v>
      </c>
      <c r="H110" s="5"/>
      <c r="I110" s="5"/>
    </row>
    <row r="111" ht="12.75" customHeight="1">
      <c r="A111" s="5"/>
      <c r="B111" s="21"/>
      <c r="C111" s="16"/>
      <c r="D111" s="17"/>
      <c r="E111" s="17"/>
      <c r="F111" s="17"/>
      <c r="G111" s="14" t="str">
        <f t="shared" si="4"/>
        <v/>
      </c>
      <c r="H111" s="5"/>
      <c r="I111" s="5"/>
    </row>
    <row r="112" ht="12.75" customHeight="1">
      <c r="A112" s="5"/>
      <c r="B112" s="10" t="s">
        <v>165</v>
      </c>
      <c r="C112" s="5" t="s">
        <v>166</v>
      </c>
      <c r="D112" s="12">
        <v>157071.12</v>
      </c>
      <c r="E112" s="12">
        <v>157071.12</v>
      </c>
      <c r="F112" s="13">
        <v>157337.2</v>
      </c>
      <c r="G112" s="14">
        <f t="shared" si="4"/>
        <v>0.001694009694</v>
      </c>
      <c r="H112" s="5"/>
      <c r="I112" s="5"/>
    </row>
    <row r="113" ht="12.75" customHeight="1">
      <c r="A113" s="5"/>
      <c r="B113" s="10" t="s">
        <v>167</v>
      </c>
      <c r="C113" s="5" t="s">
        <v>168</v>
      </c>
      <c r="D113" s="12">
        <v>2446000.0</v>
      </c>
      <c r="E113" s="29">
        <v>2446000.0</v>
      </c>
      <c r="F113" s="30">
        <v>2639619.06</v>
      </c>
      <c r="G113" s="14">
        <f t="shared" si="4"/>
        <v>0.07915742437</v>
      </c>
      <c r="H113" s="5"/>
      <c r="I113" s="5"/>
    </row>
    <row r="114" ht="12.75" customHeight="1">
      <c r="A114" s="5"/>
      <c r="B114" s="10" t="s">
        <v>169</v>
      </c>
      <c r="C114" s="5" t="s">
        <v>170</v>
      </c>
      <c r="D114" s="12">
        <v>172276.12</v>
      </c>
      <c r="E114" s="12">
        <v>172276.12</v>
      </c>
      <c r="F114" s="13">
        <v>210000.0</v>
      </c>
      <c r="G114" s="14">
        <f t="shared" si="4"/>
        <v>0.2189733551</v>
      </c>
      <c r="H114" s="5"/>
      <c r="I114" s="5"/>
    </row>
    <row r="115" ht="12.75" customHeight="1">
      <c r="A115" s="5"/>
      <c r="B115" s="10" t="s">
        <v>171</v>
      </c>
      <c r="C115" s="5" t="s">
        <v>172</v>
      </c>
      <c r="D115" s="12">
        <v>27700.0</v>
      </c>
      <c r="E115" s="12">
        <v>27700.0</v>
      </c>
      <c r="F115" s="12">
        <v>27700.0</v>
      </c>
      <c r="G115" s="14">
        <f t="shared" si="4"/>
        <v>0</v>
      </c>
      <c r="H115" s="5"/>
      <c r="I115" s="5"/>
    </row>
    <row r="116" ht="12.75" customHeight="1">
      <c r="A116" s="5"/>
      <c r="B116" s="10" t="s">
        <v>173</v>
      </c>
      <c r="C116" s="5" t="s">
        <v>174</v>
      </c>
      <c r="D116" s="12">
        <v>0.0</v>
      </c>
      <c r="E116" s="12">
        <v>0.0</v>
      </c>
      <c r="F116" s="12">
        <v>0.0</v>
      </c>
      <c r="G116" s="14" t="str">
        <f t="shared" si="4"/>
        <v/>
      </c>
      <c r="H116" s="5"/>
      <c r="I116" s="5"/>
    </row>
    <row r="117" ht="12.75" customHeight="1">
      <c r="A117" s="5"/>
      <c r="B117" s="10" t="s">
        <v>175</v>
      </c>
      <c r="C117" s="5" t="s">
        <v>176</v>
      </c>
      <c r="D117" s="12">
        <v>47426.35</v>
      </c>
      <c r="E117" s="12">
        <v>47426.35</v>
      </c>
      <c r="F117" s="12">
        <v>47426.35</v>
      </c>
      <c r="G117" s="14">
        <f t="shared" si="4"/>
        <v>0</v>
      </c>
      <c r="H117" s="5"/>
      <c r="I117" s="5"/>
    </row>
    <row r="118" ht="12.75" customHeight="1">
      <c r="A118" s="5"/>
      <c r="B118" s="10"/>
      <c r="C118" s="16" t="s">
        <v>177</v>
      </c>
      <c r="D118" s="17">
        <v>2850473.5900000003</v>
      </c>
      <c r="E118" s="17">
        <v>2850473.5900000003</v>
      </c>
      <c r="F118" s="17">
        <f>SUM(F112:F117)</f>
        <v>3082082.61</v>
      </c>
      <c r="G118" s="14">
        <f t="shared" si="4"/>
        <v>0.08125282087</v>
      </c>
      <c r="H118" s="5"/>
      <c r="I118" s="5"/>
    </row>
    <row r="119" ht="12.75" customHeight="1">
      <c r="A119" s="5"/>
      <c r="B119" s="10"/>
      <c r="C119" s="16"/>
      <c r="D119" s="17"/>
      <c r="E119" s="17"/>
      <c r="F119" s="17"/>
      <c r="G119" s="14" t="str">
        <f t="shared" si="4"/>
        <v/>
      </c>
      <c r="H119" s="5"/>
      <c r="I119" s="5"/>
    </row>
    <row r="120" ht="12.75" customHeight="1">
      <c r="A120" s="5"/>
      <c r="B120" s="10" t="s">
        <v>178</v>
      </c>
      <c r="C120" s="5" t="s">
        <v>179</v>
      </c>
      <c r="D120" s="12">
        <v>350000.0</v>
      </c>
      <c r="E120" s="12">
        <v>350000.0</v>
      </c>
      <c r="F120" s="13">
        <v>360000.0</v>
      </c>
      <c r="G120" s="14">
        <f t="shared" si="4"/>
        <v>0.02857142857</v>
      </c>
      <c r="H120" s="5"/>
      <c r="I120" s="5"/>
    </row>
    <row r="121" ht="12.75" customHeight="1">
      <c r="A121" s="5"/>
      <c r="B121" s="26" t="s">
        <v>180</v>
      </c>
      <c r="C121" s="15" t="s">
        <v>181</v>
      </c>
      <c r="D121" s="12"/>
      <c r="E121" s="13">
        <v>0.0</v>
      </c>
      <c r="F121" s="13">
        <v>45000.0</v>
      </c>
      <c r="G121" s="14"/>
      <c r="H121" s="5"/>
      <c r="I121" s="5"/>
    </row>
    <row r="122" ht="12.75" customHeight="1">
      <c r="A122" s="5"/>
      <c r="B122" s="28"/>
      <c r="C122" s="16" t="s">
        <v>182</v>
      </c>
      <c r="D122" s="17">
        <v>350000.0</v>
      </c>
      <c r="E122" s="17">
        <v>350000.0</v>
      </c>
      <c r="F122" s="17">
        <f>SUM(F120:F121)</f>
        <v>405000</v>
      </c>
      <c r="G122" s="14">
        <f t="shared" ref="G122:G142" si="5">IFERROR((F122-E122)/E122,"")</f>
        <v>0.1571428571</v>
      </c>
      <c r="H122" s="5"/>
      <c r="I122" s="5"/>
    </row>
    <row r="123" ht="12.75" customHeight="1">
      <c r="A123" s="5"/>
      <c r="B123" s="28"/>
      <c r="C123" s="16"/>
      <c r="D123" s="17"/>
      <c r="E123" s="17"/>
      <c r="F123" s="17"/>
      <c r="G123" s="14" t="str">
        <f t="shared" si="5"/>
        <v/>
      </c>
      <c r="H123" s="5"/>
      <c r="I123" s="5"/>
    </row>
    <row r="124" ht="12.75" customHeight="1">
      <c r="A124" s="5"/>
      <c r="B124" s="10" t="s">
        <v>183</v>
      </c>
      <c r="C124" s="5" t="s">
        <v>184</v>
      </c>
      <c r="D124" s="12">
        <v>3500.0</v>
      </c>
      <c r="E124" s="12">
        <v>3500.0</v>
      </c>
      <c r="F124" s="12">
        <v>3500.0</v>
      </c>
      <c r="G124" s="14">
        <f t="shared" si="5"/>
        <v>0</v>
      </c>
      <c r="H124" s="5"/>
      <c r="I124" s="5"/>
    </row>
    <row r="125" ht="12.75" customHeight="1">
      <c r="A125" s="5"/>
      <c r="B125" s="10" t="s">
        <v>185</v>
      </c>
      <c r="C125" s="5" t="s">
        <v>186</v>
      </c>
      <c r="D125" s="12">
        <v>7000.0</v>
      </c>
      <c r="E125" s="12">
        <v>7000.0</v>
      </c>
      <c r="F125" s="12">
        <v>7000.0</v>
      </c>
      <c r="G125" s="14">
        <f t="shared" si="5"/>
        <v>0</v>
      </c>
      <c r="H125" s="5"/>
      <c r="I125" s="5"/>
    </row>
    <row r="126" ht="12.75" customHeight="1">
      <c r="A126" s="5"/>
      <c r="B126" s="10" t="s">
        <v>187</v>
      </c>
      <c r="C126" s="5" t="s">
        <v>188</v>
      </c>
      <c r="D126" s="12">
        <v>5000.0</v>
      </c>
      <c r="E126" s="12">
        <v>5000.0</v>
      </c>
      <c r="F126" s="12">
        <v>5000.0</v>
      </c>
      <c r="G126" s="14">
        <f t="shared" si="5"/>
        <v>0</v>
      </c>
      <c r="H126" s="5"/>
      <c r="I126" s="5"/>
    </row>
    <row r="127" ht="12.75" customHeight="1">
      <c r="A127" s="5"/>
      <c r="B127" s="28"/>
      <c r="C127" s="16" t="s">
        <v>189</v>
      </c>
      <c r="D127" s="17">
        <v>15500.0</v>
      </c>
      <c r="E127" s="17">
        <v>15500.0</v>
      </c>
      <c r="F127" s="17">
        <f>SUM(F124:F126)</f>
        <v>15500</v>
      </c>
      <c r="G127" s="14">
        <f t="shared" si="5"/>
        <v>0</v>
      </c>
      <c r="H127" s="5"/>
      <c r="I127" s="5"/>
    </row>
    <row r="128" ht="12.75" customHeight="1">
      <c r="A128" s="5"/>
      <c r="B128" s="28"/>
      <c r="C128" s="16"/>
      <c r="D128" s="17"/>
      <c r="E128" s="17"/>
      <c r="F128" s="17"/>
      <c r="G128" s="14" t="str">
        <f t="shared" si="5"/>
        <v/>
      </c>
      <c r="H128" s="5"/>
      <c r="I128" s="5"/>
    </row>
    <row r="129" ht="12.75" customHeight="1">
      <c r="A129" s="5"/>
      <c r="B129" s="10" t="s">
        <v>190</v>
      </c>
      <c r="C129" s="5" t="s">
        <v>191</v>
      </c>
      <c r="D129" s="12">
        <v>0.0</v>
      </c>
      <c r="E129" s="12">
        <v>0.0</v>
      </c>
      <c r="F129" s="12">
        <v>0.0</v>
      </c>
      <c r="G129" s="14" t="str">
        <f t="shared" si="5"/>
        <v/>
      </c>
      <c r="H129" s="5"/>
      <c r="I129" s="5"/>
    </row>
    <row r="130" ht="13.5" customHeight="1">
      <c r="A130" s="5"/>
      <c r="B130" s="28"/>
      <c r="C130" s="16" t="s">
        <v>192</v>
      </c>
      <c r="D130" s="17">
        <v>0.0</v>
      </c>
      <c r="E130" s="17">
        <v>0.0</v>
      </c>
      <c r="F130" s="17">
        <f>SUM(F129)</f>
        <v>0</v>
      </c>
      <c r="G130" s="14" t="str">
        <f t="shared" si="5"/>
        <v/>
      </c>
      <c r="H130" s="5"/>
      <c r="I130" s="5"/>
    </row>
    <row r="131" ht="13.5" customHeight="1">
      <c r="A131" s="5"/>
      <c r="B131" s="5"/>
      <c r="C131" s="18" t="s">
        <v>193</v>
      </c>
      <c r="D131" s="19">
        <v>1.284667294E7</v>
      </c>
      <c r="E131" s="19">
        <v>1.364097359E7</v>
      </c>
      <c r="F131" s="19">
        <f>F110+F118+F122+F127+F130</f>
        <v>14419582.61</v>
      </c>
      <c r="G131" s="14">
        <f t="shared" si="5"/>
        <v>0.05707869859</v>
      </c>
      <c r="H131" s="5"/>
      <c r="I131" s="5"/>
    </row>
    <row r="132" ht="13.5" customHeight="1">
      <c r="A132" s="5"/>
      <c r="B132" s="20"/>
      <c r="C132" s="5"/>
      <c r="D132" s="12"/>
      <c r="E132" s="12"/>
      <c r="F132" s="12"/>
      <c r="G132" s="14" t="str">
        <f t="shared" si="5"/>
        <v/>
      </c>
      <c r="H132" s="5"/>
      <c r="I132" s="5"/>
    </row>
    <row r="133" ht="26.25" customHeight="1">
      <c r="A133" s="5"/>
      <c r="B133" s="6" t="s">
        <v>1</v>
      </c>
      <c r="C133" s="6" t="s">
        <v>194</v>
      </c>
      <c r="D133" s="7" t="s">
        <v>3</v>
      </c>
      <c r="E133" s="7" t="s">
        <v>4</v>
      </c>
      <c r="F133" s="8" t="s">
        <v>5</v>
      </c>
      <c r="G133" s="14" t="str">
        <f t="shared" si="5"/>
        <v/>
      </c>
      <c r="H133" s="5"/>
      <c r="I133" s="5"/>
    </row>
    <row r="134" ht="12.75" customHeight="1">
      <c r="A134" s="5"/>
      <c r="B134" s="10" t="s">
        <v>195</v>
      </c>
      <c r="C134" s="5" t="s">
        <v>196</v>
      </c>
      <c r="D134" s="12">
        <v>400000.0</v>
      </c>
      <c r="E134" s="12">
        <v>600000.0</v>
      </c>
      <c r="F134" s="13">
        <v>500000.0</v>
      </c>
      <c r="G134" s="14">
        <f t="shared" si="5"/>
        <v>-0.1666666667</v>
      </c>
      <c r="H134" s="5"/>
      <c r="I134" s="5"/>
    </row>
    <row r="135" ht="12.75" customHeight="1">
      <c r="A135" s="5"/>
      <c r="B135" s="10" t="s">
        <v>197</v>
      </c>
      <c r="C135" s="5" t="s">
        <v>198</v>
      </c>
      <c r="D135" s="12"/>
      <c r="E135" s="12">
        <v>43614.12</v>
      </c>
      <c r="F135" s="13">
        <v>34000.0</v>
      </c>
      <c r="G135" s="14">
        <f t="shared" si="5"/>
        <v>-0.2204359506</v>
      </c>
      <c r="H135" s="5"/>
      <c r="I135" s="5"/>
    </row>
    <row r="136" ht="12.75" customHeight="1">
      <c r="A136" s="5"/>
      <c r="B136" s="10" t="s">
        <v>199</v>
      </c>
      <c r="C136" s="5" t="s">
        <v>200</v>
      </c>
      <c r="D136" s="12">
        <v>5500.0</v>
      </c>
      <c r="E136" s="12">
        <v>5500.0</v>
      </c>
      <c r="F136" s="13">
        <v>20500.0</v>
      </c>
      <c r="G136" s="14">
        <f t="shared" si="5"/>
        <v>2.727272727</v>
      </c>
      <c r="H136" s="5"/>
      <c r="I136" s="5"/>
    </row>
    <row r="137" ht="12.75" customHeight="1">
      <c r="A137" s="5"/>
      <c r="B137" s="21"/>
      <c r="C137" s="16" t="s">
        <v>201</v>
      </c>
      <c r="D137" s="17">
        <v>405500.0</v>
      </c>
      <c r="E137" s="17">
        <v>649114.12</v>
      </c>
      <c r="F137" s="17">
        <f>SUM(F134:F136)</f>
        <v>554500</v>
      </c>
      <c r="G137" s="14">
        <f t="shared" si="5"/>
        <v>-0.1457588382</v>
      </c>
      <c r="H137" s="5"/>
      <c r="I137" s="5"/>
    </row>
    <row r="138" ht="12.75" customHeight="1">
      <c r="A138" s="5"/>
      <c r="B138" s="21"/>
      <c r="C138" s="16"/>
      <c r="D138" s="17"/>
      <c r="E138" s="17"/>
      <c r="F138" s="17"/>
      <c r="G138" s="14" t="str">
        <f t="shared" si="5"/>
        <v/>
      </c>
      <c r="H138" s="5"/>
      <c r="I138" s="5"/>
    </row>
    <row r="139" ht="12.75" customHeight="1">
      <c r="A139" s="5"/>
      <c r="B139" s="10" t="s">
        <v>202</v>
      </c>
      <c r="C139" s="5" t="s">
        <v>203</v>
      </c>
      <c r="D139" s="31">
        <v>0.0</v>
      </c>
      <c r="E139" s="31">
        <v>0.0</v>
      </c>
      <c r="F139" s="31">
        <v>0.0</v>
      </c>
      <c r="G139" s="14" t="str">
        <f t="shared" si="5"/>
        <v/>
      </c>
      <c r="H139" s="5"/>
      <c r="I139" s="5"/>
    </row>
    <row r="140" ht="12.75" customHeight="1">
      <c r="A140" s="5"/>
      <c r="B140" s="10" t="s">
        <v>204</v>
      </c>
      <c r="C140" s="5" t="s">
        <v>205</v>
      </c>
      <c r="D140" s="12">
        <v>13884.0</v>
      </c>
      <c r="E140" s="12">
        <v>13884.0</v>
      </c>
      <c r="F140" s="12">
        <f>5784 + 8100</f>
        <v>13884</v>
      </c>
      <c r="G140" s="14">
        <f t="shared" si="5"/>
        <v>0</v>
      </c>
      <c r="H140" s="5"/>
      <c r="I140" s="5"/>
    </row>
    <row r="141" ht="12.75" customHeight="1">
      <c r="A141" s="5"/>
      <c r="B141" s="10" t="s">
        <v>206</v>
      </c>
      <c r="C141" s="5" t="s">
        <v>207</v>
      </c>
      <c r="D141" s="12">
        <v>1100.0</v>
      </c>
      <c r="E141" s="12">
        <v>1100.0</v>
      </c>
      <c r="F141" s="12">
        <v>1100.0</v>
      </c>
      <c r="G141" s="14">
        <f t="shared" si="5"/>
        <v>0</v>
      </c>
      <c r="H141" s="5"/>
      <c r="I141" s="5"/>
    </row>
    <row r="142" ht="12.75" customHeight="1">
      <c r="A142" s="5"/>
      <c r="B142" s="26" t="s">
        <v>208</v>
      </c>
      <c r="C142" s="15" t="s">
        <v>209</v>
      </c>
      <c r="D142" s="12"/>
      <c r="E142" s="12"/>
      <c r="F142" s="13">
        <v>3550.0</v>
      </c>
      <c r="G142" s="14" t="str">
        <f t="shared" si="5"/>
        <v/>
      </c>
      <c r="H142" s="5"/>
      <c r="I142" s="5"/>
    </row>
    <row r="143" ht="12.75" customHeight="1">
      <c r="A143" s="5"/>
      <c r="B143" s="26" t="s">
        <v>210</v>
      </c>
      <c r="C143" s="15" t="s">
        <v>211</v>
      </c>
      <c r="D143" s="12"/>
      <c r="E143" s="12"/>
      <c r="F143" s="13">
        <v>1500000.0</v>
      </c>
      <c r="G143" s="14"/>
      <c r="H143" s="5"/>
      <c r="I143" s="5"/>
    </row>
    <row r="144" ht="12.75" customHeight="1">
      <c r="A144" s="5"/>
      <c r="B144" s="10" t="s">
        <v>212</v>
      </c>
      <c r="C144" s="5" t="s">
        <v>213</v>
      </c>
      <c r="D144" s="12">
        <v>5780.0</v>
      </c>
      <c r="E144" s="12">
        <v>5780.0</v>
      </c>
      <c r="F144" s="13">
        <v>11930.0</v>
      </c>
      <c r="G144" s="14">
        <f t="shared" ref="G144:G187" si="6">IFERROR((F144-E144)/E144,"")</f>
        <v>1.064013841</v>
      </c>
      <c r="H144" s="5"/>
      <c r="I144" s="5"/>
    </row>
    <row r="145" ht="12.75" customHeight="1">
      <c r="A145" s="5"/>
      <c r="B145" s="10" t="s">
        <v>214</v>
      </c>
      <c r="C145" s="5" t="s">
        <v>215</v>
      </c>
      <c r="D145" s="12">
        <v>150.0</v>
      </c>
      <c r="E145" s="12">
        <v>150.0</v>
      </c>
      <c r="F145" s="12">
        <v>150.0</v>
      </c>
      <c r="G145" s="14">
        <f t="shared" si="6"/>
        <v>0</v>
      </c>
      <c r="H145" s="5"/>
      <c r="I145" s="5"/>
    </row>
    <row r="146" ht="12.75" customHeight="1">
      <c r="A146" s="5"/>
      <c r="B146" s="21"/>
      <c r="C146" s="16" t="s">
        <v>216</v>
      </c>
      <c r="D146" s="17">
        <v>20914.0</v>
      </c>
      <c r="E146" s="17">
        <v>20914.0</v>
      </c>
      <c r="F146" s="17">
        <f>SUM(F139:F145)</f>
        <v>1530614</v>
      </c>
      <c r="G146" s="14">
        <f t="shared" si="6"/>
        <v>72.18609544</v>
      </c>
      <c r="H146" s="5"/>
      <c r="I146" s="5"/>
    </row>
    <row r="147" ht="12.75" customHeight="1">
      <c r="A147" s="5"/>
      <c r="B147" s="21"/>
      <c r="C147" s="16"/>
      <c r="D147" s="17"/>
      <c r="E147" s="17"/>
      <c r="F147" s="17"/>
      <c r="G147" s="14" t="str">
        <f t="shared" si="6"/>
        <v/>
      </c>
      <c r="H147" s="5"/>
      <c r="I147" s="5"/>
    </row>
    <row r="148" ht="12.75" customHeight="1">
      <c r="A148" s="5"/>
      <c r="B148" s="10" t="s">
        <v>217</v>
      </c>
      <c r="C148" s="5" t="s">
        <v>218</v>
      </c>
      <c r="D148" s="12">
        <v>1000.0</v>
      </c>
      <c r="E148" s="12">
        <v>1000.0</v>
      </c>
      <c r="F148" s="12">
        <v>1000.0</v>
      </c>
      <c r="G148" s="14">
        <f t="shared" si="6"/>
        <v>0</v>
      </c>
      <c r="H148" s="5"/>
      <c r="I148" s="5"/>
    </row>
    <row r="149" ht="13.5" customHeight="1">
      <c r="A149" s="5"/>
      <c r="B149" s="28"/>
      <c r="C149" s="16" t="s">
        <v>219</v>
      </c>
      <c r="D149" s="17">
        <v>1000.0</v>
      </c>
      <c r="E149" s="17">
        <v>1000.0</v>
      </c>
      <c r="F149" s="17">
        <f>SUM(F148)</f>
        <v>1000</v>
      </c>
      <c r="G149" s="14">
        <f t="shared" si="6"/>
        <v>0</v>
      </c>
      <c r="H149" s="5"/>
      <c r="I149" s="5"/>
    </row>
    <row r="150" ht="13.5" customHeight="1">
      <c r="A150" s="5"/>
      <c r="B150" s="28"/>
      <c r="C150" s="16"/>
      <c r="D150" s="17"/>
      <c r="E150" s="17"/>
      <c r="F150" s="17"/>
      <c r="G150" s="14" t="str">
        <f t="shared" si="6"/>
        <v/>
      </c>
      <c r="H150" s="5"/>
      <c r="I150" s="5"/>
    </row>
    <row r="151" ht="13.5" customHeight="1">
      <c r="A151" s="5"/>
      <c r="B151" s="28"/>
      <c r="C151" s="18" t="s">
        <v>220</v>
      </c>
      <c r="D151" s="19">
        <v>427414.0</v>
      </c>
      <c r="E151" s="19">
        <v>671028.12</v>
      </c>
      <c r="F151" s="19">
        <f>F137+F146+F149</f>
        <v>2086114</v>
      </c>
      <c r="G151" s="14">
        <f t="shared" si="6"/>
        <v>2.108832458</v>
      </c>
      <c r="H151" s="5"/>
      <c r="I151" s="5"/>
    </row>
    <row r="152" ht="13.5" customHeight="1">
      <c r="A152" s="5"/>
      <c r="B152" s="28"/>
      <c r="C152" s="16"/>
      <c r="D152" s="12"/>
      <c r="E152" s="12"/>
      <c r="F152" s="12"/>
      <c r="G152" s="14" t="str">
        <f t="shared" si="6"/>
        <v/>
      </c>
      <c r="H152" s="5"/>
      <c r="I152" s="5"/>
    </row>
    <row r="153" ht="26.25" customHeight="1">
      <c r="A153" s="5"/>
      <c r="B153" s="6" t="s">
        <v>1</v>
      </c>
      <c r="C153" s="6" t="s">
        <v>221</v>
      </c>
      <c r="D153" s="7" t="s">
        <v>3</v>
      </c>
      <c r="E153" s="7" t="s">
        <v>4</v>
      </c>
      <c r="F153" s="8" t="s">
        <v>5</v>
      </c>
      <c r="G153" s="14" t="str">
        <f t="shared" si="6"/>
        <v/>
      </c>
      <c r="H153" s="5"/>
      <c r="I153" s="5"/>
    </row>
    <row r="154" ht="12.75" customHeight="1">
      <c r="A154" s="5"/>
      <c r="B154" s="26">
        <v>603.0</v>
      </c>
      <c r="C154" s="15" t="s">
        <v>222</v>
      </c>
      <c r="D154" s="12">
        <v>6000.0</v>
      </c>
      <c r="E154" s="12">
        <v>0.0</v>
      </c>
      <c r="F154" s="13">
        <v>110000.0</v>
      </c>
      <c r="G154" s="14" t="str">
        <f t="shared" si="6"/>
        <v/>
      </c>
      <c r="I154" s="15" t="s">
        <v>223</v>
      </c>
    </row>
    <row r="155" ht="12.75" customHeight="1">
      <c r="A155" s="5"/>
      <c r="B155" s="21"/>
      <c r="C155" s="16" t="s">
        <v>224</v>
      </c>
      <c r="D155" s="17">
        <v>6000.0</v>
      </c>
      <c r="E155" s="17">
        <v>0.0</v>
      </c>
      <c r="F155" s="17">
        <f>F154</f>
        <v>110000</v>
      </c>
      <c r="G155" s="14" t="str">
        <f t="shared" si="6"/>
        <v/>
      </c>
      <c r="H155" s="5"/>
      <c r="I155" s="5"/>
    </row>
    <row r="156" ht="12.75" customHeight="1">
      <c r="A156" s="5"/>
      <c r="B156" s="21"/>
      <c r="C156" s="16"/>
      <c r="D156" s="17"/>
      <c r="E156" s="17"/>
      <c r="F156" s="17"/>
      <c r="G156" s="14" t="str">
        <f t="shared" si="6"/>
        <v/>
      </c>
      <c r="H156" s="5"/>
      <c r="I156" s="5"/>
    </row>
    <row r="157" ht="13.5" customHeight="1">
      <c r="A157" s="5"/>
      <c r="B157" s="28"/>
      <c r="C157" s="18" t="s">
        <v>225</v>
      </c>
      <c r="D157" s="19">
        <v>6000.0</v>
      </c>
      <c r="E157" s="19">
        <v>0.0</v>
      </c>
      <c r="F157" s="19">
        <f>F155</f>
        <v>110000</v>
      </c>
      <c r="G157" s="14" t="str">
        <f t="shared" si="6"/>
        <v/>
      </c>
      <c r="H157" s="5"/>
      <c r="I157" s="5"/>
    </row>
    <row r="158" ht="13.5" customHeight="1">
      <c r="A158" s="5"/>
      <c r="B158" s="28"/>
      <c r="C158" s="16"/>
      <c r="D158" s="12"/>
      <c r="E158" s="12"/>
      <c r="F158" s="12"/>
      <c r="G158" s="14" t="str">
        <f t="shared" si="6"/>
        <v/>
      </c>
      <c r="H158" s="5"/>
      <c r="I158" s="5"/>
    </row>
    <row r="159" ht="26.25" customHeight="1">
      <c r="A159" s="5"/>
      <c r="B159" s="6" t="s">
        <v>1</v>
      </c>
      <c r="C159" s="6" t="s">
        <v>226</v>
      </c>
      <c r="D159" s="7" t="s">
        <v>3</v>
      </c>
      <c r="E159" s="7" t="s">
        <v>4</v>
      </c>
      <c r="F159" s="8" t="s">
        <v>5</v>
      </c>
      <c r="G159" s="14" t="str">
        <f t="shared" si="6"/>
        <v/>
      </c>
      <c r="H159" s="5"/>
      <c r="I159" s="5"/>
    </row>
    <row r="160" ht="12.75" customHeight="1">
      <c r="A160" s="5"/>
      <c r="B160" s="10" t="s">
        <v>227</v>
      </c>
      <c r="C160" s="5" t="s">
        <v>228</v>
      </c>
      <c r="D160" s="12">
        <v>0.0</v>
      </c>
      <c r="E160" s="12">
        <v>0.0</v>
      </c>
      <c r="F160" s="12">
        <v>0.0</v>
      </c>
      <c r="G160" s="14" t="str">
        <f t="shared" si="6"/>
        <v/>
      </c>
      <c r="H160" s="5"/>
      <c r="I160" s="5"/>
    </row>
    <row r="161" ht="12.75" customHeight="1">
      <c r="A161" s="5"/>
      <c r="B161" s="10" t="s">
        <v>229</v>
      </c>
      <c r="C161" s="5" t="s">
        <v>230</v>
      </c>
      <c r="D161" s="12">
        <v>268000.0</v>
      </c>
      <c r="E161" s="12">
        <v>268000.0</v>
      </c>
      <c r="F161" s="13">
        <v>282000.0</v>
      </c>
      <c r="G161" s="14">
        <f t="shared" si="6"/>
        <v>0.05223880597</v>
      </c>
      <c r="H161" s="5"/>
      <c r="I161" s="5"/>
    </row>
    <row r="162" ht="12.75" customHeight="1">
      <c r="A162" s="5"/>
      <c r="B162" s="10" t="s">
        <v>231</v>
      </c>
      <c r="C162" s="5" t="s">
        <v>232</v>
      </c>
      <c r="D162" s="12">
        <v>268000.0</v>
      </c>
      <c r="E162" s="12">
        <v>268000.0</v>
      </c>
      <c r="F162" s="13">
        <v>282000.0</v>
      </c>
      <c r="G162" s="14">
        <f t="shared" si="6"/>
        <v>0.05223880597</v>
      </c>
      <c r="H162" s="5"/>
      <c r="I162" s="5"/>
    </row>
    <row r="163" ht="12.75" customHeight="1">
      <c r="A163" s="5"/>
      <c r="B163" s="10" t="s">
        <v>233</v>
      </c>
      <c r="C163" s="5" t="s">
        <v>234</v>
      </c>
      <c r="D163" s="12">
        <v>855515.16</v>
      </c>
      <c r="E163" s="32">
        <v>1320820.0</v>
      </c>
      <c r="F163" s="33">
        <v>881600.95</v>
      </c>
      <c r="G163" s="14">
        <f t="shared" si="6"/>
        <v>-0.3325351297</v>
      </c>
      <c r="H163" s="5"/>
      <c r="I163" s="33">
        <v>1665140.0</v>
      </c>
    </row>
    <row r="164" ht="12.75" customHeight="1">
      <c r="A164" s="5"/>
      <c r="B164" s="21"/>
      <c r="C164" s="16" t="s">
        <v>235</v>
      </c>
      <c r="D164" s="17">
        <v>1391515.1600000001</v>
      </c>
      <c r="E164" s="17">
        <v>1856820.0</v>
      </c>
      <c r="F164" s="17">
        <f>SUM(F160:F163)</f>
        <v>1445600.95</v>
      </c>
      <c r="G164" s="14">
        <f t="shared" si="6"/>
        <v>-0.221464143</v>
      </c>
      <c r="H164" s="5"/>
      <c r="I164" s="32"/>
    </row>
    <row r="165" ht="12.75" customHeight="1">
      <c r="A165" s="5"/>
      <c r="B165" s="21"/>
      <c r="C165" s="16"/>
      <c r="D165" s="17"/>
      <c r="E165" s="17"/>
      <c r="F165" s="17"/>
      <c r="G165" s="14" t="str">
        <f t="shared" si="6"/>
        <v/>
      </c>
      <c r="H165" s="5"/>
      <c r="I165" s="5"/>
    </row>
    <row r="166" ht="12.75" customHeight="1">
      <c r="A166" s="34"/>
      <c r="B166" s="35" t="s">
        <v>236</v>
      </c>
      <c r="C166" s="34" t="s">
        <v>237</v>
      </c>
      <c r="D166" s="36">
        <v>74240.4</v>
      </c>
      <c r="E166" s="36">
        <v>74240.4</v>
      </c>
      <c r="F166" s="37">
        <v>0.0</v>
      </c>
      <c r="G166" s="14">
        <f t="shared" si="6"/>
        <v>-1</v>
      </c>
      <c r="H166" s="5"/>
      <c r="I166" s="34"/>
    </row>
    <row r="167" ht="12.75" customHeight="1">
      <c r="A167" s="34"/>
      <c r="B167" s="34"/>
      <c r="C167" s="38" t="s">
        <v>238</v>
      </c>
      <c r="D167" s="39">
        <v>74240.4</v>
      </c>
      <c r="E167" s="39">
        <v>74240.4</v>
      </c>
      <c r="F167" s="39">
        <f>SUM(F166)</f>
        <v>0</v>
      </c>
      <c r="G167" s="14">
        <f t="shared" si="6"/>
        <v>-1</v>
      </c>
      <c r="H167" s="5"/>
      <c r="I167" s="34"/>
    </row>
    <row r="168" ht="12.75" customHeight="1">
      <c r="A168" s="34"/>
      <c r="B168" s="34"/>
      <c r="C168" s="38"/>
      <c r="D168" s="39"/>
      <c r="E168" s="39"/>
      <c r="F168" s="39"/>
      <c r="G168" s="14" t="str">
        <f t="shared" si="6"/>
        <v/>
      </c>
      <c r="H168" s="5"/>
      <c r="I168" s="34"/>
    </row>
    <row r="169" ht="12.75" customHeight="1">
      <c r="A169" s="5"/>
      <c r="B169" s="10" t="s">
        <v>239</v>
      </c>
      <c r="C169" s="5" t="s">
        <v>240</v>
      </c>
      <c r="D169" s="12">
        <v>0.0</v>
      </c>
      <c r="E169" s="12">
        <v>0.0</v>
      </c>
      <c r="F169" s="12">
        <v>0.0</v>
      </c>
      <c r="G169" s="14" t="str">
        <f t="shared" si="6"/>
        <v/>
      </c>
      <c r="H169" s="5"/>
      <c r="I169" s="5"/>
    </row>
    <row r="170" ht="12.75" customHeight="1">
      <c r="A170" s="5"/>
      <c r="B170" s="21"/>
      <c r="C170" s="16" t="s">
        <v>241</v>
      </c>
      <c r="D170" s="17">
        <v>0.0</v>
      </c>
      <c r="E170" s="17">
        <v>0.0</v>
      </c>
      <c r="F170" s="17">
        <f>SUM(F169)</f>
        <v>0</v>
      </c>
      <c r="G170" s="14" t="str">
        <f t="shared" si="6"/>
        <v/>
      </c>
      <c r="H170" s="5"/>
      <c r="I170" s="5"/>
    </row>
    <row r="171" ht="12.75" customHeight="1">
      <c r="A171" s="5"/>
      <c r="B171" s="21"/>
      <c r="C171" s="16"/>
      <c r="D171" s="17"/>
      <c r="E171" s="17"/>
      <c r="F171" s="17"/>
      <c r="G171" s="14" t="str">
        <f t="shared" si="6"/>
        <v/>
      </c>
      <c r="H171" s="5"/>
      <c r="I171" s="5"/>
    </row>
    <row r="172" ht="13.5" customHeight="1">
      <c r="A172" s="5"/>
      <c r="B172" s="28"/>
      <c r="C172" s="18" t="s">
        <v>242</v>
      </c>
      <c r="D172" s="19">
        <v>1465755.56</v>
      </c>
      <c r="E172" s="19">
        <v>1931060.4</v>
      </c>
      <c r="F172" s="19">
        <f>SUM(F164,F170,F167)</f>
        <v>1445600.95</v>
      </c>
      <c r="G172" s="14">
        <f t="shared" si="6"/>
        <v>-0.2513952697</v>
      </c>
      <c r="H172" s="5"/>
      <c r="I172" s="5"/>
    </row>
    <row r="173" ht="13.5" customHeight="1">
      <c r="A173" s="5"/>
      <c r="B173" s="28"/>
      <c r="C173" s="16"/>
      <c r="D173" s="12"/>
      <c r="E173" s="12"/>
      <c r="F173" s="12"/>
      <c r="G173" s="14" t="str">
        <f t="shared" si="6"/>
        <v/>
      </c>
      <c r="H173" s="5"/>
      <c r="I173" s="5"/>
    </row>
    <row r="174" ht="26.25" customHeight="1">
      <c r="A174" s="5"/>
      <c r="B174" s="6" t="s">
        <v>1</v>
      </c>
      <c r="C174" s="6" t="s">
        <v>243</v>
      </c>
      <c r="D174" s="7" t="s">
        <v>3</v>
      </c>
      <c r="E174" s="7" t="s">
        <v>4</v>
      </c>
      <c r="F174" s="8" t="s">
        <v>5</v>
      </c>
      <c r="G174" s="14" t="str">
        <f t="shared" si="6"/>
        <v/>
      </c>
      <c r="H174" s="5"/>
      <c r="I174" s="5"/>
    </row>
    <row r="175" ht="12.75" customHeight="1">
      <c r="A175" s="5"/>
      <c r="B175" s="10" t="s">
        <v>244</v>
      </c>
      <c r="C175" s="5" t="s">
        <v>245</v>
      </c>
      <c r="D175" s="12">
        <v>15000.0</v>
      </c>
      <c r="E175" s="12">
        <v>15000.0</v>
      </c>
      <c r="F175" s="12">
        <v>15000.0</v>
      </c>
      <c r="G175" s="14">
        <f t="shared" si="6"/>
        <v>0</v>
      </c>
      <c r="H175" s="5"/>
      <c r="I175" s="5"/>
    </row>
    <row r="176" ht="13.5" customHeight="1">
      <c r="A176" s="5"/>
      <c r="B176" s="10" t="s">
        <v>246</v>
      </c>
      <c r="C176" s="5" t="s">
        <v>247</v>
      </c>
      <c r="D176" s="12">
        <v>2157195.5</v>
      </c>
      <c r="E176" s="12">
        <v>4556700.16</v>
      </c>
      <c r="F176" s="12">
        <f>IFERROR(__xludf.DUMMYFUNCTION("IMPORTRANGE(""https://docs.google.com/spreadsheets/d/1GtVEW9YZse0IzniQ0R5fmny0v0Q2UBTfAmCwTvKHgjI"",""2026!suma_total_rta"")"),183530.1499999999)</f>
        <v>183530.15</v>
      </c>
      <c r="G176" s="14">
        <f t="shared" si="6"/>
        <v>-0.9597230137</v>
      </c>
      <c r="H176" s="5"/>
      <c r="I176" s="5"/>
    </row>
    <row r="177" ht="13.5" customHeight="1">
      <c r="A177" s="5"/>
      <c r="B177" s="10"/>
      <c r="C177" s="16" t="s">
        <v>248</v>
      </c>
      <c r="D177" s="17">
        <v>2172195.5</v>
      </c>
      <c r="E177" s="17">
        <v>4571700.16</v>
      </c>
      <c r="F177" s="17">
        <f>SUM(F175:F176)</f>
        <v>198530.15</v>
      </c>
      <c r="G177" s="14">
        <f t="shared" si="6"/>
        <v>-0.9565741096</v>
      </c>
      <c r="H177" s="5"/>
      <c r="I177" s="5"/>
    </row>
    <row r="178" ht="13.5" customHeight="1">
      <c r="A178" s="5"/>
      <c r="B178" s="10"/>
      <c r="C178" s="16"/>
      <c r="D178" s="17"/>
      <c r="E178" s="17"/>
      <c r="F178" s="17"/>
      <c r="G178" s="14" t="str">
        <f t="shared" si="6"/>
        <v/>
      </c>
      <c r="H178" s="5"/>
      <c r="I178" s="5"/>
    </row>
    <row r="179" ht="13.5" customHeight="1">
      <c r="A179" s="5"/>
      <c r="B179" s="5"/>
      <c r="C179" s="18" t="s">
        <v>249</v>
      </c>
      <c r="D179" s="19">
        <v>2172195.5</v>
      </c>
      <c r="E179" s="19">
        <v>4571700.16</v>
      </c>
      <c r="F179" s="19">
        <f>SUM(F177)</f>
        <v>198530.15</v>
      </c>
      <c r="G179" s="14">
        <f t="shared" si="6"/>
        <v>-0.9565741096</v>
      </c>
      <c r="H179" s="5"/>
      <c r="I179" s="5"/>
    </row>
    <row r="180" ht="12.75" customHeight="1">
      <c r="A180" s="5"/>
      <c r="B180" s="5"/>
      <c r="C180" s="5"/>
      <c r="D180" s="12"/>
      <c r="E180" s="12"/>
      <c r="F180" s="12"/>
      <c r="G180" s="14" t="str">
        <f t="shared" si="6"/>
        <v/>
      </c>
      <c r="H180" s="5"/>
      <c r="I180" s="5"/>
    </row>
    <row r="181" ht="26.25" customHeight="1">
      <c r="A181" s="5"/>
      <c r="B181" s="6" t="s">
        <v>1</v>
      </c>
      <c r="C181" s="6" t="s">
        <v>250</v>
      </c>
      <c r="D181" s="7" t="s">
        <v>3</v>
      </c>
      <c r="E181" s="7" t="s">
        <v>4</v>
      </c>
      <c r="F181" s="8" t="s">
        <v>5</v>
      </c>
      <c r="G181" s="14" t="str">
        <f t="shared" si="6"/>
        <v/>
      </c>
      <c r="H181" s="5"/>
      <c r="I181" s="5"/>
    </row>
    <row r="182" ht="12.75" customHeight="1">
      <c r="A182" s="5"/>
      <c r="B182" s="10" t="s">
        <v>251</v>
      </c>
      <c r="C182" s="5" t="s">
        <v>252</v>
      </c>
      <c r="D182" s="12">
        <v>8618380.98</v>
      </c>
      <c r="E182" s="12">
        <v>2.0457492930000003E7</v>
      </c>
      <c r="F182" s="12">
        <f>IFERROR(__xludf.DUMMYFUNCTION("IMPORTRANGE(""https://docs.google.com/spreadsheets/d/1GtVEW9YZse0IzniQ0R5fmny0v0Q2UBTfAmCwTvKHgjI"",""2026!suma_total_prestamo"")"),2.01616236443E7)</f>
        <v>20161623.64</v>
      </c>
      <c r="G182" s="14">
        <f t="shared" si="6"/>
        <v>-0.01446263659</v>
      </c>
      <c r="H182" s="5"/>
      <c r="I182" s="5"/>
    </row>
    <row r="183" ht="13.5" customHeight="1">
      <c r="A183" s="5"/>
      <c r="B183" s="28"/>
      <c r="C183" s="16" t="s">
        <v>253</v>
      </c>
      <c r="D183" s="17">
        <v>8618380.98</v>
      </c>
      <c r="E183" s="17">
        <v>2.0457492930000003E7</v>
      </c>
      <c r="F183" s="40">
        <f>SUM(F182)</f>
        <v>20161623.64</v>
      </c>
      <c r="G183" s="14">
        <f t="shared" si="6"/>
        <v>-0.01446263659</v>
      </c>
      <c r="H183" s="5"/>
      <c r="I183" s="12">
        <f>F183+2413800</f>
        <v>22575423.64</v>
      </c>
    </row>
    <row r="184" ht="13.5" customHeight="1">
      <c r="A184" s="5"/>
      <c r="B184" s="28"/>
      <c r="C184" s="16"/>
      <c r="D184" s="17"/>
      <c r="E184" s="17"/>
      <c r="F184" s="17"/>
      <c r="G184" s="14" t="str">
        <f t="shared" si="6"/>
        <v/>
      </c>
      <c r="H184" s="5"/>
      <c r="I184" s="5"/>
    </row>
    <row r="185" ht="13.5" customHeight="1">
      <c r="A185" s="5"/>
      <c r="B185" s="5"/>
      <c r="C185" s="18" t="s">
        <v>254</v>
      </c>
      <c r="D185" s="19">
        <v>8618380.98</v>
      </c>
      <c r="E185" s="19">
        <v>2.0457492930000003E7</v>
      </c>
      <c r="F185" s="19">
        <f>SUM(F183)</f>
        <v>20161623.64</v>
      </c>
      <c r="G185" s="14">
        <f t="shared" si="6"/>
        <v>-0.01446263659</v>
      </c>
      <c r="H185" s="5"/>
      <c r="I185" s="5"/>
    </row>
    <row r="186" ht="12.75" customHeight="1">
      <c r="A186" s="5"/>
      <c r="B186" s="5"/>
      <c r="C186" s="5"/>
      <c r="D186" s="12"/>
      <c r="E186" s="12"/>
      <c r="F186" s="12"/>
      <c r="G186" s="14" t="str">
        <f t="shared" si="6"/>
        <v/>
      </c>
      <c r="H186" s="5"/>
      <c r="I186" s="5"/>
    </row>
    <row r="187" ht="16.5" customHeight="1">
      <c r="A187" s="5"/>
      <c r="B187" s="41"/>
      <c r="C187" s="42" t="s">
        <v>255</v>
      </c>
      <c r="D187" s="43">
        <v>4.9800478980000004E7</v>
      </c>
      <c r="E187" s="43">
        <v>6.507831520000001E7</v>
      </c>
      <c r="F187" s="43">
        <f>SUM(F12,F19,F100,F131,F151,F157,F179,F185,F172)</f>
        <v>64280861.35</v>
      </c>
      <c r="G187" s="14">
        <f t="shared" si="6"/>
        <v>-0.01225375677</v>
      </c>
      <c r="H187" s="5"/>
      <c r="I187" s="12">
        <f>F187+2413800</f>
        <v>66694661.35</v>
      </c>
    </row>
    <row r="188" ht="12.0" customHeight="1">
      <c r="A188" s="5"/>
      <c r="B188" s="5"/>
      <c r="C188" s="5"/>
      <c r="D188" s="12"/>
      <c r="E188" s="12"/>
      <c r="F188" s="12"/>
      <c r="G188" s="14"/>
      <c r="H188" s="5"/>
      <c r="I188" s="5"/>
    </row>
    <row r="189" ht="12.75" customHeight="1">
      <c r="A189" s="5"/>
      <c r="B189" s="28"/>
      <c r="C189" s="28"/>
      <c r="D189" s="12"/>
      <c r="E189" s="12"/>
      <c r="F189" s="12"/>
      <c r="G189" s="14"/>
      <c r="H189" s="5"/>
      <c r="I189" s="5"/>
    </row>
  </sheetData>
  <conditionalFormatting sqref="G1:G18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fitToHeight="0" paperSize="9" orientation="portrait"/>
  <headerFooter>
    <oddHeader>&amp;L&amp;F</oddHeader>
    <oddFooter>&amp;CPresupuesto Ayuntamiento Aranda de Duero 2026</oddFooter>
  </headerFooter>
  <drawing r:id="rId4"/>
  <legacyDrawing r:id="rId5"/>
</worksheet>
</file>