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Liberaciones &amp; Libre desig" sheetId="2" r:id="rId6"/>
  </sheets>
  <definedNames>
    <definedName localSheetId="0" name="p3341_48900">'2026'!$F$1427</definedName>
    <definedName localSheetId="0" name="p2311_48900">'2026'!$F$1405</definedName>
    <definedName localSheetId="0" name="p4320_46700">'2026'!$F$1448</definedName>
    <definedName localSheetId="0" name="p3260_48900">'2026'!$F$1415</definedName>
    <definedName localSheetId="0" name="p1610_48900">'2026'!$F$1393</definedName>
    <definedName localSheetId="0" name="suma_cap5">'2026'!$F$1483</definedName>
    <definedName localSheetId="0" name="suma_cap9">'2026'!$F$1717</definedName>
    <definedName localSheetId="0" name="suma_cap2">'2026'!$F$1371</definedName>
    <definedName localSheetId="0" name="p3380_48900">'2026'!$F$1435</definedName>
    <definedName localSheetId="0" name="suma_cap4">'2026'!$F$1473</definedName>
    <definedName localSheetId="0" name="p9430_48900">'2026'!$F$1470</definedName>
    <definedName name="p3262_48900">'2026'!$F$1419</definedName>
    <definedName localSheetId="0" name="p9240_48900">'2026'!$F$1466</definedName>
    <definedName localSheetId="0" name="p2311_48901">'2026'!$F$1406</definedName>
    <definedName name="p4330_47900">'2026'!$F$1453</definedName>
    <definedName localSheetId="0" name="suma_cap1">'2026'!$F$508</definedName>
    <definedName localSheetId="0" name="p4320_48900">'2026'!$F$1449</definedName>
    <definedName localSheetId="0" name="P3360_78000">'2026'!$F$1694</definedName>
    <definedName localSheetId="0" name="p1700_48900">'2026'!$F$1397</definedName>
    <definedName localSheetId="0" name="p4310_48900">'2026'!$F$1444</definedName>
    <definedName localSheetId="0" name="suma_cap3">'2026'!$F$1386</definedName>
    <definedName localSheetId="0" name="suma_cap6">'2026'!$F$1682</definedName>
    <definedName localSheetId="0" name="p9200_48900">'2026'!$F$1462</definedName>
    <definedName localSheetId="0" name="p3340_48900">'2026'!$F$1423</definedName>
    <definedName localSheetId="0" name="p1710_48900">'2026'!$F$1401</definedName>
    <definedName localSheetId="0" name="p1522_78000">'2026'!$F$1689</definedName>
    <definedName localSheetId="0" name="suma_cap8">'2026'!$F$1707</definedName>
    <definedName localSheetId="0" name="p1522_78001">'2026'!$F$1690</definedName>
    <definedName localSheetId="0" name="p2313_48900">'2026'!$F$1411</definedName>
    <definedName localSheetId="0" name="p3373_48900">'2026'!$F$1431</definedName>
    <definedName localSheetId="0" name="p3410_48900">'2026'!$F$1439</definedName>
    <definedName localSheetId="0" name="p2311_48902">'2026'!$F$1407</definedName>
    <definedName localSheetId="0" name="p4330_48900">'2026'!$F$1454</definedName>
    <definedName localSheetId="0" name="suma_cap7">'2026'!$F$1697</definedName>
    <definedName localSheetId="0" name="p9120_48900">'2026'!$F$1458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tc={72cd26f8-7cfa-4f1c-88e6-4b4f88592f3b}</author>
  </authors>
  <commentList>
    <comment authorId="0" xr:uid="{72cd26f8-7cfa-4f1c-88e6-4b4f88592f3b}" ref="H1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12000
</t>
      </text>
    </comment>
  </commentList>
</comments>
</file>

<file path=xl/sharedStrings.xml><?xml version="1.0" encoding="utf-8"?>
<sst xmlns="http://schemas.openxmlformats.org/spreadsheetml/2006/main" count="2553" uniqueCount="435">
  <si>
    <t>Dedic. excl.</t>
  </si>
  <si>
    <t>Eventuales</t>
  </si>
  <si>
    <t>Salario</t>
  </si>
  <si>
    <t>SS</t>
  </si>
  <si>
    <t>Ded.exc. idmn. máx</t>
  </si>
  <si>
    <t>TOTAL</t>
  </si>
  <si>
    <t>Número</t>
  </si>
  <si>
    <t>4+3</t>
  </si>
  <si>
    <t>COSTE DEDIC. EXCL</t>
  </si>
  <si>
    <t>Coste</t>
  </si>
  <si>
    <t>COSTE EVENTUALES</t>
  </si>
  <si>
    <t>CLASIFICACIÓN</t>
  </si>
  <si>
    <t>CAPÍTULO I</t>
  </si>
  <si>
    <t>PROGRAMA</t>
  </si>
  <si>
    <t>ECONÓMICA</t>
  </si>
  <si>
    <t>ADMON. GRAL. DE LA SEGURIDAD</t>
  </si>
  <si>
    <t>120.03</t>
  </si>
  <si>
    <t>Sueldos del Grupo C1</t>
  </si>
  <si>
    <t>120.04</t>
  </si>
  <si>
    <t>Sueldos del Grupo C2</t>
  </si>
  <si>
    <t>120.06</t>
  </si>
  <si>
    <t>Trienios</t>
  </si>
  <si>
    <t>121.00</t>
  </si>
  <si>
    <t>Complemento de destino</t>
  </si>
  <si>
    <t>121.01</t>
  </si>
  <si>
    <t>Complemento específico</t>
  </si>
  <si>
    <t>150</t>
  </si>
  <si>
    <t>Productividad</t>
  </si>
  <si>
    <t>160.00</t>
  </si>
  <si>
    <t>Cuotas Seguridad Social</t>
  </si>
  <si>
    <t>131.00</t>
  </si>
  <si>
    <t>Retribuciones básicas</t>
  </si>
  <si>
    <t>131.02</t>
  </si>
  <si>
    <t>Otras remuneraciones</t>
  </si>
  <si>
    <t>160.02</t>
  </si>
  <si>
    <t>SEGURIDAD</t>
  </si>
  <si>
    <t>120.01</t>
  </si>
  <si>
    <t>Sueldos del Grupo A2</t>
  </si>
  <si>
    <t>151.00</t>
  </si>
  <si>
    <t>Gratificaciones</t>
  </si>
  <si>
    <t>EXTINCIÓN DE INCENDIOS</t>
  </si>
  <si>
    <t>120.00</t>
  </si>
  <si>
    <t>Sueldos del Grupo A1</t>
  </si>
  <si>
    <t>ADMON. GRAL. DE URBANISMO</t>
  </si>
  <si>
    <t>URBANISMO</t>
  </si>
  <si>
    <t>131.01</t>
  </si>
  <si>
    <t>Horas extraordinarias</t>
  </si>
  <si>
    <t>URBANISMO. OFICINA GESTIÓN ARU SANTA CATALINA</t>
  </si>
  <si>
    <t>VÍAS PÚBLICAS URBANAS</t>
  </si>
  <si>
    <t>130.00</t>
  </si>
  <si>
    <t>130.01</t>
  </si>
  <si>
    <t>130.02</t>
  </si>
  <si>
    <t>160.01</t>
  </si>
  <si>
    <t>ABASTECIMIENTO Y DISTRIBUCIÓN DE AGUAS</t>
  </si>
  <si>
    <t>LIMPIEZA VIARIA</t>
  </si>
  <si>
    <t>120.05</t>
  </si>
  <si>
    <t>Sueldos del Grupo E</t>
  </si>
  <si>
    <t>CEMENTERIO</t>
  </si>
  <si>
    <t>ALUMBRADO PÚBLICO</t>
  </si>
  <si>
    <t>ADMON. GRAL. DEL MEDIO AMBIENTE</t>
  </si>
  <si>
    <t>PARQUES Y JARDINES</t>
  </si>
  <si>
    <t xml:space="preserve">OTRAS PRESTACIONES </t>
  </si>
  <si>
    <t>162.00</t>
  </si>
  <si>
    <t>Formación y Perfeccionam. Personal Funcionario</t>
  </si>
  <si>
    <t>162.04</t>
  </si>
  <si>
    <t>Acción social de Personal Funcionario</t>
  </si>
  <si>
    <t>162.05</t>
  </si>
  <si>
    <t>Seguros de Personal Funcionario</t>
  </si>
  <si>
    <t>162.10</t>
  </si>
  <si>
    <t>Formación y Perfeccionam. Personal Laboral</t>
  </si>
  <si>
    <t>162.14</t>
  </si>
  <si>
    <t>Acción social de Personal Laboral</t>
  </si>
  <si>
    <t>162.15</t>
  </si>
  <si>
    <t>Seguros de Personal Laboral</t>
  </si>
  <si>
    <t>ADMON. GRAL. ASISTENCIA SOCIAL PRIMARIA</t>
  </si>
  <si>
    <t>ASISTENCIA SOCIAL PRIMARIA</t>
  </si>
  <si>
    <t>FORMACIÓN Y EMPLEO OTROS PROGRAMAS</t>
  </si>
  <si>
    <t>ADMON. GRAL. DE LA EDUCACIÓN</t>
  </si>
  <si>
    <t>ESCUELA DE MÚSICA Y DANZA</t>
  </si>
  <si>
    <t>ESCUELA DE FOLKLORE</t>
  </si>
  <si>
    <t>ADMON. GRAL. DE LA CULTURA</t>
  </si>
  <si>
    <t>BIBLIOTECA</t>
  </si>
  <si>
    <t>PROMOCIÓN CULTURAL</t>
  </si>
  <si>
    <t>CENTROS CÍVICOS</t>
  </si>
  <si>
    <t>CASA DE LA JUVENTUD Y CENTRO ARTE JOVEN</t>
  </si>
  <si>
    <t>FESTEJOS</t>
  </si>
  <si>
    <t>PROMOCIÓN DEPORTIVA</t>
  </si>
  <si>
    <t>INSTALACIONES DEPORTIVAS</t>
  </si>
  <si>
    <t>TURISMO</t>
  </si>
  <si>
    <t>DESARROLLO ECONÓMICO</t>
  </si>
  <si>
    <t>INNOVACIÓN</t>
  </si>
  <si>
    <t>CONSUMO</t>
  </si>
  <si>
    <t>ÓRGANOS DE GOBIERNO</t>
  </si>
  <si>
    <t>100.00</t>
  </si>
  <si>
    <t>110.00</t>
  </si>
  <si>
    <t>Retribuciones básicas de personal eventual</t>
  </si>
  <si>
    <t>Seguridad social</t>
  </si>
  <si>
    <t>ADMINISTRACIÓN GENERAL</t>
  </si>
  <si>
    <t>SECRETARÍA GENERAL</t>
  </si>
  <si>
    <t>ADMINISTRACIÓN DE PERSONAL</t>
  </si>
  <si>
    <t>INTERVENCIÓN</t>
  </si>
  <si>
    <t>GESTIÓN TRIBUTARIA Y RECAUDACIÓN</t>
  </si>
  <si>
    <t>CONTRATACIÓN Y PATRIMONIO</t>
  </si>
  <si>
    <t>TESORERÍA</t>
  </si>
  <si>
    <t>151</t>
  </si>
  <si>
    <t>TOTAL CAPÍTULO I</t>
  </si>
  <si>
    <t>CAPÍTULO II</t>
  </si>
  <si>
    <t>203</t>
  </si>
  <si>
    <t>Arrendamiento de maquinaria, instalaciones y utillaje</t>
  </si>
  <si>
    <t>212</t>
  </si>
  <si>
    <t>Repar., manten. y conserv. de edificios</t>
  </si>
  <si>
    <t>213</t>
  </si>
  <si>
    <t>Repar., manten. y conserv. de maquinaria</t>
  </si>
  <si>
    <t>214</t>
  </si>
  <si>
    <t>Repar., manten. y conserv. de elementos de transporte</t>
  </si>
  <si>
    <t>215</t>
  </si>
  <si>
    <t>Repar., manten. y conserv. de mobiliario</t>
  </si>
  <si>
    <t>216</t>
  </si>
  <si>
    <t>Equipos para procesos de información</t>
  </si>
  <si>
    <t>216.01</t>
  </si>
  <si>
    <t>Mantenimiento software policía</t>
  </si>
  <si>
    <t>220.00</t>
  </si>
  <si>
    <t>Material de oficina</t>
  </si>
  <si>
    <t>221.00</t>
  </si>
  <si>
    <t>Energía eléctrica</t>
  </si>
  <si>
    <t>221.02</t>
  </si>
  <si>
    <t>Gas</t>
  </si>
  <si>
    <t>221.03</t>
  </si>
  <si>
    <t>Combustible y carburantes</t>
  </si>
  <si>
    <t>221.04</t>
  </si>
  <si>
    <t>Vestuario</t>
  </si>
  <si>
    <t>221.99</t>
  </si>
  <si>
    <t>Otros suministros</t>
  </si>
  <si>
    <t>222.00</t>
  </si>
  <si>
    <t>Comunicaciones</t>
  </si>
  <si>
    <t>222.01</t>
  </si>
  <si>
    <t>Comunicaciones postales</t>
  </si>
  <si>
    <t>224</t>
  </si>
  <si>
    <t>Primas de seguros</t>
  </si>
  <si>
    <t>225.02</t>
  </si>
  <si>
    <t>Tributos de las Entidades Locales</t>
  </si>
  <si>
    <t>226.01</t>
  </si>
  <si>
    <t>Atenciones protocolarias y de representación</t>
  </si>
  <si>
    <t>226.02</t>
  </si>
  <si>
    <t>Publicidad y propaganda</t>
  </si>
  <si>
    <t>226.03</t>
  </si>
  <si>
    <t>Publicaciones en Diarios Oficiales</t>
  </si>
  <si>
    <t>226.99</t>
  </si>
  <si>
    <t>Otros gastos. Gastos diversos</t>
  </si>
  <si>
    <t>227.99</t>
  </si>
  <si>
    <t>Trabajos realizados por otras empresas</t>
  </si>
  <si>
    <t>230.09</t>
  </si>
  <si>
    <t>Dietas del personal</t>
  </si>
  <si>
    <t>ORDENACIÓN DEL TRÁFICO Y ESTACIONAMIENTO</t>
  </si>
  <si>
    <t>200</t>
  </si>
  <si>
    <t>Arrendamientos de terrenos y bienes naturales</t>
  </si>
  <si>
    <t xml:space="preserve">Trabajos realizados por otras empresas </t>
  </si>
  <si>
    <t>227.99.01</t>
  </si>
  <si>
    <t>Servicio ORA</t>
  </si>
  <si>
    <t>227.99.02</t>
  </si>
  <si>
    <t>Servicio Grúa Municipal</t>
  </si>
  <si>
    <t>PROTECCIÓN CIVIL</t>
  </si>
  <si>
    <t>202</t>
  </si>
  <si>
    <t>Arrendamiento de edificios y otras construcciones</t>
  </si>
  <si>
    <t>Repar., manten. y conserv. de equipos informáticos</t>
  </si>
  <si>
    <t>Energía  eléctrica</t>
  </si>
  <si>
    <t>220.01</t>
  </si>
  <si>
    <t>Prensa y revistas</t>
  </si>
  <si>
    <t xml:space="preserve">Gas </t>
  </si>
  <si>
    <t>227.06</t>
  </si>
  <si>
    <t>Estudios y trabajos técnicos</t>
  </si>
  <si>
    <t>231</t>
  </si>
  <si>
    <t>Locomoción</t>
  </si>
  <si>
    <t>VIVIENDA. OFICINA GESTIÓN ARU SANTA CATALINA</t>
  </si>
  <si>
    <t>208</t>
  </si>
  <si>
    <t>Arrendamientos de otro inmovilizado material</t>
  </si>
  <si>
    <t>204</t>
  </si>
  <si>
    <t>Arrendamiento de elementos de transporte</t>
  </si>
  <si>
    <t>210</t>
  </si>
  <si>
    <t>Repar., manten. y conserv. de infraestructuras</t>
  </si>
  <si>
    <t>223</t>
  </si>
  <si>
    <t>Transporte</t>
  </si>
  <si>
    <t>233.01</t>
  </si>
  <si>
    <t>Otras indemnizaciones del personal</t>
  </si>
  <si>
    <t>ALCANTARILLADO</t>
  </si>
  <si>
    <t>Arrendamiento de maquinaria, Instalaciones y utillaje</t>
  </si>
  <si>
    <t>225.01</t>
  </si>
  <si>
    <t>Tributos CCAA</t>
  </si>
  <si>
    <t>233</t>
  </si>
  <si>
    <t>Otras indemnizaciones</t>
  </si>
  <si>
    <t>Repar., manten. y conserv. de infraestructuras y bienes</t>
  </si>
  <si>
    <t>225.00</t>
  </si>
  <si>
    <t>Tributos estatales</t>
  </si>
  <si>
    <t>Analíticas de agua</t>
  </si>
  <si>
    <t>RECOGIDA DE RESIDUOS</t>
  </si>
  <si>
    <t>227.00</t>
  </si>
  <si>
    <t>Limpieza y aseo</t>
  </si>
  <si>
    <t>TRATAMIENTO DE RESIDUOS</t>
  </si>
  <si>
    <t>220.02</t>
  </si>
  <si>
    <t>Material informático no inventariable</t>
  </si>
  <si>
    <t>221.12</t>
  </si>
  <si>
    <t>Suministros de material electrónico y de telecomunicaciones</t>
  </si>
  <si>
    <t>Otros  suministros</t>
  </si>
  <si>
    <t>ADMON. GRAL. MEDIO AMBIENTE</t>
  </si>
  <si>
    <t xml:space="preserve">Energía eléctrica </t>
  </si>
  <si>
    <t>221.15</t>
  </si>
  <si>
    <t>Plantas y árboles</t>
  </si>
  <si>
    <t>Servicio mantenimiento de parques y jardines</t>
  </si>
  <si>
    <t>PROTECCIÓN CONTAMINAC. ACÚSTICA Y ATM.</t>
  </si>
  <si>
    <t xml:space="preserve">Estudios y trabajos técnicos </t>
  </si>
  <si>
    <t>Prensa, revistas, publicaciones y libros</t>
  </si>
  <si>
    <t>226.09</t>
  </si>
  <si>
    <t>Actividades culturales y deportivas</t>
  </si>
  <si>
    <t>COLECTIVOS MARGINADOS</t>
  </si>
  <si>
    <t>PROMOCIÓN DE LA IGUALDAD</t>
  </si>
  <si>
    <t>TERCERA EDAD Y DEPENDENCIA</t>
  </si>
  <si>
    <t>Servicio de comidas y comedor</t>
  </si>
  <si>
    <t>Servicio de atención domiciliaria</t>
  </si>
  <si>
    <t>227.99.03</t>
  </si>
  <si>
    <t>Servicio de atención preventiva a personas mayores</t>
  </si>
  <si>
    <t>227.99.04</t>
  </si>
  <si>
    <t>Servicio de urgencias sociales</t>
  </si>
  <si>
    <t>FORMACIÓN Y EMPLEO. OTROS PROGRAMAS</t>
  </si>
  <si>
    <t>PROTECCIÓN SALUBRIDAD PÚBLICA</t>
  </si>
  <si>
    <t>Recogida de animales abandonados, aves gregarias y desratización</t>
  </si>
  <si>
    <t>FUNCIONAMIENTO CENTROS DOCENTES</t>
  </si>
  <si>
    <t>221.07</t>
  </si>
  <si>
    <t>Red de calor</t>
  </si>
  <si>
    <t>Escuelas infantiles</t>
  </si>
  <si>
    <t>SERVICIOS COMPLEMENTARIOS EDUCACIÓN</t>
  </si>
  <si>
    <t>Atenciones protocolarias</t>
  </si>
  <si>
    <t xml:space="preserve">Actividades culturales y deportivas </t>
  </si>
  <si>
    <t>Ludotecas</t>
  </si>
  <si>
    <t>209</t>
  </si>
  <si>
    <t>Cánones</t>
  </si>
  <si>
    <t>Prensa, revistas y publicaciones</t>
  </si>
  <si>
    <t>226.06</t>
  </si>
  <si>
    <t>Reuniones y  conferencias</t>
  </si>
  <si>
    <t>226.09.01</t>
  </si>
  <si>
    <t>Certamen de bandas</t>
  </si>
  <si>
    <t>ESCUELA DE FOLCLORE</t>
  </si>
  <si>
    <t>MUSEOS</t>
  </si>
  <si>
    <t>Arrendamiento edificios (ADIF Museo del Tren)</t>
  </si>
  <si>
    <t>224.00</t>
  </si>
  <si>
    <t>Museo Casa de las Bolas (Colección de arte Félix Cañada)</t>
  </si>
  <si>
    <t>Museo Arte Sacro Iglesia de San Juan</t>
  </si>
  <si>
    <t>Museo del Tren</t>
  </si>
  <si>
    <t>ESCUELA Y MUSEO DE CERÁMICA</t>
  </si>
  <si>
    <t>277.99.01</t>
  </si>
  <si>
    <t>Escuela y museo de cerámica, contrato</t>
  </si>
  <si>
    <t xml:space="preserve">PROMOCIÓN CULTURAL </t>
  </si>
  <si>
    <t>Arrendamiento de edificios</t>
  </si>
  <si>
    <t>Reuniones y conferencias</t>
  </si>
  <si>
    <t>Contrato servicio técnico iluminación, sonido y audiovisual</t>
  </si>
  <si>
    <t>BANDA DE MÚSICA</t>
  </si>
  <si>
    <t>Concierto de navidad</t>
  </si>
  <si>
    <t>Red de Calor</t>
  </si>
  <si>
    <t>226.99.01</t>
  </si>
  <si>
    <t>Ocio alternativo</t>
  </si>
  <si>
    <t>Ocio Alternativo</t>
  </si>
  <si>
    <t>226.09.02</t>
  </si>
  <si>
    <t>Colonias de verano</t>
  </si>
  <si>
    <t>226.09.03</t>
  </si>
  <si>
    <t>Pista de hielo</t>
  </si>
  <si>
    <t>ALBERGUE JUVENIL</t>
  </si>
  <si>
    <t>HUERTOS DE OCIO</t>
  </si>
  <si>
    <t>Actividades culturales y deportivas (fiestas tradicionales, peñas…)</t>
  </si>
  <si>
    <t>226.11</t>
  </si>
  <si>
    <t xml:space="preserve">Actividades Fiestas Patronales </t>
  </si>
  <si>
    <t>226.12</t>
  </si>
  <si>
    <t>Actividades Navidad</t>
  </si>
  <si>
    <t>226.13</t>
  </si>
  <si>
    <t>Actividades Carnaval</t>
  </si>
  <si>
    <t>Cross de la Constitución</t>
  </si>
  <si>
    <t>Vuelta Ciclista Junior a la Ribera</t>
  </si>
  <si>
    <t>Milla Urbana</t>
  </si>
  <si>
    <t>226.09.04</t>
  </si>
  <si>
    <t>Campeonato de dardos</t>
  </si>
  <si>
    <t>226.09.05</t>
  </si>
  <si>
    <t>Campeonato internacional de fútbol</t>
  </si>
  <si>
    <t>226.09.06</t>
  </si>
  <si>
    <t>Campeonato de España de pentatlón</t>
  </si>
  <si>
    <t>Piscina climatizada</t>
  </si>
  <si>
    <t>Piscinas de verano</t>
  </si>
  <si>
    <t>PROMOCIÓN INDUSTRIAL</t>
  </si>
  <si>
    <t>COMERCIO</t>
  </si>
  <si>
    <t xml:space="preserve">Publicidad y propaganda </t>
  </si>
  <si>
    <t>FERIAS</t>
  </si>
  <si>
    <t>Feria FP</t>
  </si>
  <si>
    <t>226.99.02</t>
  </si>
  <si>
    <t>Feria gastronomía</t>
  </si>
  <si>
    <t>221.10</t>
  </si>
  <si>
    <t>Hidrógeno autobús bodegas</t>
  </si>
  <si>
    <t>Fiesta de la Vendimia</t>
  </si>
  <si>
    <t>Visitas teatralizadas</t>
  </si>
  <si>
    <t>Feria de la cerveza</t>
  </si>
  <si>
    <t>Mes del enoturismo</t>
  </si>
  <si>
    <t>Noche de velas</t>
  </si>
  <si>
    <t>Noche de ronda</t>
  </si>
  <si>
    <t>226.09.07</t>
  </si>
  <si>
    <t>FITUR</t>
  </si>
  <si>
    <t xml:space="preserve">Otros gastos. Gastos diversos </t>
  </si>
  <si>
    <t>Gestión WineBus</t>
  </si>
  <si>
    <t>HERMANAMIENTOS</t>
  </si>
  <si>
    <t>Gastos Sonorama</t>
  </si>
  <si>
    <t>Premios Envero</t>
  </si>
  <si>
    <t>TRANSPORTE URBANO DE VIAJEROS</t>
  </si>
  <si>
    <t>Contrato autobuses urbanos</t>
  </si>
  <si>
    <t>233.00</t>
  </si>
  <si>
    <t>Indemnizaciones asistencias órganos de gobierno</t>
  </si>
  <si>
    <t>230.00</t>
  </si>
  <si>
    <t>Dietas de cargos electivos</t>
  </si>
  <si>
    <t>Repar. y conserv. Mobiliario</t>
  </si>
  <si>
    <t>Microsoft 365</t>
  </si>
  <si>
    <t>216.02</t>
  </si>
  <si>
    <t>Servicio fichajes, nómina, portal de empleo y convocatorias-oposiciones</t>
  </si>
  <si>
    <t>216.03</t>
  </si>
  <si>
    <t>Mantenimiento Oracle</t>
  </si>
  <si>
    <t>216.04</t>
  </si>
  <si>
    <t>Sede electrónica</t>
  </si>
  <si>
    <t>226.04</t>
  </si>
  <si>
    <t>Servicios jurídicos</t>
  </si>
  <si>
    <t>226.04.01</t>
  </si>
  <si>
    <t>Contrato de servicios jurídicos externalizados</t>
  </si>
  <si>
    <t>226.10</t>
  </si>
  <si>
    <t>Multas e indemnizaciones</t>
  </si>
  <si>
    <t>Contrato de prevención de riesgos laborales</t>
  </si>
  <si>
    <t>PARTICIPACIÓN CIUDADANA</t>
  </si>
  <si>
    <t>ATENCIÓN A LOS CIUDADANOS</t>
  </si>
  <si>
    <t>Portal de transparencia</t>
  </si>
  <si>
    <r>
      <rPr>
        <rFont val="Arial"/>
        <sz val="10.0"/>
      </rPr>
      <t xml:space="preserve">Página web </t>
    </r>
    <r>
      <rPr>
        <rFont val="Arial"/>
        <sz val="10.0"/>
        <u/>
      </rPr>
      <t>arandadeduero.es</t>
    </r>
  </si>
  <si>
    <t>SERVICIOS NO CLASIFICADOS</t>
  </si>
  <si>
    <t>ADMINISTRACIÓN GENERAL. ECON. Y HACIENDA</t>
  </si>
  <si>
    <t>Gestión inventario</t>
  </si>
  <si>
    <t>Contrato de Servicios Bancarios</t>
  </si>
  <si>
    <t>TOTAL CAPÍTULO II</t>
  </si>
  <si>
    <t>CAPÍTULO III</t>
  </si>
  <si>
    <t>0110</t>
  </si>
  <si>
    <t>DEUDA PÚBLICA</t>
  </si>
  <si>
    <t>310.00</t>
  </si>
  <si>
    <t>Intereses</t>
  </si>
  <si>
    <t>311.00</t>
  </si>
  <si>
    <t>Gastos de formalización, modificación y cancelación</t>
  </si>
  <si>
    <t>359.00</t>
  </si>
  <si>
    <t>Otros gastos financieros</t>
  </si>
  <si>
    <t>TOTAL CAPÍTULO III</t>
  </si>
  <si>
    <t>CAPÍTULO IV</t>
  </si>
  <si>
    <t>489.00</t>
  </si>
  <si>
    <t>Transferencias a familias e instituciones sin fines de lucro</t>
  </si>
  <si>
    <t>489.01</t>
  </si>
  <si>
    <t>Otras transferencias (Plataforma 0,7)</t>
  </si>
  <si>
    <t>489.02</t>
  </si>
  <si>
    <t>Atenciones benéficas y asistenciales</t>
  </si>
  <si>
    <t>472.00</t>
  </si>
  <si>
    <t>Subvenciones para reducir el precio a pagar por los consumidores</t>
  </si>
  <si>
    <t>&lt;-- bonos!!</t>
  </si>
  <si>
    <t>467.00</t>
  </si>
  <si>
    <t>Transferencias a otras Entidades Locales</t>
  </si>
  <si>
    <t>479.00</t>
  </si>
  <si>
    <t>Otras subvenciones a empresas privadas</t>
  </si>
  <si>
    <t>Dotaciones Grupos Municipales</t>
  </si>
  <si>
    <t xml:space="preserve">Transferencias a familias e instituciones </t>
  </si>
  <si>
    <t xml:space="preserve">Transferencias a familias e instituciones sin fines de lucro </t>
  </si>
  <si>
    <t>TRANSFERENCIAS A LA AGUILERA</t>
  </si>
  <si>
    <t>468.00</t>
  </si>
  <si>
    <t>A entidades locales menores (La Aguilera)</t>
  </si>
  <si>
    <t>TOTAL CAPÍTULO IV</t>
  </si>
  <si>
    <t>CAPÍTULO V</t>
  </si>
  <si>
    <t>500.00</t>
  </si>
  <si>
    <t>Fondo de contingencia</t>
  </si>
  <si>
    <t>TOTAL CAPÍTULO V</t>
  </si>
  <si>
    <t>CAPÍTULO VI</t>
  </si>
  <si>
    <t>622</t>
  </si>
  <si>
    <t>Edificios y otras construcciones</t>
  </si>
  <si>
    <t>624</t>
  </si>
  <si>
    <t>Elementos de transporte</t>
  </si>
  <si>
    <t>619</t>
  </si>
  <si>
    <t>Otras inver. de reposición de infraest. y b. destinados uso gral.</t>
  </si>
  <si>
    <t>639</t>
  </si>
  <si>
    <t>Otras inversiones de reposición asociadas al funcionamiento operativo de los servicios</t>
  </si>
  <si>
    <t>636</t>
  </si>
  <si>
    <t>VIVIENDA</t>
  </si>
  <si>
    <t>627</t>
  </si>
  <si>
    <t>Proyectos complejos</t>
  </si>
  <si>
    <t>650</t>
  </si>
  <si>
    <t>Inversiones gestionadas por otros entes</t>
  </si>
  <si>
    <t>635</t>
  </si>
  <si>
    <t>Mobiliario</t>
  </si>
  <si>
    <t>629</t>
  </si>
  <si>
    <t>Otras inversiones nuevas asociadas al funcionamiento operativo de los servicios</t>
  </si>
  <si>
    <t>623</t>
  </si>
  <si>
    <t>Maquinaria, instalaciones técnicas y utillaje</t>
  </si>
  <si>
    <t>ALUMBRADO</t>
  </si>
  <si>
    <t>Otras inversiones de reposición en infraestructuras y bienes destinados al uso general</t>
  </si>
  <si>
    <t>Gastos en inversiones gestionadas para otros entes públicos</t>
  </si>
  <si>
    <t>632</t>
  </si>
  <si>
    <t>PROTECCIÓN DE LA SALUBRIDAD PÚBLICA</t>
  </si>
  <si>
    <t>609</t>
  </si>
  <si>
    <t>Otras inversiones nuevas en infraestructuras y bienes destinados al uso general</t>
  </si>
  <si>
    <t>641</t>
  </si>
  <si>
    <t>Gastos en aplicaciones informáticas</t>
  </si>
  <si>
    <t>Otras inv. nuevas asociadas al fcto. operativo de los servicios</t>
  </si>
  <si>
    <t>Inversiones gestionadas para otros entes</t>
  </si>
  <si>
    <t>625</t>
  </si>
  <si>
    <t>ALBERGUE</t>
  </si>
  <si>
    <t>HUERTOS URBANOS</t>
  </si>
  <si>
    <t>633</t>
  </si>
  <si>
    <t>682</t>
  </si>
  <si>
    <t>CAMINOS</t>
  </si>
  <si>
    <t>Gastos en aplicacione sinformáticas</t>
  </si>
  <si>
    <t>626</t>
  </si>
  <si>
    <t>Equipos procesos información</t>
  </si>
  <si>
    <t>Otras inversiones nuevas asociadas al funcionamiento operativo de los servicios.</t>
  </si>
  <si>
    <t>ADMINISTRACIÓN GENERAL DE ECONOMÍA Y HACIENDA</t>
  </si>
  <si>
    <t>TOTAL CAPÍTULO VI</t>
  </si>
  <si>
    <t>&lt;-- si no 0, desfase!</t>
  </si>
  <si>
    <t>CAPÍTULO VII</t>
  </si>
  <si>
    <t>CONSERV. Y REHABILITAC. DE LA EDIFICACIÓN</t>
  </si>
  <si>
    <t>780.00</t>
  </si>
  <si>
    <r>
      <rPr>
        <rFont val="Arial"/>
        <color theme="1"/>
        <sz val="10.0"/>
      </rPr>
      <t>Transferencias a familias e instituciones sin fines de lucro</t>
    </r>
    <r>
      <rPr>
        <rFont val="Arial"/>
        <color theme="1"/>
        <sz val="10.0"/>
      </rPr>
      <t xml:space="preserve"> (ITE)</t>
    </r>
  </si>
  <si>
    <t>780.01</t>
  </si>
  <si>
    <t>Transferencias a familias e instituciones sin fines de lucro (fachadas)</t>
  </si>
  <si>
    <t>PATRIMONIO HISTÓRICO - ARTÍSTICO</t>
  </si>
  <si>
    <t>&lt;-- bodegas</t>
  </si>
  <si>
    <t>TOTAL CAPÍTULO VII</t>
  </si>
  <si>
    <t>CAPÍTULO VIII</t>
  </si>
  <si>
    <t>OTRAS ATENCIONES AL PERSONAL</t>
  </si>
  <si>
    <t>830</t>
  </si>
  <si>
    <t>Concesiones de préstamos no públicos a corto plazo</t>
  </si>
  <si>
    <t>TOTAL CAPÍTULO VIII</t>
  </si>
  <si>
    <t>CAPÍTULO IX</t>
  </si>
  <si>
    <t>913</t>
  </si>
  <si>
    <t>Amortización de préstamos a L/P de entes de fuera del Sector Público</t>
  </si>
  <si>
    <t>TOTAL CAPÍTULO IX</t>
  </si>
  <si>
    <t>TOTAL ESTADO DE 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</si>
</sst>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\ &quot;€&quot;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b/>
      <sz val="1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9FDFB"/>
        <bgColor rgb="FFF9FDFB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BACC6"/>
        <bgColor rgb="FF4BACC6"/>
      </patternFill>
    </fill>
    <fill>
      <patternFill patternType="solid">
        <fgColor rgb="FFE67C73"/>
        <bgColor rgb="FFE67C73"/>
      </patternFill>
    </fill>
    <fill>
      <patternFill patternType="solid">
        <fgColor rgb="FFF8DCDA"/>
        <bgColor rgb="FFF8DCDA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1" numFmtId="2" xfId="0" applyAlignment="1" applyFont="1" applyNumberFormat="1">
      <alignment horizontal="center" vertical="bottom"/>
    </xf>
    <xf borderId="0" fillId="0" fontId="3" numFmtId="0" xfId="0" applyAlignment="1" applyFont="1">
      <alignment vertical="center"/>
    </xf>
    <xf borderId="1" fillId="0" fontId="2" numFmtId="164" xfId="0" applyBorder="1" applyFont="1" applyNumberFormat="1"/>
    <xf borderId="0" fillId="0" fontId="3" numFmtId="0" xfId="0" applyAlignment="1" applyFont="1">
      <alignment horizontal="center" vertical="center"/>
    </xf>
    <xf borderId="0" fillId="0" fontId="4" numFmtId="49" xfId="0" applyAlignment="1" applyFont="1" applyNumberFormat="1">
      <alignment horizontal="right" vertical="center"/>
    </xf>
    <xf borderId="0" fillId="0" fontId="4" numFmtId="0" xfId="0" applyAlignment="1" applyFont="1">
      <alignment vertical="center"/>
    </xf>
    <xf borderId="0" fillId="0" fontId="4" numFmtId="165" xfId="0" applyAlignment="1" applyFont="1" applyNumberFormat="1">
      <alignment horizontal="right" vertical="center"/>
    </xf>
    <xf borderId="0" fillId="2" fontId="5" numFmtId="10" xfId="0" applyAlignment="1" applyFill="1" applyFont="1" applyNumberFormat="1">
      <alignment horizontal="right" vertical="center"/>
    </xf>
    <xf borderId="0" fillId="0" fontId="2" numFmtId="165" xfId="0" applyAlignment="1" applyFont="1" applyNumberFormat="1">
      <alignment horizontal="right" vertical="bottom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2" fillId="3" fontId="7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right"/>
    </xf>
    <xf borderId="3" fillId="0" fontId="8" numFmtId="0" xfId="0" applyBorder="1" applyFont="1"/>
    <xf borderId="4" fillId="3" fontId="9" numFmtId="0" xfId="0" applyAlignment="1" applyBorder="1" applyFill="1" applyFont="1">
      <alignment horizontal="center" vertical="center"/>
    </xf>
    <xf borderId="5" fillId="3" fontId="10" numFmtId="165" xfId="0" applyAlignment="1" applyBorder="1" applyFill="1" applyFont="1" applyNumberFormat="1">
      <alignment horizontal="right" vertical="center"/>
    </xf>
    <xf borderId="5" fillId="3" fontId="7" numFmtId="1" xfId="0" applyAlignment="1" applyBorder="1" applyFill="1" applyFont="1" applyNumberFormat="1">
      <alignment horizontal="center" vertical="center"/>
    </xf>
    <xf borderId="5" fillId="3" fontId="7" numFmtId="49" xfId="0" applyAlignment="1" applyBorder="1" applyFill="1" applyFont="1" applyNumberFormat="1">
      <alignment horizontal="right" vertical="center"/>
    </xf>
    <xf borderId="6" fillId="0" fontId="8" numFmtId="0" xfId="0" applyBorder="1" applyFont="1"/>
    <xf borderId="5" fillId="3" fontId="10" numFmtId="1" xfId="0" applyAlignment="1" applyBorder="1" applyFill="1" applyFont="1" applyNumberFormat="1">
      <alignment horizontal="right" vertical="center"/>
    </xf>
    <xf borderId="7" fillId="4" fontId="9" numFmtId="0" xfId="0" applyAlignment="1" applyBorder="1" applyFill="1" applyFont="1">
      <alignment horizontal="center" shrinkToFit="0" vertical="center" wrapText="1"/>
    </xf>
    <xf borderId="7" fillId="4" fontId="9" numFmtId="49" xfId="0" applyAlignment="1" applyBorder="1" applyFill="1" applyFont="1" applyNumberFormat="1">
      <alignment horizontal="right" shrinkToFit="0" vertical="center" wrapText="1"/>
    </xf>
    <xf borderId="7" fillId="4" fontId="9" numFmtId="1" xfId="0" applyAlignment="1" applyBorder="1" applyFill="1" applyFont="1" applyNumberFormat="1">
      <alignment shrinkToFit="0" vertical="center" wrapText="1"/>
    </xf>
    <xf borderId="7" fillId="4" fontId="9" numFmtId="1" xfId="0" applyAlignment="1" applyBorder="1" applyFill="1" applyFont="1" applyNumberFormat="1">
      <alignment horizontal="right" shrinkToFit="0" vertical="center" wrapText="1"/>
    </xf>
    <xf borderId="7" fillId="4" fontId="9" numFmtId="1" xfId="0" applyAlignment="1" applyBorder="1" applyFill="1" applyFont="1" applyNumberFormat="1">
      <alignment horizontal="right" readingOrder="0" shrinkToFit="0" vertical="center" wrapText="1"/>
    </xf>
    <xf borderId="0" fillId="0" fontId="9" numFmtId="1" xfId="0" applyAlignment="1" applyFont="1" applyNumberFormat="1">
      <alignment horizontal="right" vertical="center"/>
    </xf>
    <xf borderId="1" fillId="5" fontId="11" numFmtId="165" xfId="0" applyAlignment="1" applyBorder="1" applyFill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4" fontId="9" numFmtId="49" xfId="0" applyAlignment="1" applyBorder="1" applyFill="1" applyFont="1" applyNumberFormat="1">
      <alignment horizontal="right" shrinkToFit="0" vertical="center" wrapText="1"/>
    </xf>
    <xf borderId="1" fillId="4" fontId="9" numFmtId="1" xfId="0" applyAlignment="1" applyBorder="1" applyFill="1" applyFont="1" applyNumberFormat="1">
      <alignment shrinkToFit="0" vertical="center" wrapText="1"/>
    </xf>
    <xf borderId="1" fillId="4" fontId="9" numFmtId="1" xfId="0" applyAlignment="1" applyBorder="1" applyFill="1" applyFont="1" applyNumberFormat="1">
      <alignment horizontal="right" shrinkToFit="0" vertical="center" wrapText="1"/>
    </xf>
    <xf borderId="1" fillId="4" fontId="9" numFmtId="1" xfId="0" applyAlignment="1" applyBorder="1" applyFill="1" applyFont="1" applyNumberFormat="1">
      <alignment horizontal="righ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1" numFmtId="49" xfId="0" applyAlignment="1" applyFont="1" applyNumberFormat="1">
      <alignment horizontal="right" vertical="center"/>
    </xf>
    <xf borderId="0" fillId="0" fontId="4" numFmtId="1" xfId="0" applyAlignment="1" applyFont="1" applyNumberFormat="1">
      <alignment vertical="center"/>
    </xf>
    <xf borderId="0" fillId="0" fontId="11" numFmtId="165" xfId="0" applyAlignment="1" applyFont="1" applyNumberFormat="1">
      <alignment horizontal="right" vertical="center"/>
    </xf>
    <xf borderId="1" fillId="4" fontId="9" numFmtId="0" xfId="0" applyAlignment="1" applyBorder="1" applyFill="1" applyFont="1">
      <alignment horizontal="center" vertical="center"/>
    </xf>
    <xf borderId="1" fillId="4" fontId="9" numFmtId="49" xfId="0" applyAlignment="1" applyBorder="1" applyFill="1" applyFont="1" applyNumberFormat="1">
      <alignment horizontal="right" vertical="center"/>
    </xf>
    <xf borderId="1" fillId="4" fontId="9" numFmtId="1" xfId="0" applyAlignment="1" applyBorder="1" applyFill="1" applyFont="1" applyNumberFormat="1">
      <alignment vertical="center"/>
    </xf>
    <xf borderId="1" fillId="4" fontId="9" numFmtId="1" xfId="0" applyAlignment="1" applyBorder="1" applyFill="1" applyFont="1" applyNumberFormat="1">
      <alignment horizontal="right" vertical="center"/>
    </xf>
    <xf borderId="1" fillId="4" fontId="9" numFmtId="1" xfId="0" applyAlignment="1" applyBorder="1" applyFill="1" applyFont="1" applyNumberFormat="1">
      <alignment horizontal="right"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9" numFmtId="49" xfId="0" applyAlignment="1" applyFont="1" applyNumberFormat="1">
      <alignment horizontal="right" vertical="center"/>
    </xf>
    <xf borderId="0" fillId="0" fontId="9" numFmtId="1" xfId="0" applyAlignment="1" applyFont="1" applyNumberFormat="1">
      <alignment vertical="center"/>
    </xf>
    <xf borderId="7" fillId="0" fontId="9" numFmtId="1" xfId="0" applyAlignment="1" applyBorder="1" applyFont="1" applyNumberFormat="1">
      <alignment horizontal="right" vertical="center"/>
    </xf>
    <xf borderId="7" fillId="4" fontId="9" numFmtId="1" xfId="0" applyAlignment="1" applyBorder="1" applyFill="1" applyFont="1" applyNumberFormat="1">
      <alignment horizontal="right" vertical="center"/>
    </xf>
    <xf borderId="7" fillId="4" fontId="9" numFmtId="1" xfId="0" applyAlignment="1" applyBorder="1" applyFill="1" applyFont="1" applyNumberFormat="1">
      <alignment horizontal="right" readingOrder="0" vertical="center"/>
    </xf>
    <xf borderId="0" fillId="0" fontId="11" numFmtId="1" xfId="0" applyAlignment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0" fillId="0" fontId="4" numFmtId="165" xfId="0" applyAlignment="1" applyFont="1" applyNumberFormat="1">
      <alignment horizontal="right" readingOrder="0" vertical="center"/>
    </xf>
    <xf borderId="0" fillId="0" fontId="4" numFmtId="49" xfId="0" applyAlignment="1" applyFont="1" applyNumberFormat="1">
      <alignment vertical="center"/>
    </xf>
    <xf borderId="8" fillId="0" fontId="9" numFmtId="1" xfId="0" applyAlignment="1" applyBorder="1" applyFont="1" applyNumberFormat="1">
      <alignment horizontal="right" vertical="center"/>
    </xf>
    <xf borderId="8" fillId="0" fontId="4" numFmtId="49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9" fillId="0" fontId="11" numFmtId="165" xfId="0" applyAlignment="1" applyBorder="1" applyFont="1" applyNumberFormat="1">
      <alignment horizontal="right" vertical="center"/>
    </xf>
    <xf borderId="1" fillId="4" fontId="10" numFmtId="1" xfId="0" applyAlignment="1" applyBorder="1" applyFill="1" applyFont="1" applyNumberFormat="1">
      <alignment vertical="center"/>
    </xf>
    <xf borderId="1" fillId="4" fontId="9" numFmtId="0" xfId="0" applyAlignment="1" applyBorder="1" applyFill="1" applyFont="1">
      <alignment horizontal="center" readingOrder="0" vertical="center"/>
    </xf>
    <xf borderId="1" fillId="4" fontId="9" numFmtId="1" xfId="0" applyAlignment="1" applyBorder="1" applyFill="1" applyFont="1" applyNumberFormat="1">
      <alignment readingOrder="0" vertical="center"/>
    </xf>
    <xf borderId="0" fillId="0" fontId="9" numFmtId="1" xfId="0" applyAlignment="1" applyFont="1" applyNumberFormat="1">
      <alignment horizontal="right" readingOrder="0" vertical="center"/>
    </xf>
    <xf borderId="1" fillId="5" fontId="11" numFmtId="165" xfId="0" applyAlignment="1" applyBorder="1" applyFill="1" applyFont="1" applyNumberFormat="1">
      <alignment horizontal="right" readingOrder="0" vertical="center"/>
    </xf>
    <xf borderId="0" fillId="0" fontId="5" numFmtId="0" xfId="0" applyAlignment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1" fillId="0" fontId="9" numFmtId="0" xfId="0" applyAlignment="1" applyBorder="1" applyFont="1">
      <alignment horizontal="right" vertical="center"/>
    </xf>
    <xf borderId="5" fillId="0" fontId="11" numFmtId="165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5" fillId="3" fontId="10" numFmtId="1" xfId="0" applyAlignment="1" applyBorder="1" applyFill="1" applyFont="1" applyNumberFormat="1">
      <alignment horizontal="right" readingOrder="0" vertical="center"/>
    </xf>
    <xf borderId="7" fillId="4" fontId="9" numFmtId="0" xfId="0" applyAlignment="1" applyBorder="1" applyFill="1" applyFont="1">
      <alignment horizontal="center" vertical="center"/>
    </xf>
    <xf borderId="7" fillId="4" fontId="9" numFmtId="49" xfId="0" applyAlignment="1" applyBorder="1" applyFill="1" applyFont="1" applyNumberFormat="1">
      <alignment horizontal="right" vertical="center"/>
    </xf>
    <xf borderId="7" fillId="4" fontId="9" numFmtId="1" xfId="0" applyAlignment="1" applyBorder="1" applyFill="1" applyFont="1" applyNumberFormat="1">
      <alignment vertical="center"/>
    </xf>
    <xf borderId="0" fillId="0" fontId="4" numFmtId="1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right" readingOrder="0" vertical="center"/>
    </xf>
    <xf borderId="0" fillId="0" fontId="4" numFmtId="1" xfId="0" applyAlignment="1" applyFont="1" applyNumberFormat="1">
      <alignment horizontal="left" readingOrder="0" vertical="center"/>
    </xf>
    <xf borderId="0" fillId="0" fontId="4" numFmtId="1" xfId="0" applyAlignment="1" applyFont="1" applyNumberFormat="1">
      <alignment readingOrder="0" vertical="center"/>
    </xf>
    <xf borderId="0" fillId="0" fontId="5" numFmtId="10" xfId="0" applyAlignment="1" applyFont="1" applyNumberFormat="1">
      <alignment horizontal="right" vertical="center"/>
    </xf>
    <xf borderId="0" fillId="6" fontId="4" numFmtId="1" xfId="0" applyAlignment="1" applyFill="1" applyFont="1" applyNumberFormat="1">
      <alignment horizontal="left" vertical="center"/>
    </xf>
    <xf borderId="0" fillId="0" fontId="2" numFmtId="49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8" fillId="0" fontId="2" numFmtId="165" xfId="0" applyAlignment="1" applyBorder="1" applyFont="1" applyNumberFormat="1">
      <alignment horizontal="right" vertical="center"/>
    </xf>
    <xf borderId="8" fillId="0" fontId="2" numFmtId="165" xfId="0" applyAlignment="1" applyBorder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vertical="center"/>
    </xf>
    <xf borderId="0" fillId="0" fontId="6" numFmtId="0" xfId="0" applyAlignment="1" applyFont="1">
      <alignment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7" fontId="5" numFmtId="0" xfId="0" applyAlignment="1" applyFill="1" applyFont="1">
      <alignment horizontal="left" vertical="center"/>
    </xf>
    <xf borderId="0" fillId="0" fontId="2" numFmtId="165" xfId="0" applyAlignment="1" applyFont="1" applyNumberFormat="1">
      <alignment horizontal="right" readingOrder="0" vertical="center"/>
    </xf>
    <xf borderId="0" fillId="0" fontId="12" numFmtId="1" xfId="0" applyAlignment="1" applyFont="1" applyNumberFormat="1">
      <alignment horizontal="left" readingOrder="0" vertical="center"/>
    </xf>
    <xf borderId="10" fillId="3" fontId="7" numFmtId="1" xfId="0" applyAlignment="1" applyBorder="1" applyFill="1" applyFont="1" applyNumberFormat="1">
      <alignment horizontal="center" vertical="center"/>
    </xf>
    <xf borderId="10" fillId="3" fontId="7" numFmtId="49" xfId="0" applyAlignment="1" applyBorder="1" applyFill="1" applyFont="1" applyNumberFormat="1">
      <alignment horizontal="right" vertical="center"/>
    </xf>
    <xf borderId="11" fillId="0" fontId="8" numFmtId="0" xfId="0" applyBorder="1" applyFont="1"/>
    <xf borderId="12" fillId="3" fontId="10" numFmtId="1" xfId="0" applyAlignment="1" applyBorder="1" applyFill="1" applyFont="1" applyNumberFormat="1">
      <alignment horizontal="right" vertical="center"/>
    </xf>
    <xf borderId="12" fillId="3" fontId="10" numFmtId="1" xfId="0" applyAlignment="1" applyBorder="1" applyFill="1" applyFont="1" applyNumberFormat="1">
      <alignment horizontal="right" readingOrder="0" vertical="center"/>
    </xf>
    <xf borderId="1" fillId="4" fontId="9" numFmtId="49" xfId="0" applyAlignment="1" applyBorder="1" applyFill="1" applyFont="1" applyNumberFormat="1">
      <alignment horizontal="center" vertical="center"/>
    </xf>
    <xf borderId="2" fillId="3" fontId="7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5" fillId="3" fontId="10" numFmtId="165" xfId="0" applyAlignment="1" applyBorder="1" applyFill="1" applyFont="1" applyNumberFormat="1">
      <alignment horizontal="right" shrinkToFit="0" vertical="center" wrapText="1"/>
    </xf>
    <xf borderId="5" fillId="3" fontId="7" numFmtId="1" xfId="0" applyAlignment="1" applyBorder="1" applyFill="1" applyFont="1" applyNumberFormat="1">
      <alignment horizontal="center" shrinkToFit="0" vertical="center" wrapText="1"/>
    </xf>
    <xf borderId="5" fillId="3" fontId="7" numFmtId="49" xfId="0" applyAlignment="1" applyBorder="1" applyFill="1" applyFont="1" applyNumberFormat="1">
      <alignment horizontal="center" shrinkToFit="0" vertical="center" wrapText="1"/>
    </xf>
    <xf borderId="13" fillId="3" fontId="10" numFmtId="1" xfId="0" applyAlignment="1" applyBorder="1" applyFill="1" applyFont="1" applyNumberFormat="1">
      <alignment horizontal="right" shrinkToFit="0" vertical="center" wrapText="1"/>
    </xf>
    <xf borderId="13" fillId="3" fontId="10" numFmtId="1" xfId="0" applyAlignment="1" applyBorder="1" applyFill="1" applyFont="1" applyNumberFormat="1">
      <alignment horizontal="right" readingOrder="0" shrinkToFit="0" vertical="center" wrapText="1"/>
    </xf>
    <xf borderId="14" fillId="4" fontId="9" numFmtId="0" xfId="0" applyAlignment="1" applyBorder="1" applyFill="1" applyFont="1">
      <alignment horizontal="center" shrinkToFit="0" vertical="center" wrapText="1"/>
    </xf>
    <xf borderId="14" fillId="4" fontId="9" numFmtId="49" xfId="0" applyAlignment="1" applyBorder="1" applyFill="1" applyFont="1" applyNumberFormat="1">
      <alignment horizontal="right" shrinkToFit="0" vertical="center" wrapText="1"/>
    </xf>
    <xf borderId="14" fillId="4" fontId="9" numFmtId="1" xfId="0" applyAlignment="1" applyBorder="1" applyFill="1" applyFont="1" applyNumberFormat="1">
      <alignment vertical="center"/>
    </xf>
    <xf borderId="14" fillId="4" fontId="9" numFmtId="1" xfId="0" applyAlignment="1" applyBorder="1" applyFill="1" applyFont="1" applyNumberFormat="1">
      <alignment horizontal="right" shrinkToFit="0" vertical="center" wrapText="1"/>
    </xf>
    <xf borderId="14" fillId="4" fontId="9" numFmtId="1" xfId="0" applyAlignment="1" applyBorder="1" applyFill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4" numFmtId="165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vertical="center"/>
    </xf>
    <xf borderId="0" fillId="0" fontId="9" numFmtId="1" xfId="0" applyAlignment="1" applyFont="1" applyNumberFormat="1">
      <alignment horizontal="right" shrinkToFit="0" vertical="center" wrapText="1"/>
    </xf>
    <xf borderId="1" fillId="5" fontId="11" numFmtId="165" xfId="0" applyAlignment="1" applyBorder="1" applyFill="1" applyFont="1" applyNumberForma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1" numFmtId="49" xfId="0" applyAlignment="1" applyFont="1" applyNumberFormat="1">
      <alignment horizontal="right" shrinkToFit="0" vertical="center" wrapText="1"/>
    </xf>
    <xf borderId="0" fillId="0" fontId="4" numFmtId="1" xfId="0" applyAlignment="1" applyFont="1" applyNumberFormat="1">
      <alignment shrinkToFit="0" vertical="center" wrapText="1"/>
    </xf>
    <xf borderId="0" fillId="0" fontId="11" numFmtId="165" xfId="0" applyAlignment="1" applyFont="1" applyNumberFormat="1">
      <alignment horizontal="right" shrinkToFit="0" vertical="center" wrapText="1"/>
    </xf>
    <xf borderId="0" fillId="0" fontId="4" numFmtId="165" xfId="0" applyAlignment="1" applyFont="1" applyNumberFormat="1">
      <alignment horizontal="righ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5" fontId="11" numFmtId="165" xfId="0" applyAlignment="1" applyBorder="1" applyFill="1" applyFont="1" applyNumberFormat="1">
      <alignment horizontal="right" readingOrder="0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0" fillId="0" fontId="11" numFmtId="1" xfId="0" applyAlignment="1" applyFont="1" applyNumberFormat="1">
      <alignment horizontal="right" shrinkToFit="0" vertical="center" wrapText="1"/>
    </xf>
    <xf borderId="15" fillId="8" fontId="9" numFmtId="1" xfId="0" applyAlignment="1" applyBorder="1" applyFill="1" applyFont="1" applyNumberFormat="1">
      <alignment vertical="center"/>
    </xf>
    <xf borderId="0" fillId="0" fontId="4" numFmtId="0" xfId="0" applyAlignment="1" applyFont="1">
      <alignment horizontal="right" shrinkToFit="0" vertical="center" wrapText="1"/>
    </xf>
    <xf borderId="0" fillId="0" fontId="2" numFmtId="0" xfId="0" applyAlignment="1" applyFont="1">
      <alignment readingOrder="0" vertical="center"/>
    </xf>
    <xf borderId="5" fillId="0" fontId="11" numFmtId="165" xfId="0" applyAlignment="1" applyBorder="1" applyFont="1" applyNumberFormat="1">
      <alignment horizontal="right" readingOrder="0" vertical="center"/>
    </xf>
    <xf borderId="0" fillId="0" fontId="4" numFmtId="49" xfId="0" applyAlignment="1" applyFont="1" applyNumberFormat="1">
      <alignment shrinkToFit="0" vertical="center" wrapText="1"/>
    </xf>
    <xf borderId="16" fillId="4" fontId="9" numFmtId="1" xfId="0" applyAlignment="1" applyBorder="1" applyFill="1" applyFont="1" applyNumberFormat="1">
      <alignment horizontal="right" vertical="center"/>
    </xf>
    <xf borderId="17" fillId="4" fontId="9" numFmtId="1" xfId="0" applyAlignment="1" applyBorder="1" applyFill="1" applyFont="1" applyNumberFormat="1">
      <alignment horizontal="right" readingOrder="0" vertical="center"/>
    </xf>
    <xf borderId="0" fillId="0" fontId="4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18" fillId="0" fontId="2" numFmtId="0" xfId="0" applyAlignment="1" applyBorder="1" applyFont="1">
      <alignment vertical="center"/>
    </xf>
    <xf borderId="15" fillId="8" fontId="9" numFmtId="0" xfId="0" applyAlignment="1" applyBorder="1" applyFill="1" applyFont="1">
      <alignment horizontal="center" vertical="center"/>
    </xf>
    <xf borderId="15" fillId="8" fontId="2" numFmtId="49" xfId="0" applyAlignment="1" applyBorder="1" applyFill="1" applyFont="1" applyNumberFormat="1">
      <alignment vertical="center"/>
    </xf>
    <xf borderId="19" fillId="8" fontId="9" numFmtId="1" xfId="0" applyAlignment="1" applyBorder="1" applyFill="1" applyFont="1" applyNumberFormat="1">
      <alignment horizontal="right" vertical="center"/>
    </xf>
    <xf borderId="19" fillId="8" fontId="9" numFmtId="1" xfId="0" applyAlignment="1" applyBorder="1" applyFill="1" applyFont="1" applyNumberFormat="1">
      <alignment horizontal="right" readingOrder="0" vertical="center"/>
    </xf>
    <xf borderId="0" fillId="0" fontId="2" numFmtId="49" xfId="0" applyAlignment="1" applyFont="1" applyNumberFormat="1">
      <alignment horizontal="center" vertical="center"/>
    </xf>
    <xf borderId="9" fillId="0" fontId="2" numFmtId="165" xfId="0" applyAlignment="1" applyBorder="1" applyFont="1" applyNumberFormat="1">
      <alignment horizontal="right" vertical="center"/>
    </xf>
    <xf borderId="1" fillId="5" fontId="1" numFmtId="165" xfId="0" applyAlignment="1" applyBorder="1" applyFill="1" applyFont="1" applyNumberFormat="1">
      <alignment horizontal="right" vertical="center"/>
    </xf>
    <xf borderId="20" fillId="4" fontId="9" numFmtId="1" xfId="0" applyAlignment="1" applyBorder="1" applyFill="1" applyFont="1" applyNumberFormat="1">
      <alignment horizontal="right" vertical="center"/>
    </xf>
    <xf borderId="20" fillId="4" fontId="9" numFmtId="1" xfId="0" applyAlignment="1" applyBorder="1" applyFill="1" applyFont="1" applyNumberFormat="1">
      <alignment horizontal="right" readingOrder="0" vertical="center"/>
    </xf>
    <xf borderId="21" fillId="0" fontId="4" numFmtId="165" xfId="0" applyAlignment="1" applyBorder="1" applyFont="1" applyNumberFormat="1">
      <alignment horizontal="right" vertical="center"/>
    </xf>
    <xf borderId="0" fillId="0" fontId="2" numFmtId="49" xfId="0" applyAlignment="1" applyFont="1" applyNumberFormat="1">
      <alignment horizontal="center" readingOrder="0" vertical="center"/>
    </xf>
    <xf borderId="21" fillId="0" fontId="2" numFmtId="165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right" vertical="center"/>
    </xf>
    <xf borderId="1" fillId="4" fontId="9" numFmtId="1" xfId="0" applyAlignment="1" applyBorder="1" applyFill="1" applyFont="1" applyNumberForma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9" numFmtId="0" xfId="0" applyAlignment="1" applyFont="1">
      <alignment horizontal="right" shrinkToFit="0" vertical="center" wrapText="1"/>
    </xf>
    <xf borderId="22" fillId="4" fontId="9" numFmtId="1" xfId="0" applyAlignment="1" applyBorder="1" applyFill="1" applyFont="1" applyNumberFormat="1">
      <alignment horizontal="right" vertical="center"/>
    </xf>
    <xf borderId="23" fillId="5" fontId="11" numFmtId="165" xfId="0" applyAlignment="1" applyBorder="1" applyFill="1" applyFont="1" applyNumberFormat="1">
      <alignment horizontal="right" vertical="center"/>
    </xf>
    <xf borderId="1" fillId="8" fontId="9" numFmtId="0" xfId="0" applyAlignment="1" applyBorder="1" applyFill="1" applyFont="1">
      <alignment horizontal="center" readingOrder="0"/>
    </xf>
    <xf borderId="1" fillId="8" fontId="2" numFmtId="49" xfId="0" applyBorder="1" applyFill="1" applyFont="1" applyNumberFormat="1"/>
    <xf borderId="1" fillId="8" fontId="9" numFmtId="1" xfId="0" applyAlignment="1" applyBorder="1" applyFill="1" applyFont="1" applyNumberFormat="1">
      <alignment readingOrder="0"/>
    </xf>
    <xf borderId="20" fillId="8" fontId="9" numFmtId="1" xfId="0" applyAlignment="1" applyBorder="1" applyFill="1" applyFont="1" applyNumberFormat="1">
      <alignment horizontal="right"/>
    </xf>
    <xf borderId="0" fillId="7" fontId="5" numFmtId="10" xfId="0" applyAlignment="1" applyFill="1" applyFont="1" applyNumberFormat="1">
      <alignment horizontal="right"/>
    </xf>
    <xf borderId="0" fillId="0" fontId="2" numFmtId="0" xfId="0" applyFont="1"/>
    <xf borderId="0" fillId="0" fontId="2" numFmtId="49" xfId="0" applyAlignment="1" applyFont="1" applyNumberFormat="1">
      <alignment horizontal="center"/>
    </xf>
    <xf borderId="0" fillId="0" fontId="2" numFmtId="1" xfId="0" applyFont="1" applyNumberFormat="1"/>
    <xf borderId="21" fillId="0" fontId="2" numFmtId="165" xfId="0" applyAlignment="1" applyBorder="1" applyFont="1" applyNumberFormat="1">
      <alignment horizontal="right" readingOrder="0"/>
    </xf>
    <xf borderId="21" fillId="0" fontId="2" numFmtId="165" xfId="0" applyAlignment="1" applyBorder="1" applyFont="1" applyNumberFormat="1">
      <alignment horizontal="right"/>
    </xf>
    <xf borderId="0" fillId="9" fontId="5" numFmtId="10" xfId="0" applyAlignment="1" applyFill="1" applyFont="1" applyNumberFormat="1">
      <alignment horizontal="right"/>
    </xf>
    <xf borderId="0" fillId="0" fontId="9" numFmtId="1" xfId="0" applyAlignment="1" applyFont="1" applyNumberFormat="1">
      <alignment horizontal="right" readingOrder="0" shrinkToFit="0" wrapText="1"/>
    </xf>
    <xf borderId="1" fillId="5" fontId="1" numFmtId="165" xfId="0" applyAlignment="1" applyBorder="1" applyFill="1" applyFont="1" applyNumberFormat="1">
      <alignment horizontal="right" readingOrder="0"/>
    </xf>
    <xf borderId="1" fillId="5" fontId="1" numFmtId="165" xfId="0" applyAlignment="1" applyBorder="1" applyFill="1" applyFont="1" applyNumberFormat="1">
      <alignment horizontal="right"/>
    </xf>
    <xf borderId="0" fillId="0" fontId="2" numFmtId="49" xfId="0" applyFont="1" applyNumberFormat="1"/>
    <xf borderId="0" fillId="0" fontId="2" numFmtId="165" xfId="0" applyFont="1" applyNumberFormat="1"/>
    <xf borderId="0" fillId="2" fontId="2" numFmtId="10" xfId="0" applyFill="1" applyFont="1" applyNumberFormat="1"/>
    <xf borderId="21" fillId="0" fontId="4" numFmtId="165" xfId="0" applyAlignment="1" applyBorder="1" applyFont="1" applyNumberFormat="1">
      <alignment horizontal="right" readingOrder="0" vertical="center"/>
    </xf>
    <xf borderId="1" fillId="8" fontId="9" numFmtId="0" xfId="0" applyAlignment="1" applyBorder="1" applyFill="1" applyFont="1">
      <alignment horizontal="center" vertical="center"/>
    </xf>
    <xf borderId="1" fillId="8" fontId="2" numFmtId="49" xfId="0" applyAlignment="1" applyBorder="1" applyFill="1" applyFont="1" applyNumberFormat="1">
      <alignment vertical="center"/>
    </xf>
    <xf borderId="1" fillId="8" fontId="9" numFmtId="1" xfId="0" applyAlignment="1" applyBorder="1" applyFill="1" applyFont="1" applyNumberFormat="1">
      <alignment vertical="center"/>
    </xf>
    <xf borderId="20" fillId="8" fontId="9" numFmtId="1" xfId="0" applyAlignment="1" applyBorder="1" applyFill="1" applyFont="1" applyNumberFormat="1">
      <alignment horizontal="right" vertical="center"/>
    </xf>
    <xf borderId="20" fillId="8" fontId="9" numFmtId="1" xfId="0" applyAlignment="1" applyBorder="1" applyFill="1" applyFont="1" applyNumberFormat="1">
      <alignment horizontal="right" readingOrder="0" vertical="center"/>
    </xf>
    <xf borderId="0" fillId="0" fontId="2" numFmtId="2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3" numFmtId="49" xfId="0" applyAlignment="1" applyFont="1" applyNumberFormat="1">
      <alignment horizontal="center" readingOrder="0" vertical="center"/>
    </xf>
    <xf borderId="8" fillId="0" fontId="4" numFmtId="165" xfId="0" applyAlignment="1" applyBorder="1" applyFont="1" applyNumberFormat="1">
      <alignment horizontal="right" readingOrder="0" vertical="center"/>
    </xf>
    <xf borderId="9" fillId="0" fontId="4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right" readingOrder="0" shrinkToFit="0" vertical="center" wrapText="1"/>
    </xf>
    <xf borderId="1" fillId="8" fontId="9" numFmtId="1" xfId="0" applyAlignment="1" applyBorder="1" applyFill="1" applyFont="1" applyNumberFormat="1">
      <alignment horizontal="right" vertical="center"/>
    </xf>
    <xf borderId="1" fillId="8" fontId="9" numFmtId="1" xfId="0" applyAlignment="1" applyBorder="1" applyFill="1" applyFont="1" applyNumberFormat="1">
      <alignment horizontal="right" readingOrder="0" vertical="center"/>
    </xf>
    <xf borderId="0" fillId="0" fontId="9" numFmtId="49" xfId="0" applyAlignment="1" applyFont="1" applyNumberFormat="1">
      <alignment horizontal="right" shrinkToFit="0" vertical="center" wrapText="1"/>
    </xf>
    <xf borderId="0" fillId="0" fontId="1" numFmtId="165" xfId="0" applyAlignment="1" applyFont="1" applyNumberFormat="1">
      <alignment horizontal="right" vertical="center"/>
    </xf>
    <xf borderId="15" fillId="8" fontId="9" numFmtId="0" xfId="0" applyAlignment="1" applyBorder="1" applyFill="1" applyFont="1">
      <alignment horizontal="center" readingOrder="0" vertical="center"/>
    </xf>
    <xf borderId="15" fillId="8" fontId="9" numFmtId="1" xfId="0" applyAlignment="1" applyBorder="1" applyFill="1" applyFont="1" applyNumberFormat="1">
      <alignment readingOrder="0" vertical="center"/>
    </xf>
    <xf borderId="1" fillId="5" fontId="1" numFmtId="165" xfId="0" applyAlignment="1" applyBorder="1" applyFill="1" applyFont="1" applyNumberFormat="1">
      <alignment horizontal="right" readingOrder="0" vertical="center"/>
    </xf>
    <xf borderId="9" fillId="0" fontId="4" numFmtId="165" xfId="0" applyAlignment="1" applyBorder="1" applyFont="1" applyNumberFormat="1">
      <alignment horizontal="right" readingOrder="0" vertical="center"/>
    </xf>
    <xf borderId="9" fillId="0" fontId="2" numFmtId="165" xfId="0" applyAlignment="1" applyBorder="1" applyFont="1" applyNumberFormat="1">
      <alignment horizontal="right" readingOrder="0" vertical="center"/>
    </xf>
    <xf borderId="18" fillId="0" fontId="2" numFmtId="0" xfId="0" applyBorder="1" applyFont="1"/>
    <xf borderId="15" fillId="8" fontId="9" numFmtId="0" xfId="0" applyAlignment="1" applyBorder="1" applyFill="1" applyFont="1">
      <alignment horizontal="center" readingOrder="0"/>
    </xf>
    <xf borderId="15" fillId="8" fontId="2" numFmtId="49" xfId="0" applyBorder="1" applyFill="1" applyFont="1" applyNumberFormat="1"/>
    <xf borderId="15" fillId="8" fontId="9" numFmtId="1" xfId="0" applyAlignment="1" applyBorder="1" applyFill="1" applyFont="1" applyNumberFormat="1">
      <alignment readingOrder="0"/>
    </xf>
    <xf borderId="19" fillId="8" fontId="9" numFmtId="1" xfId="0" applyAlignment="1" applyBorder="1" applyFill="1" applyFont="1" applyNumberFormat="1">
      <alignment horizontal="right"/>
    </xf>
    <xf borderId="0" fillId="0" fontId="3" numFmtId="49" xfId="0" applyAlignment="1" applyFont="1" applyNumberFormat="1">
      <alignment horizontal="center" readingOrder="0"/>
    </xf>
    <xf borderId="0" fillId="0" fontId="2" numFmtId="1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/>
    </xf>
    <xf borderId="0" fillId="0" fontId="9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vertical="center"/>
    </xf>
    <xf borderId="0" fillId="2" fontId="2" numFmtId="10" xfId="0" applyAlignment="1" applyFill="1" applyFont="1" applyNumberFormat="1">
      <alignment vertical="center"/>
    </xf>
    <xf borderId="0" fillId="7" fontId="2" numFmtId="10" xfId="0" applyAlignment="1" applyFill="1" applyFont="1" applyNumberFormat="1">
      <alignment vertical="center"/>
    </xf>
    <xf borderId="0" fillId="0" fontId="3" numFmtId="1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10" fontId="5" numFmtId="10" xfId="0" applyAlignment="1" applyFill="1" applyFont="1" applyNumberFormat="1">
      <alignment horizontal="right"/>
    </xf>
    <xf borderId="0" fillId="0" fontId="2" numFmtId="2" xfId="0" applyFont="1" applyNumberFormat="1"/>
    <xf borderId="0" fillId="0" fontId="3" numFmtId="1" xfId="0" applyAlignment="1" applyFont="1" applyNumberFormat="1">
      <alignment vertical="center"/>
    </xf>
    <xf borderId="5" fillId="0" fontId="11" numFmtId="165" xfId="0" applyAlignment="1" applyBorder="1" applyFont="1" applyNumberFormat="1">
      <alignment vertical="center"/>
    </xf>
    <xf borderId="0" fillId="0" fontId="11" numFmtId="165" xfId="0" applyAlignment="1" applyFont="1" applyNumberFormat="1">
      <alignment readingOrder="0" vertical="center"/>
    </xf>
    <xf borderId="1" fillId="4" fontId="9" numFmtId="49" xfId="0" applyAlignment="1" applyBorder="1" applyFill="1" applyFont="1" applyNumberFormat="1">
      <alignment horizontal="left" vertical="center"/>
    </xf>
    <xf borderId="1" fillId="4" fontId="9" numFmtId="1" xfId="0" applyAlignment="1" applyBorder="1" applyFill="1" applyFont="1" applyNumberFormat="1">
      <alignment horizontal="left" shrinkToFit="0" vertical="center" wrapText="1"/>
    </xf>
    <xf borderId="13" fillId="3" fontId="10" numFmtId="1" xfId="0" applyAlignment="1" applyBorder="1" applyFill="1" applyFont="1" applyNumberFormat="1">
      <alignment horizontal="right" vertical="center"/>
    </xf>
    <xf borderId="13" fillId="3" fontId="10" numFmtId="1" xfId="0" applyAlignment="1" applyBorder="1" applyFill="1" applyFont="1" applyNumberFormat="1">
      <alignment horizontal="right" readingOrder="0" vertical="center"/>
    </xf>
    <xf borderId="14" fillId="4" fontId="9" numFmtId="0" xfId="0" applyAlignment="1" applyBorder="1" applyFill="1" applyFont="1">
      <alignment horizontal="center" vertical="center"/>
    </xf>
    <xf borderId="14" fillId="4" fontId="9" numFmtId="49" xfId="0" applyAlignment="1" applyBorder="1" applyFill="1" applyFont="1" applyNumberFormat="1">
      <alignment horizontal="right" vertical="center"/>
    </xf>
    <xf borderId="0" fillId="0" fontId="13" numFmtId="0" xfId="0" applyAlignment="1" applyFont="1">
      <alignment horizontal="right" vertical="center"/>
    </xf>
    <xf borderId="5" fillId="0" fontId="10" numFmtId="165" xfId="0" applyAlignment="1" applyBorder="1" applyFont="1" applyNumberFormat="1">
      <alignment horizontal="right" readingOrder="0" vertical="center"/>
    </xf>
    <xf borderId="5" fillId="0" fontId="10" numFmtId="165" xfId="0" applyAlignment="1" applyBorder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ónimo" id="{1723338b-95e3-4165-8b36-bb13f93157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19" dT="2025-10-02T16:42:02.00" personId="{1723338b-95e3-4165-8b36-bb13f931570d}" id="{72cd26f8-7cfa-4f1c-88e6-4b4f88592f3b}" done="1">
    <x18tc:text xml:space="preserve">12000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randadeduero.es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75"/>
    <col customWidth="1" min="3" max="3" width="11.38"/>
    <col customWidth="1" min="4" max="4" width="66.0"/>
    <col customWidth="1" hidden="1" min="5" max="5" width="20.88"/>
    <col customWidth="1" min="6" max="6" width="20.88"/>
    <col customWidth="1" hidden="1" min="7" max="7" width="10.63"/>
    <col customWidth="1" min="8" max="8" width="5.75"/>
    <col customWidth="1" min="9" max="11" width="13.38"/>
  </cols>
  <sheetData>
    <row r="1" ht="14.25" customHeight="1">
      <c r="A1" s="8"/>
      <c r="B1" s="10"/>
      <c r="C1" s="11"/>
      <c r="D1" s="12"/>
      <c r="E1" s="13"/>
      <c r="F1" s="13"/>
      <c r="G1" s="14" t="str">
        <f t="shared" ref="G1:G4" si="1">IFERROR(((E1-#REF!)/#REF!), "")</f>
        <v/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8"/>
      <c r="B2" s="17"/>
      <c r="C2" s="11"/>
      <c r="D2" s="12"/>
      <c r="E2" s="13"/>
      <c r="F2" s="13"/>
      <c r="G2" s="14" t="str">
        <f t="shared" si="1"/>
        <v/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8"/>
      <c r="B3" s="18" t="s">
        <v>11</v>
      </c>
      <c r="C3" s="20"/>
      <c r="D3" s="21" t="s">
        <v>12</v>
      </c>
      <c r="E3" s="22"/>
      <c r="F3" s="22"/>
      <c r="G3" s="14" t="str">
        <f t="shared" si="1"/>
        <v/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8"/>
      <c r="B4" s="23" t="s">
        <v>13</v>
      </c>
      <c r="C4" s="24" t="s">
        <v>14</v>
      </c>
      <c r="D4" s="25"/>
      <c r="E4" s="26"/>
      <c r="F4" s="26"/>
      <c r="G4" s="14" t="str">
        <f t="shared" si="1"/>
        <v/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8"/>
      <c r="B5" s="27">
        <v>1300.0</v>
      </c>
      <c r="C5" s="28"/>
      <c r="D5" s="29" t="s">
        <v>15</v>
      </c>
      <c r="E5" s="30">
        <v>2025.0</v>
      </c>
      <c r="F5" s="31">
        <v>2026.0</v>
      </c>
      <c r="G5" s="14">
        <f t="shared" ref="G5:G381" si="2">IFERROR(((F5-E5)/E5), "")</f>
        <v>0.0004938271605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8"/>
      <c r="B6" s="10"/>
      <c r="C6" s="11" t="s">
        <v>16</v>
      </c>
      <c r="D6" s="12" t="s">
        <v>17</v>
      </c>
      <c r="E6" s="13">
        <v>29000.0</v>
      </c>
      <c r="F6" s="13">
        <v>29000.0</v>
      </c>
      <c r="G6" s="14">
        <f t="shared" si="2"/>
        <v>0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8"/>
      <c r="B7" s="10"/>
      <c r="C7" s="11" t="s">
        <v>18</v>
      </c>
      <c r="D7" s="12" t="s">
        <v>19</v>
      </c>
      <c r="E7" s="13">
        <v>25000.0</v>
      </c>
      <c r="F7" s="13">
        <v>25000.0</v>
      </c>
      <c r="G7" s="14">
        <f t="shared" si="2"/>
        <v>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8"/>
      <c r="B8" s="10"/>
      <c r="C8" s="11" t="s">
        <v>20</v>
      </c>
      <c r="D8" s="12" t="s">
        <v>21</v>
      </c>
      <c r="E8" s="13">
        <v>6775.0</v>
      </c>
      <c r="F8" s="13">
        <v>6775.0</v>
      </c>
      <c r="G8" s="14">
        <f t="shared" si="2"/>
        <v>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8"/>
      <c r="B9" s="10"/>
      <c r="C9" s="11" t="s">
        <v>22</v>
      </c>
      <c r="D9" s="12" t="s">
        <v>23</v>
      </c>
      <c r="E9" s="13">
        <v>21150.0</v>
      </c>
      <c r="F9" s="13">
        <v>21150.0</v>
      </c>
      <c r="G9" s="14">
        <f t="shared" si="2"/>
        <v>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8"/>
      <c r="B10" s="10"/>
      <c r="C10" s="11" t="s">
        <v>24</v>
      </c>
      <c r="D10" s="12" t="s">
        <v>25</v>
      </c>
      <c r="E10" s="13">
        <v>28150.0</v>
      </c>
      <c r="F10" s="13">
        <v>28150.0</v>
      </c>
      <c r="G10" s="14">
        <f t="shared" si="2"/>
        <v>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8"/>
      <c r="B11" s="10"/>
      <c r="C11" s="11" t="s">
        <v>26</v>
      </c>
      <c r="D11" s="12" t="s">
        <v>27</v>
      </c>
      <c r="E11" s="13">
        <v>2800.0</v>
      </c>
      <c r="F11" s="13">
        <v>2800.0</v>
      </c>
      <c r="G11" s="14">
        <f t="shared" si="2"/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8"/>
      <c r="B12" s="10"/>
      <c r="C12" s="11" t="s">
        <v>28</v>
      </c>
      <c r="D12" s="12" t="s">
        <v>29</v>
      </c>
      <c r="E12" s="13">
        <v>33500.0</v>
      </c>
      <c r="F12" s="13">
        <v>33500.0</v>
      </c>
      <c r="G12" s="14">
        <f t="shared" si="2"/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8"/>
      <c r="B13" s="10"/>
      <c r="C13" s="11" t="s">
        <v>30</v>
      </c>
      <c r="D13" s="12" t="s">
        <v>31</v>
      </c>
      <c r="E13" s="13">
        <v>18500.0</v>
      </c>
      <c r="F13" s="13">
        <v>18500.0</v>
      </c>
      <c r="G13" s="14">
        <f t="shared" si="2"/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8"/>
      <c r="B14" s="10"/>
      <c r="C14" s="11" t="s">
        <v>32</v>
      </c>
      <c r="D14" s="12" t="s">
        <v>33</v>
      </c>
      <c r="E14" s="13">
        <v>5500.0</v>
      </c>
      <c r="F14" s="13">
        <v>5500.0</v>
      </c>
      <c r="G14" s="14">
        <f t="shared" si="2"/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8"/>
      <c r="B15" s="10"/>
      <c r="C15" s="11" t="s">
        <v>34</v>
      </c>
      <c r="D15" s="12" t="s">
        <v>29</v>
      </c>
      <c r="E15" s="13">
        <v>6800.0</v>
      </c>
      <c r="F15" s="13">
        <v>6800.0</v>
      </c>
      <c r="G15" s="14">
        <f t="shared" si="2"/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8"/>
      <c r="C16" s="32"/>
      <c r="D16" s="32">
        <v>1300.0</v>
      </c>
      <c r="E16" s="33">
        <v>177175.0</v>
      </c>
      <c r="F16" s="33">
        <f>SUM(F6:F15)</f>
        <v>177175</v>
      </c>
      <c r="G16" s="14">
        <f t="shared" si="2"/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8"/>
      <c r="B17" s="10"/>
      <c r="C17" s="11"/>
      <c r="D17" s="12"/>
      <c r="E17" s="13"/>
      <c r="F17" s="13"/>
      <c r="G17" s="14" t="str">
        <f t="shared" si="2"/>
        <v/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34"/>
      <c r="B18" s="35">
        <v>1320.0</v>
      </c>
      <c r="C18" s="36"/>
      <c r="D18" s="37" t="s">
        <v>35</v>
      </c>
      <c r="E18" s="38">
        <v>2025.0</v>
      </c>
      <c r="F18" s="39">
        <v>2026.0</v>
      </c>
      <c r="G18" s="14">
        <f t="shared" si="2"/>
        <v>0.0004938271605</v>
      </c>
      <c r="H18" s="40"/>
      <c r="I18" s="40"/>
      <c r="J18" s="40"/>
      <c r="K18" s="40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8"/>
      <c r="B19" s="17"/>
      <c r="C19" s="11" t="s">
        <v>36</v>
      </c>
      <c r="D19" s="12" t="s">
        <v>37</v>
      </c>
      <c r="E19" s="13">
        <v>20100.0</v>
      </c>
      <c r="F19" s="13">
        <v>20100.0</v>
      </c>
      <c r="G19" s="14">
        <f t="shared" si="2"/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8"/>
      <c r="B20" s="17"/>
      <c r="C20" s="11" t="s">
        <v>16</v>
      </c>
      <c r="D20" s="12" t="s">
        <v>17</v>
      </c>
      <c r="E20" s="13">
        <v>701000.0</v>
      </c>
      <c r="F20" s="13">
        <v>701000.0</v>
      </c>
      <c r="G20" s="14">
        <f t="shared" si="2"/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>
      <c r="A21" s="8"/>
      <c r="B21" s="17"/>
      <c r="C21" s="11" t="s">
        <v>20</v>
      </c>
      <c r="D21" s="12" t="s">
        <v>21</v>
      </c>
      <c r="E21" s="13">
        <v>55500.0</v>
      </c>
      <c r="F21" s="13">
        <v>55500.0</v>
      </c>
      <c r="G21" s="14">
        <f t="shared" si="2"/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8"/>
      <c r="B22" s="17"/>
      <c r="C22" s="11" t="s">
        <v>22</v>
      </c>
      <c r="D22" s="12" t="s">
        <v>23</v>
      </c>
      <c r="E22" s="13">
        <v>232000.0</v>
      </c>
      <c r="F22" s="13">
        <v>232000.0</v>
      </c>
      <c r="G22" s="14">
        <f t="shared" si="2"/>
        <v>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8"/>
      <c r="B23" s="17"/>
      <c r="C23" s="11" t="s">
        <v>24</v>
      </c>
      <c r="D23" s="12" t="s">
        <v>25</v>
      </c>
      <c r="E23" s="13">
        <v>446000.0</v>
      </c>
      <c r="F23" s="13">
        <v>446000.0</v>
      </c>
      <c r="G23" s="14">
        <f t="shared" si="2"/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8"/>
      <c r="B24" s="17"/>
      <c r="C24" s="11" t="s">
        <v>26</v>
      </c>
      <c r="D24" s="12" t="s">
        <v>27</v>
      </c>
      <c r="E24" s="13">
        <v>132000.0</v>
      </c>
      <c r="F24" s="13">
        <v>132000.0</v>
      </c>
      <c r="G24" s="14">
        <f t="shared" si="2"/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8"/>
      <c r="B25" s="17"/>
      <c r="C25" s="11" t="s">
        <v>38</v>
      </c>
      <c r="D25" s="12" t="s">
        <v>39</v>
      </c>
      <c r="E25" s="13">
        <v>310000.0</v>
      </c>
      <c r="F25" s="13">
        <v>310000.0</v>
      </c>
      <c r="G25" s="14">
        <f t="shared" si="2"/>
        <v>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8"/>
      <c r="B26" s="17"/>
      <c r="C26" s="11" t="s">
        <v>28</v>
      </c>
      <c r="D26" s="12" t="s">
        <v>29</v>
      </c>
      <c r="E26" s="13">
        <v>598000.0</v>
      </c>
      <c r="F26" s="13">
        <v>598000.0</v>
      </c>
      <c r="G26" s="14">
        <f t="shared" si="2"/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8"/>
      <c r="C27" s="32"/>
      <c r="D27" s="32">
        <v>1320.0</v>
      </c>
      <c r="E27" s="33">
        <v>2494600.0</v>
      </c>
      <c r="F27" s="33">
        <f>SUM(F19:F26)</f>
        <v>2494600</v>
      </c>
      <c r="G27" s="14">
        <f t="shared" si="2"/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8"/>
      <c r="B28" s="10"/>
      <c r="C28" s="41"/>
      <c r="D28" s="42"/>
      <c r="E28" s="43"/>
      <c r="F28" s="43"/>
      <c r="G28" s="14" t="str">
        <f t="shared" si="2"/>
        <v/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8"/>
      <c r="B29" s="44">
        <v>1360.0</v>
      </c>
      <c r="C29" s="45"/>
      <c r="D29" s="46" t="s">
        <v>40</v>
      </c>
      <c r="E29" s="47">
        <v>2025.0</v>
      </c>
      <c r="F29" s="48">
        <v>2026.0</v>
      </c>
      <c r="G29" s="14">
        <f t="shared" si="2"/>
        <v>0.0004938271605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A30" s="8"/>
      <c r="B30" s="17"/>
      <c r="C30" s="11" t="s">
        <v>41</v>
      </c>
      <c r="D30" s="12" t="s">
        <v>42</v>
      </c>
      <c r="E30" s="13">
        <v>21500.0</v>
      </c>
      <c r="F30" s="13">
        <v>21500.0</v>
      </c>
      <c r="G30" s="14">
        <f t="shared" si="2"/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8"/>
      <c r="B31" s="17"/>
      <c r="C31" s="11" t="s">
        <v>36</v>
      </c>
      <c r="D31" s="12" t="s">
        <v>37</v>
      </c>
      <c r="E31" s="13">
        <v>0.0</v>
      </c>
      <c r="F31" s="13">
        <v>0.0</v>
      </c>
      <c r="G31" s="14" t="str">
        <f t="shared" si="2"/>
        <v/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>
      <c r="A32" s="8"/>
      <c r="B32" s="17"/>
      <c r="C32" s="11" t="s">
        <v>16</v>
      </c>
      <c r="D32" s="12" t="s">
        <v>17</v>
      </c>
      <c r="E32" s="13">
        <v>341000.0</v>
      </c>
      <c r="F32" s="13">
        <v>341000.0</v>
      </c>
      <c r="G32" s="14">
        <f t="shared" si="2"/>
        <v>0</v>
      </c>
      <c r="H32" s="16"/>
      <c r="I32" s="4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8"/>
      <c r="B33" s="17"/>
      <c r="C33" s="11" t="s">
        <v>18</v>
      </c>
      <c r="D33" s="12" t="s">
        <v>19</v>
      </c>
      <c r="E33" s="50">
        <v>0.0</v>
      </c>
      <c r="F33" s="50">
        <v>0.0</v>
      </c>
      <c r="G33" s="14" t="str">
        <f t="shared" si="2"/>
        <v/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8"/>
      <c r="B34" s="17"/>
      <c r="C34" s="11" t="s">
        <v>20</v>
      </c>
      <c r="D34" s="12" t="s">
        <v>21</v>
      </c>
      <c r="E34" s="13">
        <v>68000.0</v>
      </c>
      <c r="F34" s="13">
        <v>68000.0</v>
      </c>
      <c r="G34" s="14">
        <f t="shared" si="2"/>
        <v>0</v>
      </c>
      <c r="H34" s="1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8"/>
      <c r="B35" s="17"/>
      <c r="C35" s="11" t="s">
        <v>22</v>
      </c>
      <c r="D35" s="12" t="s">
        <v>23</v>
      </c>
      <c r="E35" s="13">
        <v>155000.0</v>
      </c>
      <c r="F35" s="13">
        <v>155000.0</v>
      </c>
      <c r="G35" s="14">
        <f t="shared" si="2"/>
        <v>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8"/>
      <c r="B36" s="17"/>
      <c r="C36" s="11" t="s">
        <v>24</v>
      </c>
      <c r="D36" s="12" t="s">
        <v>25</v>
      </c>
      <c r="E36" s="13">
        <v>256000.0</v>
      </c>
      <c r="F36" s="13">
        <v>256000.0</v>
      </c>
      <c r="G36" s="14">
        <f t="shared" si="2"/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8"/>
      <c r="B37" s="17"/>
      <c r="C37" s="11" t="s">
        <v>26</v>
      </c>
      <c r="D37" s="12" t="s">
        <v>27</v>
      </c>
      <c r="E37" s="13">
        <v>400000.0</v>
      </c>
      <c r="F37" s="13">
        <v>400000.0</v>
      </c>
      <c r="G37" s="14">
        <f t="shared" si="2"/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8"/>
      <c r="B38" s="17"/>
      <c r="C38" s="11" t="s">
        <v>38</v>
      </c>
      <c r="D38" s="12" t="s">
        <v>39</v>
      </c>
      <c r="E38" s="13">
        <v>300000.0</v>
      </c>
      <c r="F38" s="13">
        <v>300000.0</v>
      </c>
      <c r="G38" s="14">
        <f t="shared" si="2"/>
        <v>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>
      <c r="A39" s="8"/>
      <c r="B39" s="17"/>
      <c r="C39" s="11" t="s">
        <v>28</v>
      </c>
      <c r="D39" s="12" t="s">
        <v>29</v>
      </c>
      <c r="E39" s="13">
        <v>386000.0</v>
      </c>
      <c r="F39" s="13">
        <v>386000.0</v>
      </c>
      <c r="G39" s="14">
        <f t="shared" si="2"/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>
      <c r="A40" s="8"/>
      <c r="B40" s="32">
        <v>1360.0</v>
      </c>
      <c r="E40" s="33">
        <v>1927500.0</v>
      </c>
      <c r="F40" s="33">
        <f>SUM(F30:F39)</f>
        <v>1927500</v>
      </c>
      <c r="G40" s="14">
        <f t="shared" si="2"/>
        <v>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>
      <c r="A41" s="8"/>
      <c r="B41" s="10"/>
      <c r="C41" s="11"/>
      <c r="D41" s="12"/>
      <c r="E41" s="13"/>
      <c r="F41" s="13"/>
      <c r="G41" s="14" t="str">
        <f t="shared" si="2"/>
        <v/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>
      <c r="A42" s="8"/>
      <c r="B42" s="44">
        <v>1500.0</v>
      </c>
      <c r="C42" s="45"/>
      <c r="D42" s="46" t="s">
        <v>43</v>
      </c>
      <c r="E42" s="47">
        <v>2025.0</v>
      </c>
      <c r="F42" s="48">
        <v>2026.0</v>
      </c>
      <c r="G42" s="14">
        <f t="shared" si="2"/>
        <v>0.0004938271605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>
      <c r="A43" s="8"/>
      <c r="B43" s="17"/>
      <c r="C43" s="11" t="s">
        <v>16</v>
      </c>
      <c r="D43" s="12" t="s">
        <v>17</v>
      </c>
      <c r="E43" s="13">
        <v>15000.0</v>
      </c>
      <c r="F43" s="13">
        <v>15000.0</v>
      </c>
      <c r="G43" s="14">
        <f t="shared" si="2"/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4.25" customHeight="1">
      <c r="A44" s="8"/>
      <c r="B44" s="17"/>
      <c r="C44" s="11" t="s">
        <v>18</v>
      </c>
      <c r="D44" s="12" t="s">
        <v>19</v>
      </c>
      <c r="E44" s="13">
        <v>38000.0</v>
      </c>
      <c r="F44" s="13">
        <v>38000.0</v>
      </c>
      <c r="G44" s="14">
        <f t="shared" si="2"/>
        <v>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>
      <c r="A45" s="8"/>
      <c r="B45" s="17"/>
      <c r="C45" s="11" t="s">
        <v>20</v>
      </c>
      <c r="D45" s="12" t="s">
        <v>21</v>
      </c>
      <c r="E45" s="13">
        <v>7000.0</v>
      </c>
      <c r="F45" s="13">
        <v>7000.0</v>
      </c>
      <c r="G45" s="14">
        <f t="shared" si="2"/>
        <v>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4.25" customHeight="1">
      <c r="A46" s="8"/>
      <c r="B46" s="17"/>
      <c r="C46" s="11" t="s">
        <v>22</v>
      </c>
      <c r="D46" s="12" t="s">
        <v>23</v>
      </c>
      <c r="E46" s="13">
        <v>22000.0</v>
      </c>
      <c r="F46" s="13">
        <v>22000.0</v>
      </c>
      <c r="G46" s="14">
        <f t="shared" si="2"/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4.25" customHeight="1">
      <c r="A47" s="8"/>
      <c r="B47" s="17"/>
      <c r="C47" s="11" t="s">
        <v>24</v>
      </c>
      <c r="D47" s="12" t="s">
        <v>25</v>
      </c>
      <c r="E47" s="13">
        <v>36000.0</v>
      </c>
      <c r="F47" s="13">
        <v>36000.0</v>
      </c>
      <c r="G47" s="14">
        <f t="shared" si="2"/>
        <v>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>
      <c r="A48" s="8"/>
      <c r="B48" s="17"/>
      <c r="C48" s="11" t="s">
        <v>26</v>
      </c>
      <c r="D48" s="12" t="s">
        <v>27</v>
      </c>
      <c r="E48" s="13">
        <v>2700.0</v>
      </c>
      <c r="F48" s="13">
        <v>2700.0</v>
      </c>
      <c r="G48" s="14">
        <f t="shared" si="2"/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>
      <c r="A49" s="8"/>
      <c r="B49" s="17"/>
      <c r="C49" s="11" t="s">
        <v>28</v>
      </c>
      <c r="D49" s="12" t="s">
        <v>29</v>
      </c>
      <c r="E49" s="13">
        <v>32500.0</v>
      </c>
      <c r="F49" s="13">
        <v>32500.0</v>
      </c>
      <c r="G49" s="14">
        <f t="shared" si="2"/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8"/>
      <c r="B50" s="32">
        <v>1500.0</v>
      </c>
      <c r="E50" s="33">
        <v>153200.0</v>
      </c>
      <c r="F50" s="33">
        <f>SUM(F43:F49)</f>
        <v>153200</v>
      </c>
      <c r="G50" s="14">
        <f t="shared" si="2"/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8"/>
      <c r="B51" s="10"/>
      <c r="C51" s="11"/>
      <c r="D51" s="12"/>
      <c r="E51" s="13"/>
      <c r="F51" s="13"/>
      <c r="G51" s="14" t="str">
        <f t="shared" si="2"/>
        <v/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8"/>
      <c r="B52" s="44">
        <v>1510.0</v>
      </c>
      <c r="C52" s="45"/>
      <c r="D52" s="46" t="s">
        <v>44</v>
      </c>
      <c r="E52" s="47">
        <v>2025.0</v>
      </c>
      <c r="F52" s="48">
        <v>2026.0</v>
      </c>
      <c r="G52" s="14">
        <f t="shared" si="2"/>
        <v>0.0004938271605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8"/>
      <c r="B53" s="17"/>
      <c r="C53" s="11" t="s">
        <v>41</v>
      </c>
      <c r="D53" s="12" t="s">
        <v>42</v>
      </c>
      <c r="E53" s="13">
        <v>121600.0</v>
      </c>
      <c r="F53" s="13">
        <v>121600.0</v>
      </c>
      <c r="G53" s="14">
        <f t="shared" si="2"/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>
      <c r="A54" s="8"/>
      <c r="B54" s="17"/>
      <c r="C54" s="11" t="s">
        <v>36</v>
      </c>
      <c r="D54" s="12" t="s">
        <v>37</v>
      </c>
      <c r="E54" s="13">
        <v>18600.0</v>
      </c>
      <c r="F54" s="13">
        <v>18600.0</v>
      </c>
      <c r="G54" s="14">
        <f t="shared" si="2"/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4.25" customHeight="1">
      <c r="A55" s="8"/>
      <c r="B55" s="17"/>
      <c r="C55" s="11" t="s">
        <v>20</v>
      </c>
      <c r="D55" s="12" t="s">
        <v>21</v>
      </c>
      <c r="E55" s="13">
        <v>18000.0</v>
      </c>
      <c r="F55" s="13">
        <v>18000.0</v>
      </c>
      <c r="G55" s="14">
        <f t="shared" si="2"/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>
      <c r="A56" s="8"/>
      <c r="B56" s="17"/>
      <c r="C56" s="11" t="s">
        <v>22</v>
      </c>
      <c r="D56" s="12" t="s">
        <v>23</v>
      </c>
      <c r="E56" s="13">
        <v>29900.0</v>
      </c>
      <c r="F56" s="13">
        <v>29900.0</v>
      </c>
      <c r="G56" s="14">
        <f t="shared" si="2"/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>
      <c r="A57" s="8"/>
      <c r="B57" s="17"/>
      <c r="C57" s="11" t="s">
        <v>24</v>
      </c>
      <c r="D57" s="12" t="s">
        <v>25</v>
      </c>
      <c r="E57" s="13">
        <v>93000.0</v>
      </c>
      <c r="F57" s="13">
        <v>93000.0</v>
      </c>
      <c r="G57" s="14">
        <f t="shared" si="2"/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>
      <c r="A58" s="8"/>
      <c r="B58" s="17"/>
      <c r="C58" s="11" t="s">
        <v>26</v>
      </c>
      <c r="D58" s="12" t="s">
        <v>27</v>
      </c>
      <c r="E58" s="13">
        <v>5800.0</v>
      </c>
      <c r="F58" s="13">
        <v>5800.0</v>
      </c>
      <c r="G58" s="14">
        <f t="shared" si="2"/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4.25" customHeight="1">
      <c r="A59" s="8"/>
      <c r="B59" s="17"/>
      <c r="C59" s="11" t="s">
        <v>28</v>
      </c>
      <c r="D59" s="12" t="s">
        <v>29</v>
      </c>
      <c r="E59" s="13">
        <v>86000.0</v>
      </c>
      <c r="F59" s="13">
        <v>86000.0</v>
      </c>
      <c r="G59" s="14">
        <f t="shared" si="2"/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8"/>
      <c r="B60" s="17"/>
      <c r="C60" s="11" t="s">
        <v>30</v>
      </c>
      <c r="D60" s="12" t="s">
        <v>31</v>
      </c>
      <c r="E60" s="13">
        <v>122000.0</v>
      </c>
      <c r="F60" s="13">
        <v>122000.0</v>
      </c>
      <c r="G60" s="14">
        <f t="shared" si="2"/>
        <v>0</v>
      </c>
      <c r="H60" s="49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>
      <c r="A61" s="8"/>
      <c r="B61" s="17"/>
      <c r="C61" s="11" t="s">
        <v>45</v>
      </c>
      <c r="D61" s="12" t="s">
        <v>46</v>
      </c>
      <c r="E61" s="13">
        <v>1100.0</v>
      </c>
      <c r="F61" s="13">
        <v>1100.0</v>
      </c>
      <c r="G61" s="14">
        <f t="shared" si="2"/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>
      <c r="A62" s="8"/>
      <c r="B62" s="17"/>
      <c r="C62" s="11" t="s">
        <v>32</v>
      </c>
      <c r="D62" s="12" t="s">
        <v>33</v>
      </c>
      <c r="E62" s="13">
        <v>32200.0</v>
      </c>
      <c r="F62" s="13">
        <v>32200.0</v>
      </c>
      <c r="G62" s="14">
        <f t="shared" si="2"/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>
      <c r="A63" s="8"/>
      <c r="B63" s="17"/>
      <c r="C63" s="11" t="s">
        <v>34</v>
      </c>
      <c r="D63" s="12" t="s">
        <v>29</v>
      </c>
      <c r="E63" s="13">
        <v>43200.0</v>
      </c>
      <c r="F63" s="13">
        <v>43200.0</v>
      </c>
      <c r="G63" s="14">
        <f t="shared" si="2"/>
        <v>0</v>
      </c>
      <c r="H63" s="49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>
      <c r="A64" s="8"/>
      <c r="B64" s="32">
        <v>1510.0</v>
      </c>
      <c r="E64" s="33">
        <v>571400.0</v>
      </c>
      <c r="F64" s="33">
        <f>SUM(F53:F63)</f>
        <v>571400</v>
      </c>
      <c r="G64" s="14">
        <f t="shared" si="2"/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>
      <c r="A65" s="8"/>
      <c r="B65" s="10"/>
      <c r="C65" s="11"/>
      <c r="D65" s="12"/>
      <c r="E65" s="13"/>
      <c r="F65" s="13"/>
      <c r="G65" s="14" t="str">
        <f t="shared" si="2"/>
        <v/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>
      <c r="A66" s="8"/>
      <c r="B66" s="44">
        <v>1522.0</v>
      </c>
      <c r="C66" s="45"/>
      <c r="D66" s="46" t="s">
        <v>47</v>
      </c>
      <c r="E66" s="47">
        <v>2025.0</v>
      </c>
      <c r="F66" s="48">
        <v>2026.0</v>
      </c>
      <c r="G66" s="14">
        <f t="shared" si="2"/>
        <v>0.0004938271605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>
      <c r="A67" s="8"/>
      <c r="B67" s="17"/>
      <c r="C67" s="11" t="s">
        <v>20</v>
      </c>
      <c r="D67" s="12" t="s">
        <v>21</v>
      </c>
      <c r="E67" s="13">
        <v>128.0</v>
      </c>
      <c r="F67" s="13">
        <v>128.0</v>
      </c>
      <c r="G67" s="14">
        <f t="shared" si="2"/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>
      <c r="A68" s="8"/>
      <c r="B68" s="17"/>
      <c r="C68" s="11" t="s">
        <v>30</v>
      </c>
      <c r="D68" s="12" t="s">
        <v>31</v>
      </c>
      <c r="E68" s="13">
        <v>72368.0</v>
      </c>
      <c r="F68" s="13">
        <v>72368.0</v>
      </c>
      <c r="G68" s="14">
        <f t="shared" si="2"/>
        <v>0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>
      <c r="A69" s="8"/>
      <c r="B69" s="17"/>
      <c r="C69" s="11" t="s">
        <v>45</v>
      </c>
      <c r="D69" s="12" t="s">
        <v>46</v>
      </c>
      <c r="E69" s="13">
        <v>0.0</v>
      </c>
      <c r="F69" s="13">
        <v>0.0</v>
      </c>
      <c r="G69" s="14" t="str">
        <f t="shared" si="2"/>
        <v/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>
      <c r="A70" s="8"/>
      <c r="B70" s="17"/>
      <c r="C70" s="11" t="s">
        <v>34</v>
      </c>
      <c r="D70" s="12" t="s">
        <v>29</v>
      </c>
      <c r="E70" s="13">
        <v>23000.0</v>
      </c>
      <c r="F70" s="13">
        <v>23000.0</v>
      </c>
      <c r="G70" s="14">
        <f t="shared" si="2"/>
        <v>0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>
      <c r="A71" s="8"/>
      <c r="B71" s="32">
        <v>1522.0</v>
      </c>
      <c r="E71" s="33">
        <v>95496.0</v>
      </c>
      <c r="F71" s="33">
        <f>SUM(F67:F70)</f>
        <v>95496</v>
      </c>
      <c r="G71" s="14">
        <f t="shared" si="2"/>
        <v>0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8"/>
      <c r="B72" s="10"/>
      <c r="C72" s="11"/>
      <c r="D72" s="12"/>
      <c r="E72" s="13"/>
      <c r="F72" s="13"/>
      <c r="G72" s="14" t="str">
        <f t="shared" si="2"/>
        <v/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>
      <c r="A73" s="8"/>
      <c r="B73" s="44">
        <v>1530.0</v>
      </c>
      <c r="C73" s="45"/>
      <c r="D73" s="46" t="s">
        <v>48</v>
      </c>
      <c r="E73" s="47">
        <v>2025.0</v>
      </c>
      <c r="F73" s="48">
        <v>2026.0</v>
      </c>
      <c r="G73" s="14">
        <f t="shared" si="2"/>
        <v>0.0004938271605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8"/>
      <c r="B74" s="17"/>
      <c r="C74" s="11" t="s">
        <v>36</v>
      </c>
      <c r="D74" s="12" t="s">
        <v>37</v>
      </c>
      <c r="E74" s="13">
        <v>19900.0</v>
      </c>
      <c r="F74" s="13">
        <v>19900.0</v>
      </c>
      <c r="G74" s="14">
        <f t="shared" si="2"/>
        <v>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8"/>
      <c r="B75" s="17"/>
      <c r="C75" s="11" t="s">
        <v>20</v>
      </c>
      <c r="D75" s="12" t="s">
        <v>21</v>
      </c>
      <c r="E75" s="13">
        <v>1250.0</v>
      </c>
      <c r="F75" s="13">
        <v>1250.0</v>
      </c>
      <c r="G75" s="14">
        <f t="shared" si="2"/>
        <v>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>
      <c r="A76" s="8"/>
      <c r="B76" s="17"/>
      <c r="C76" s="11" t="s">
        <v>22</v>
      </c>
      <c r="D76" s="12" t="s">
        <v>23</v>
      </c>
      <c r="E76" s="13">
        <v>8400.0</v>
      </c>
      <c r="F76" s="13">
        <v>8400.0</v>
      </c>
      <c r="G76" s="14">
        <f t="shared" si="2"/>
        <v>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8"/>
      <c r="B77" s="17"/>
      <c r="C77" s="11" t="s">
        <v>24</v>
      </c>
      <c r="D77" s="12" t="s">
        <v>25</v>
      </c>
      <c r="E77" s="13">
        <v>18100.0</v>
      </c>
      <c r="F77" s="13">
        <v>18100.0</v>
      </c>
      <c r="G77" s="14">
        <f t="shared" si="2"/>
        <v>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8"/>
      <c r="B78" s="17"/>
      <c r="C78" s="11" t="s">
        <v>26</v>
      </c>
      <c r="D78" s="12" t="s">
        <v>27</v>
      </c>
      <c r="E78" s="13">
        <v>900.0</v>
      </c>
      <c r="F78" s="13">
        <v>900.0</v>
      </c>
      <c r="G78" s="14">
        <f t="shared" si="2"/>
        <v>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8"/>
      <c r="B79" s="17"/>
      <c r="C79" s="11" t="s">
        <v>28</v>
      </c>
      <c r="D79" s="12" t="s">
        <v>29</v>
      </c>
      <c r="E79" s="13">
        <v>12500.0</v>
      </c>
      <c r="F79" s="13">
        <v>12500.0</v>
      </c>
      <c r="G79" s="14">
        <f t="shared" si="2"/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8"/>
      <c r="B80" s="17"/>
      <c r="C80" s="11" t="s">
        <v>49</v>
      </c>
      <c r="D80" s="12" t="s">
        <v>31</v>
      </c>
      <c r="E80" s="13">
        <v>84500.0</v>
      </c>
      <c r="F80" s="13">
        <v>84500.0</v>
      </c>
      <c r="G80" s="14">
        <f t="shared" si="2"/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8"/>
      <c r="B81" s="17"/>
      <c r="C81" s="11" t="s">
        <v>50</v>
      </c>
      <c r="D81" s="12" t="s">
        <v>46</v>
      </c>
      <c r="E81" s="13">
        <v>38500.0</v>
      </c>
      <c r="F81" s="13">
        <v>38500.0</v>
      </c>
      <c r="G81" s="14">
        <f t="shared" si="2"/>
        <v>0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8"/>
      <c r="B82" s="17"/>
      <c r="C82" s="11" t="s">
        <v>51</v>
      </c>
      <c r="D82" s="12" t="s">
        <v>33</v>
      </c>
      <c r="E82" s="13">
        <v>27000.0</v>
      </c>
      <c r="F82" s="13">
        <v>27000.0</v>
      </c>
      <c r="G82" s="14">
        <f t="shared" si="2"/>
        <v>0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>
      <c r="A83" s="8"/>
      <c r="B83" s="17"/>
      <c r="C83" s="11" t="s">
        <v>52</v>
      </c>
      <c r="D83" s="12" t="s">
        <v>29</v>
      </c>
      <c r="E83" s="13">
        <v>43000.0</v>
      </c>
      <c r="F83" s="13">
        <v>43000.0</v>
      </c>
      <c r="G83" s="14">
        <f t="shared" si="2"/>
        <v>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>
      <c r="A84" s="8"/>
      <c r="B84" s="17"/>
      <c r="C84" s="11" t="s">
        <v>30</v>
      </c>
      <c r="D84" s="12" t="s">
        <v>31</v>
      </c>
      <c r="E84" s="13">
        <v>230000.0</v>
      </c>
      <c r="F84" s="13">
        <v>230000.0</v>
      </c>
      <c r="G84" s="14">
        <f t="shared" si="2"/>
        <v>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>
      <c r="A85" s="8"/>
      <c r="B85" s="17"/>
      <c r="C85" s="11" t="s">
        <v>45</v>
      </c>
      <c r="D85" s="12" t="s">
        <v>46</v>
      </c>
      <c r="E85" s="13">
        <v>1100.0</v>
      </c>
      <c r="F85" s="13">
        <v>1100.0</v>
      </c>
      <c r="G85" s="14">
        <f t="shared" si="2"/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>
      <c r="A86" s="8"/>
      <c r="B86" s="17"/>
      <c r="C86" s="11" t="s">
        <v>32</v>
      </c>
      <c r="D86" s="12" t="s">
        <v>33</v>
      </c>
      <c r="E86" s="13">
        <v>40000.0</v>
      </c>
      <c r="F86" s="13">
        <v>40000.0</v>
      </c>
      <c r="G86" s="14">
        <f t="shared" si="2"/>
        <v>0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>
      <c r="A87" s="8"/>
      <c r="B87" s="17"/>
      <c r="C87" s="11" t="s">
        <v>34</v>
      </c>
      <c r="D87" s="12" t="s">
        <v>29</v>
      </c>
      <c r="E87" s="13">
        <v>80000.0</v>
      </c>
      <c r="F87" s="13">
        <v>80000.0</v>
      </c>
      <c r="G87" s="14">
        <f t="shared" si="2"/>
        <v>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>
      <c r="A88" s="8"/>
      <c r="B88" s="32">
        <v>1530.0</v>
      </c>
      <c r="E88" s="33">
        <v>605150.0</v>
      </c>
      <c r="F88" s="33">
        <f>SUM(F74:F87)</f>
        <v>605150</v>
      </c>
      <c r="G88" s="14">
        <f t="shared" si="2"/>
        <v>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>
      <c r="A89" s="8"/>
      <c r="B89" s="10"/>
      <c r="C89" s="11"/>
      <c r="D89" s="12"/>
      <c r="E89" s="13"/>
      <c r="F89" s="13"/>
      <c r="G89" s="14" t="str">
        <f t="shared" si="2"/>
        <v/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>
      <c r="A90" s="8"/>
      <c r="B90" s="44">
        <v>1610.0</v>
      </c>
      <c r="C90" s="45"/>
      <c r="D90" s="46" t="s">
        <v>53</v>
      </c>
      <c r="E90" s="47">
        <v>2025.0</v>
      </c>
      <c r="F90" s="48">
        <v>2026.0</v>
      </c>
      <c r="G90" s="14">
        <f t="shared" si="2"/>
        <v>0.0004938271605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>
      <c r="A91" s="8"/>
      <c r="B91" s="10"/>
      <c r="C91" s="11" t="s">
        <v>36</v>
      </c>
      <c r="D91" s="12" t="s">
        <v>37</v>
      </c>
      <c r="E91" s="13">
        <v>20000.0</v>
      </c>
      <c r="F91" s="13">
        <v>20000.0</v>
      </c>
      <c r="G91" s="14">
        <f t="shared" si="2"/>
        <v>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>
      <c r="A92" s="8"/>
      <c r="B92" s="10"/>
      <c r="C92" s="11" t="s">
        <v>18</v>
      </c>
      <c r="D92" s="12" t="s">
        <v>19</v>
      </c>
      <c r="E92" s="13">
        <v>20000.0</v>
      </c>
      <c r="F92" s="13">
        <v>20000.0</v>
      </c>
      <c r="G92" s="14">
        <f t="shared" si="2"/>
        <v>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>
      <c r="A93" s="8"/>
      <c r="B93" s="10"/>
      <c r="C93" s="11" t="s">
        <v>20</v>
      </c>
      <c r="D93" s="12" t="s">
        <v>21</v>
      </c>
      <c r="E93" s="13">
        <v>3800.0</v>
      </c>
      <c r="F93" s="13">
        <v>3800.0</v>
      </c>
      <c r="G93" s="14">
        <f t="shared" si="2"/>
        <v>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8"/>
      <c r="B94" s="10"/>
      <c r="C94" s="11" t="s">
        <v>22</v>
      </c>
      <c r="D94" s="12" t="s">
        <v>23</v>
      </c>
      <c r="E94" s="13">
        <v>19050.0</v>
      </c>
      <c r="F94" s="13">
        <f>13000+6050</f>
        <v>19050</v>
      </c>
      <c r="G94" s="14">
        <f t="shared" si="2"/>
        <v>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8"/>
      <c r="B95" s="10"/>
      <c r="C95" s="11" t="s">
        <v>24</v>
      </c>
      <c r="D95" s="12" t="s">
        <v>25</v>
      </c>
      <c r="E95" s="13">
        <v>31800.0</v>
      </c>
      <c r="F95" s="13">
        <f>23000+8800</f>
        <v>31800</v>
      </c>
      <c r="G95" s="14">
        <f t="shared" si="2"/>
        <v>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8"/>
      <c r="B96" s="10"/>
      <c r="C96" s="11" t="s">
        <v>26</v>
      </c>
      <c r="D96" s="12" t="s">
        <v>27</v>
      </c>
      <c r="E96" s="13">
        <v>2250.0</v>
      </c>
      <c r="F96" s="13">
        <f>1600+650</f>
        <v>2250</v>
      </c>
      <c r="G96" s="14">
        <f t="shared" si="2"/>
        <v>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8"/>
      <c r="B97" s="10"/>
      <c r="C97" s="11" t="s">
        <v>28</v>
      </c>
      <c r="D97" s="12" t="s">
        <v>29</v>
      </c>
      <c r="E97" s="13">
        <v>18000.0</v>
      </c>
      <c r="F97" s="13">
        <v>18000.0</v>
      </c>
      <c r="G97" s="14">
        <f t="shared" si="2"/>
        <v>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>
      <c r="A98" s="8"/>
      <c r="B98" s="10"/>
      <c r="C98" s="11" t="s">
        <v>49</v>
      </c>
      <c r="D98" s="51" t="s">
        <v>31</v>
      </c>
      <c r="E98" s="13">
        <v>111000.0</v>
      </c>
      <c r="F98" s="13">
        <v>111000.0</v>
      </c>
      <c r="G98" s="14">
        <f t="shared" si="2"/>
        <v>0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8"/>
      <c r="B99" s="10"/>
      <c r="C99" s="11" t="s">
        <v>50</v>
      </c>
      <c r="D99" s="12" t="s">
        <v>46</v>
      </c>
      <c r="E99" s="13">
        <v>31000.0</v>
      </c>
      <c r="F99" s="13">
        <v>31000.0</v>
      </c>
      <c r="G99" s="14">
        <f t="shared" si="2"/>
        <v>0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8"/>
      <c r="B100" s="10"/>
      <c r="C100" s="11" t="s">
        <v>51</v>
      </c>
      <c r="D100" s="12" t="s">
        <v>33</v>
      </c>
      <c r="E100" s="13">
        <v>50000.0</v>
      </c>
      <c r="F100" s="13">
        <v>50000.0</v>
      </c>
      <c r="G100" s="14">
        <f t="shared" si="2"/>
        <v>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8"/>
      <c r="B101" s="10"/>
      <c r="C101" s="11" t="s">
        <v>52</v>
      </c>
      <c r="D101" s="12" t="s">
        <v>29</v>
      </c>
      <c r="E101" s="13">
        <v>49000.0</v>
      </c>
      <c r="F101" s="13">
        <v>49000.0</v>
      </c>
      <c r="G101" s="14">
        <f t="shared" si="2"/>
        <v>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8"/>
      <c r="B102" s="10"/>
      <c r="C102" s="11" t="s">
        <v>30</v>
      </c>
      <c r="D102" s="12" t="s">
        <v>31</v>
      </c>
      <c r="E102" s="13">
        <v>45000.0</v>
      </c>
      <c r="F102" s="13">
        <v>45000.0</v>
      </c>
      <c r="G102" s="14">
        <f t="shared" si="2"/>
        <v>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8"/>
      <c r="B103" s="10"/>
      <c r="C103" s="11" t="s">
        <v>45</v>
      </c>
      <c r="D103" s="12" t="s">
        <v>46</v>
      </c>
      <c r="E103" s="13">
        <v>1400.0</v>
      </c>
      <c r="F103" s="13">
        <v>1400.0</v>
      </c>
      <c r="G103" s="14">
        <f t="shared" si="2"/>
        <v>0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8"/>
      <c r="B104" s="10"/>
      <c r="C104" s="11" t="s">
        <v>32</v>
      </c>
      <c r="D104" s="12" t="s">
        <v>33</v>
      </c>
      <c r="E104" s="13">
        <v>18000.0</v>
      </c>
      <c r="F104" s="13">
        <v>18000.0</v>
      </c>
      <c r="G104" s="14">
        <f t="shared" si="2"/>
        <v>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>
      <c r="A105" s="8"/>
      <c r="B105" s="10"/>
      <c r="C105" s="11" t="s">
        <v>34</v>
      </c>
      <c r="D105" s="12" t="s">
        <v>29</v>
      </c>
      <c r="E105" s="13">
        <v>12500.0</v>
      </c>
      <c r="F105" s="13">
        <v>12500.0</v>
      </c>
      <c r="G105" s="14">
        <f t="shared" si="2"/>
        <v>0</v>
      </c>
      <c r="H105" s="12"/>
      <c r="I105" s="12"/>
      <c r="J105" s="12"/>
      <c r="K105" s="12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>
      <c r="A106" s="8"/>
      <c r="B106" s="32">
        <v>1610.0</v>
      </c>
      <c r="E106" s="33">
        <v>432800.0</v>
      </c>
      <c r="F106" s="33">
        <f>SUM(F91:F105)</f>
        <v>432800</v>
      </c>
      <c r="G106" s="14">
        <f t="shared" si="2"/>
        <v>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>
      <c r="A107" s="8"/>
      <c r="B107" s="52"/>
      <c r="C107" s="53"/>
      <c r="D107" s="54"/>
      <c r="E107" s="55"/>
      <c r="F107" s="55"/>
      <c r="G107" s="14" t="str">
        <f t="shared" si="2"/>
        <v/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>
      <c r="A108" s="8"/>
      <c r="B108" s="44">
        <v>1630.0</v>
      </c>
      <c r="C108" s="45"/>
      <c r="D108" s="46" t="s">
        <v>54</v>
      </c>
      <c r="E108" s="56">
        <v>2025.0</v>
      </c>
      <c r="F108" s="57">
        <v>2026.0</v>
      </c>
      <c r="G108" s="14">
        <f t="shared" si="2"/>
        <v>0.0004938271605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8"/>
      <c r="B109" s="10"/>
      <c r="C109" s="11" t="s">
        <v>18</v>
      </c>
      <c r="D109" s="12" t="s">
        <v>19</v>
      </c>
      <c r="E109" s="13">
        <v>8400.0</v>
      </c>
      <c r="F109" s="13">
        <v>8400.0</v>
      </c>
      <c r="G109" s="14">
        <f t="shared" si="2"/>
        <v>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8"/>
      <c r="B110" s="10"/>
      <c r="C110" s="11" t="s">
        <v>55</v>
      </c>
      <c r="D110" s="12" t="s">
        <v>56</v>
      </c>
      <c r="E110" s="13">
        <v>0.0</v>
      </c>
      <c r="F110" s="13">
        <v>0.0</v>
      </c>
      <c r="G110" s="14" t="str">
        <f t="shared" si="2"/>
        <v/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8"/>
      <c r="B111" s="10"/>
      <c r="C111" s="11" t="s">
        <v>20</v>
      </c>
      <c r="D111" s="12" t="s">
        <v>21</v>
      </c>
      <c r="E111" s="13">
        <v>0.0</v>
      </c>
      <c r="F111" s="13">
        <v>0.0</v>
      </c>
      <c r="G111" s="14" t="str">
        <f t="shared" si="2"/>
        <v/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8"/>
      <c r="B112" s="10"/>
      <c r="C112" s="11" t="s">
        <v>22</v>
      </c>
      <c r="D112" s="12" t="s">
        <v>23</v>
      </c>
      <c r="E112" s="13">
        <v>5200.0</v>
      </c>
      <c r="F112" s="13">
        <v>5200.0</v>
      </c>
      <c r="G112" s="14">
        <f t="shared" si="2"/>
        <v>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8"/>
      <c r="B113" s="10"/>
      <c r="C113" s="11" t="s">
        <v>24</v>
      </c>
      <c r="D113" s="12" t="s">
        <v>25</v>
      </c>
      <c r="E113" s="13">
        <v>11700.0</v>
      </c>
      <c r="F113" s="13">
        <v>11700.0</v>
      </c>
      <c r="G113" s="14">
        <f t="shared" si="2"/>
        <v>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8"/>
      <c r="B114" s="10"/>
      <c r="C114" s="11" t="s">
        <v>26</v>
      </c>
      <c r="D114" s="12" t="s">
        <v>27</v>
      </c>
      <c r="E114" s="13">
        <v>5000.0</v>
      </c>
      <c r="F114" s="13">
        <v>5000.0</v>
      </c>
      <c r="G114" s="14">
        <f t="shared" si="2"/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8"/>
      <c r="B115" s="10"/>
      <c r="C115" s="11" t="s">
        <v>38</v>
      </c>
      <c r="D115" s="12" t="s">
        <v>39</v>
      </c>
      <c r="E115" s="13">
        <v>0.0</v>
      </c>
      <c r="F115" s="13">
        <v>0.0</v>
      </c>
      <c r="G115" s="14" t="str">
        <f t="shared" si="2"/>
        <v/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8"/>
      <c r="B116" s="10"/>
      <c r="C116" s="11" t="s">
        <v>28</v>
      </c>
      <c r="D116" s="12" t="s">
        <v>29</v>
      </c>
      <c r="E116" s="13">
        <v>8000.0</v>
      </c>
      <c r="F116" s="13">
        <v>8000.0</v>
      </c>
      <c r="G116" s="14">
        <f t="shared" si="2"/>
        <v>0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8"/>
      <c r="B117" s="32">
        <v>1630.0</v>
      </c>
      <c r="E117" s="33">
        <v>38300.0</v>
      </c>
      <c r="F117" s="33">
        <f>SUM(F109:F116)</f>
        <v>38300</v>
      </c>
      <c r="G117" s="14">
        <f t="shared" si="2"/>
        <v>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8"/>
      <c r="B118" s="10"/>
      <c r="C118" s="11"/>
      <c r="D118" s="12"/>
      <c r="E118" s="13"/>
      <c r="F118" s="13"/>
      <c r="G118" s="14" t="str">
        <f t="shared" si="2"/>
        <v/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8"/>
      <c r="B119" s="44">
        <v>1640.0</v>
      </c>
      <c r="C119" s="45"/>
      <c r="D119" s="46" t="s">
        <v>57</v>
      </c>
      <c r="E119" s="47">
        <v>2025.0</v>
      </c>
      <c r="F119" s="48">
        <v>2026.0</v>
      </c>
      <c r="G119" s="14">
        <f t="shared" si="2"/>
        <v>0.0004938271605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>
      <c r="A120" s="8"/>
      <c r="B120" s="10"/>
      <c r="C120" s="11" t="s">
        <v>55</v>
      </c>
      <c r="D120" s="12" t="s">
        <v>56</v>
      </c>
      <c r="E120" s="13">
        <v>42500.0</v>
      </c>
      <c r="F120" s="13">
        <f>33500 + 9000</f>
        <v>42500</v>
      </c>
      <c r="G120" s="14">
        <f t="shared" si="2"/>
        <v>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8"/>
      <c r="B121" s="10"/>
      <c r="C121" s="11" t="s">
        <v>20</v>
      </c>
      <c r="D121" s="12" t="s">
        <v>21</v>
      </c>
      <c r="E121" s="13">
        <v>400.0</v>
      </c>
      <c r="F121" s="13">
        <v>400.0</v>
      </c>
      <c r="G121" s="14">
        <f t="shared" si="2"/>
        <v>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8"/>
      <c r="B122" s="10"/>
      <c r="C122" s="11" t="s">
        <v>22</v>
      </c>
      <c r="D122" s="12" t="s">
        <v>23</v>
      </c>
      <c r="E122" s="13">
        <v>17050.0</v>
      </c>
      <c r="F122" s="13">
        <f>13500 + 3550</f>
        <v>17050</v>
      </c>
      <c r="G122" s="14">
        <f t="shared" si="2"/>
        <v>0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8"/>
      <c r="B123" s="10"/>
      <c r="C123" s="11" t="s">
        <v>24</v>
      </c>
      <c r="D123" s="12" t="s">
        <v>25</v>
      </c>
      <c r="E123" s="13">
        <v>26600.0</v>
      </c>
      <c r="F123" s="13">
        <f>21000 + 5600</f>
        <v>26600</v>
      </c>
      <c r="G123" s="14">
        <f t="shared" si="2"/>
        <v>0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8"/>
      <c r="B124" s="10"/>
      <c r="C124" s="11" t="s">
        <v>30</v>
      </c>
      <c r="D124" s="12" t="s">
        <v>31</v>
      </c>
      <c r="E124" s="13">
        <v>26500.0</v>
      </c>
      <c r="F124" s="13">
        <v>26500.0</v>
      </c>
      <c r="G124" s="14">
        <f t="shared" si="2"/>
        <v>0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8"/>
      <c r="B125" s="10"/>
      <c r="C125" s="11" t="s">
        <v>26</v>
      </c>
      <c r="D125" s="12" t="s">
        <v>27</v>
      </c>
      <c r="E125" s="13">
        <v>2750.0</v>
      </c>
      <c r="F125" s="13">
        <f>2200+550</f>
        <v>2750</v>
      </c>
      <c r="G125" s="14">
        <f t="shared" si="2"/>
        <v>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8"/>
      <c r="B126" s="10"/>
      <c r="C126" s="11" t="s">
        <v>38</v>
      </c>
      <c r="D126" s="12" t="s">
        <v>39</v>
      </c>
      <c r="E126" s="13">
        <v>10000.0</v>
      </c>
      <c r="F126" s="13">
        <v>10000.0</v>
      </c>
      <c r="G126" s="14">
        <f t="shared" si="2"/>
        <v>0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>
      <c r="A127" s="8"/>
      <c r="B127" s="10"/>
      <c r="C127" s="11" t="s">
        <v>28</v>
      </c>
      <c r="D127" s="12" t="s">
        <v>29</v>
      </c>
      <c r="E127" s="13">
        <v>29400.0</v>
      </c>
      <c r="F127" s="13">
        <f>22500+6900</f>
        <v>29400</v>
      </c>
      <c r="G127" s="14">
        <f t="shared" si="2"/>
        <v>0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>
      <c r="A128" s="8"/>
      <c r="B128" s="10"/>
      <c r="C128" s="11" t="s">
        <v>34</v>
      </c>
      <c r="D128" s="12" t="s">
        <v>29</v>
      </c>
      <c r="E128" s="13">
        <v>8500.0</v>
      </c>
      <c r="F128" s="13">
        <v>8500.0</v>
      </c>
      <c r="G128" s="14">
        <f t="shared" si="2"/>
        <v>0</v>
      </c>
      <c r="H128" s="12"/>
      <c r="I128" s="12"/>
      <c r="J128" s="12"/>
      <c r="K128" s="1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>
      <c r="A129" s="8"/>
      <c r="B129" s="32">
        <v>1640.0</v>
      </c>
      <c r="E129" s="33">
        <v>163700.0</v>
      </c>
      <c r="F129" s="33">
        <f>SUM(F120:F128)</f>
        <v>163700</v>
      </c>
      <c r="G129" s="14">
        <f t="shared" si="2"/>
        <v>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>
      <c r="A130" s="8"/>
      <c r="B130" s="10"/>
      <c r="C130" s="11"/>
      <c r="D130" s="58"/>
      <c r="E130" s="43"/>
      <c r="F130" s="43"/>
      <c r="G130" s="14" t="str">
        <f t="shared" si="2"/>
        <v/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>
      <c r="A131" s="8"/>
      <c r="B131" s="44">
        <v>1650.0</v>
      </c>
      <c r="C131" s="45"/>
      <c r="D131" s="46" t="s">
        <v>58</v>
      </c>
      <c r="E131" s="47">
        <v>2025.0</v>
      </c>
      <c r="F131" s="48">
        <v>2026.0</v>
      </c>
      <c r="G131" s="14">
        <f t="shared" si="2"/>
        <v>0.0004938271605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>
      <c r="A132" s="8"/>
      <c r="B132" s="10"/>
      <c r="C132" s="11" t="s">
        <v>36</v>
      </c>
      <c r="D132" s="12" t="s">
        <v>37</v>
      </c>
      <c r="E132" s="13">
        <v>20500.0</v>
      </c>
      <c r="F132" s="13">
        <v>20500.0</v>
      </c>
      <c r="G132" s="14">
        <f t="shared" si="2"/>
        <v>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>
      <c r="A133" s="8"/>
      <c r="B133" s="10"/>
      <c r="C133" s="11" t="s">
        <v>55</v>
      </c>
      <c r="D133" s="12" t="s">
        <v>56</v>
      </c>
      <c r="E133" s="13">
        <v>12000.0</v>
      </c>
      <c r="F133" s="13">
        <v>12000.0</v>
      </c>
      <c r="G133" s="14">
        <f t="shared" si="2"/>
        <v>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>
      <c r="A134" s="8"/>
      <c r="B134" s="10"/>
      <c r="C134" s="11" t="s">
        <v>20</v>
      </c>
      <c r="D134" s="12" t="s">
        <v>21</v>
      </c>
      <c r="E134" s="13">
        <v>7750.0</v>
      </c>
      <c r="F134" s="13">
        <v>7750.0</v>
      </c>
      <c r="G134" s="14">
        <f t="shared" si="2"/>
        <v>0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>
      <c r="A135" s="8"/>
      <c r="B135" s="10"/>
      <c r="C135" s="11" t="s">
        <v>22</v>
      </c>
      <c r="D135" s="12" t="s">
        <v>23</v>
      </c>
      <c r="E135" s="13">
        <v>13000.0</v>
      </c>
      <c r="F135" s="13">
        <v>13000.0</v>
      </c>
      <c r="G135" s="14">
        <f t="shared" si="2"/>
        <v>0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>
      <c r="A136" s="8"/>
      <c r="B136" s="10"/>
      <c r="C136" s="11" t="s">
        <v>24</v>
      </c>
      <c r="D136" s="12" t="s">
        <v>25</v>
      </c>
      <c r="E136" s="13">
        <v>26500.0</v>
      </c>
      <c r="F136" s="13">
        <v>26500.0</v>
      </c>
      <c r="G136" s="14">
        <f t="shared" si="2"/>
        <v>0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>
      <c r="A137" s="8"/>
      <c r="B137" s="10"/>
      <c r="C137" s="11" t="s">
        <v>26</v>
      </c>
      <c r="D137" s="12" t="s">
        <v>27</v>
      </c>
      <c r="E137" s="13">
        <v>1600.0</v>
      </c>
      <c r="F137" s="13">
        <v>1600.0</v>
      </c>
      <c r="G137" s="14">
        <f t="shared" si="2"/>
        <v>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8"/>
      <c r="B138" s="10"/>
      <c r="C138" s="11" t="s">
        <v>28</v>
      </c>
      <c r="D138" s="12" t="s">
        <v>29</v>
      </c>
      <c r="E138" s="13">
        <v>21000.0</v>
      </c>
      <c r="F138" s="13">
        <v>21000.0</v>
      </c>
      <c r="G138" s="14">
        <f t="shared" si="2"/>
        <v>0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8"/>
      <c r="B139" s="10"/>
      <c r="C139" s="11" t="s">
        <v>49</v>
      </c>
      <c r="D139" s="51" t="s">
        <v>31</v>
      </c>
      <c r="E139" s="13">
        <v>60000.0</v>
      </c>
      <c r="F139" s="13">
        <v>60000.0</v>
      </c>
      <c r="G139" s="14">
        <f t="shared" si="2"/>
        <v>0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8"/>
      <c r="B140" s="10"/>
      <c r="C140" s="11" t="s">
        <v>50</v>
      </c>
      <c r="D140" s="12" t="s">
        <v>46</v>
      </c>
      <c r="E140" s="13">
        <v>19000.0</v>
      </c>
      <c r="F140" s="13">
        <v>19000.0</v>
      </c>
      <c r="G140" s="14">
        <f t="shared" si="2"/>
        <v>0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8"/>
      <c r="B141" s="10"/>
      <c r="C141" s="11" t="s">
        <v>51</v>
      </c>
      <c r="D141" s="12" t="s">
        <v>33</v>
      </c>
      <c r="E141" s="13">
        <v>10000.0</v>
      </c>
      <c r="F141" s="13">
        <v>10000.0</v>
      </c>
      <c r="G141" s="14">
        <f t="shared" si="2"/>
        <v>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>
      <c r="A142" s="8"/>
      <c r="B142" s="10"/>
      <c r="C142" s="11" t="s">
        <v>52</v>
      </c>
      <c r="D142" s="12" t="s">
        <v>29</v>
      </c>
      <c r="E142" s="13">
        <v>33500.0</v>
      </c>
      <c r="F142" s="13">
        <v>33500.0</v>
      </c>
      <c r="G142" s="14">
        <f t="shared" si="2"/>
        <v>0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8"/>
      <c r="B143" s="10"/>
      <c r="C143" s="11" t="s">
        <v>30</v>
      </c>
      <c r="D143" s="12" t="s">
        <v>31</v>
      </c>
      <c r="E143" s="13">
        <v>35000.0</v>
      </c>
      <c r="F143" s="13">
        <v>35000.0</v>
      </c>
      <c r="G143" s="14">
        <f t="shared" si="2"/>
        <v>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8"/>
      <c r="B144" s="10"/>
      <c r="C144" s="11" t="s">
        <v>45</v>
      </c>
      <c r="D144" s="12" t="s">
        <v>46</v>
      </c>
      <c r="E144" s="13">
        <v>3100.0</v>
      </c>
      <c r="F144" s="13">
        <v>3100.0</v>
      </c>
      <c r="G144" s="14">
        <f t="shared" si="2"/>
        <v>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8"/>
      <c r="B145" s="10"/>
      <c r="C145" s="11" t="s">
        <v>32</v>
      </c>
      <c r="D145" s="12" t="s">
        <v>33</v>
      </c>
      <c r="E145" s="13">
        <v>13100.0</v>
      </c>
      <c r="F145" s="13">
        <v>13100.0</v>
      </c>
      <c r="G145" s="14">
        <f t="shared" si="2"/>
        <v>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8"/>
      <c r="B146" s="10"/>
      <c r="C146" s="11" t="s">
        <v>34</v>
      </c>
      <c r="D146" s="12" t="s">
        <v>29</v>
      </c>
      <c r="E146" s="13">
        <v>15600.0</v>
      </c>
      <c r="F146" s="13">
        <v>15600.0</v>
      </c>
      <c r="G146" s="14">
        <f t="shared" si="2"/>
        <v>0</v>
      </c>
      <c r="H146" s="12"/>
      <c r="I146" s="12"/>
      <c r="J146" s="12"/>
      <c r="K146" s="1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8"/>
      <c r="B147" s="32">
        <v>1650.0</v>
      </c>
      <c r="E147" s="33">
        <v>291650.0</v>
      </c>
      <c r="F147" s="33">
        <f>SUM(F132:F146)</f>
        <v>291650</v>
      </c>
      <c r="G147" s="14">
        <f t="shared" si="2"/>
        <v>0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>
      <c r="A148" s="8"/>
      <c r="B148" s="10"/>
      <c r="C148" s="11"/>
      <c r="D148" s="58"/>
      <c r="E148" s="43"/>
      <c r="F148" s="43"/>
      <c r="G148" s="14" t="str">
        <f t="shared" si="2"/>
        <v/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>
      <c r="A149" s="8"/>
      <c r="B149" s="44">
        <v>1700.0</v>
      </c>
      <c r="C149" s="45"/>
      <c r="D149" s="46" t="s">
        <v>59</v>
      </c>
      <c r="E149" s="47">
        <v>2025.0</v>
      </c>
      <c r="F149" s="48">
        <v>2026.0</v>
      </c>
      <c r="G149" s="14">
        <f t="shared" si="2"/>
        <v>0.0004938271605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>
      <c r="A150" s="8"/>
      <c r="B150" s="10"/>
      <c r="C150" s="11" t="s">
        <v>36</v>
      </c>
      <c r="D150" s="12" t="s">
        <v>37</v>
      </c>
      <c r="E150" s="13">
        <v>18600.0</v>
      </c>
      <c r="F150" s="13">
        <v>18600.0</v>
      </c>
      <c r="G150" s="14">
        <f t="shared" si="2"/>
        <v>0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>
      <c r="A151" s="8"/>
      <c r="B151" s="10"/>
      <c r="C151" s="11" t="s">
        <v>16</v>
      </c>
      <c r="D151" s="12" t="s">
        <v>17</v>
      </c>
      <c r="E151" s="13">
        <v>15000.0</v>
      </c>
      <c r="F151" s="13">
        <v>15000.0</v>
      </c>
      <c r="G151" s="14">
        <f t="shared" si="2"/>
        <v>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>
      <c r="A152" s="8"/>
      <c r="B152" s="10"/>
      <c r="C152" s="11" t="s">
        <v>18</v>
      </c>
      <c r="D152" s="12" t="s">
        <v>19</v>
      </c>
      <c r="E152" s="13">
        <v>12000.0</v>
      </c>
      <c r="F152" s="13">
        <v>12000.0</v>
      </c>
      <c r="G152" s="14">
        <f t="shared" si="2"/>
        <v>0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>
      <c r="A153" s="8"/>
      <c r="B153" s="10"/>
      <c r="C153" s="11" t="s">
        <v>55</v>
      </c>
      <c r="D153" s="12" t="s">
        <v>56</v>
      </c>
      <c r="E153" s="13">
        <v>12000.0</v>
      </c>
      <c r="F153" s="13">
        <v>12000.0</v>
      </c>
      <c r="G153" s="14">
        <f t="shared" si="2"/>
        <v>0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>
      <c r="A154" s="8"/>
      <c r="B154" s="10"/>
      <c r="C154" s="11" t="s">
        <v>20</v>
      </c>
      <c r="D154" s="12" t="s">
        <v>21</v>
      </c>
      <c r="E154" s="13">
        <v>1200.0</v>
      </c>
      <c r="F154" s="13">
        <v>1200.0</v>
      </c>
      <c r="G154" s="14">
        <f t="shared" si="2"/>
        <v>0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>
      <c r="A155" s="8"/>
      <c r="B155" s="10"/>
      <c r="C155" s="11" t="s">
        <v>22</v>
      </c>
      <c r="D155" s="12" t="s">
        <v>23</v>
      </c>
      <c r="E155" s="13">
        <v>22500.0</v>
      </c>
      <c r="F155" s="13">
        <v>22500.0</v>
      </c>
      <c r="G155" s="14">
        <f t="shared" si="2"/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>
      <c r="A156" s="8"/>
      <c r="B156" s="10"/>
      <c r="C156" s="11" t="s">
        <v>24</v>
      </c>
      <c r="D156" s="12" t="s">
        <v>25</v>
      </c>
      <c r="E156" s="13">
        <v>28000.0</v>
      </c>
      <c r="F156" s="13">
        <v>28000.0</v>
      </c>
      <c r="G156" s="14">
        <f t="shared" si="2"/>
        <v>0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>
      <c r="A157" s="8"/>
      <c r="B157" s="10"/>
      <c r="C157" s="11" t="s">
        <v>26</v>
      </c>
      <c r="D157" s="12" t="s">
        <v>27</v>
      </c>
      <c r="E157" s="13">
        <v>3000.0</v>
      </c>
      <c r="F157" s="13">
        <v>3000.0</v>
      </c>
      <c r="G157" s="14">
        <f t="shared" si="2"/>
        <v>0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>
      <c r="A158" s="8"/>
      <c r="B158" s="10"/>
      <c r="C158" s="11" t="s">
        <v>38</v>
      </c>
      <c r="D158" s="12" t="s">
        <v>39</v>
      </c>
      <c r="E158" s="13">
        <v>110.0</v>
      </c>
      <c r="F158" s="13">
        <v>110.0</v>
      </c>
      <c r="G158" s="14">
        <f t="shared" si="2"/>
        <v>0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>
      <c r="A159" s="8"/>
      <c r="B159" s="10"/>
      <c r="C159" s="11" t="s">
        <v>28</v>
      </c>
      <c r="D159" s="12" t="s">
        <v>29</v>
      </c>
      <c r="E159" s="13">
        <v>33100.0</v>
      </c>
      <c r="F159" s="13">
        <v>33100.0</v>
      </c>
      <c r="G159" s="14">
        <f t="shared" si="2"/>
        <v>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>
      <c r="A160" s="8"/>
      <c r="B160" s="32">
        <v>1700.0</v>
      </c>
      <c r="E160" s="33">
        <v>145510.0</v>
      </c>
      <c r="F160" s="33">
        <f>SUM(F150:F159)</f>
        <v>145510</v>
      </c>
      <c r="G160" s="14">
        <f t="shared" si="2"/>
        <v>0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>
      <c r="A161" s="8"/>
      <c r="B161" s="10"/>
      <c r="C161" s="11"/>
      <c r="D161" s="58"/>
      <c r="E161" s="43"/>
      <c r="F161" s="43"/>
      <c r="G161" s="14" t="str">
        <f t="shared" si="2"/>
        <v/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>
      <c r="A162" s="8"/>
      <c r="B162" s="44">
        <v>1710.0</v>
      </c>
      <c r="C162" s="45"/>
      <c r="D162" s="46" t="s">
        <v>60</v>
      </c>
      <c r="E162" s="47">
        <v>2025.0</v>
      </c>
      <c r="F162" s="48">
        <v>2026.0</v>
      </c>
      <c r="G162" s="14">
        <f t="shared" si="2"/>
        <v>0.0004938271605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>
      <c r="A163" s="8"/>
      <c r="B163" s="10"/>
      <c r="C163" s="11" t="s">
        <v>18</v>
      </c>
      <c r="D163" s="12" t="s">
        <v>19</v>
      </c>
      <c r="E163" s="13">
        <v>8400.0</v>
      </c>
      <c r="F163" s="13">
        <v>8400.0</v>
      </c>
      <c r="G163" s="14">
        <f t="shared" si="2"/>
        <v>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>
      <c r="A164" s="8"/>
      <c r="B164" s="10"/>
      <c r="C164" s="11" t="s">
        <v>55</v>
      </c>
      <c r="D164" s="12" t="s">
        <v>56</v>
      </c>
      <c r="E164" s="13">
        <v>0.0</v>
      </c>
      <c r="F164" s="13">
        <v>0.0</v>
      </c>
      <c r="G164" s="14" t="str">
        <f t="shared" si="2"/>
        <v/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>
      <c r="A165" s="8"/>
      <c r="B165" s="10"/>
      <c r="C165" s="11" t="s">
        <v>20</v>
      </c>
      <c r="D165" s="12" t="s">
        <v>21</v>
      </c>
      <c r="E165" s="13">
        <v>0.0</v>
      </c>
      <c r="F165" s="13">
        <v>0.0</v>
      </c>
      <c r="G165" s="14" t="str">
        <f t="shared" si="2"/>
        <v/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>
      <c r="A166" s="8"/>
      <c r="B166" s="10"/>
      <c r="C166" s="11" t="s">
        <v>22</v>
      </c>
      <c r="D166" s="12" t="s">
        <v>23</v>
      </c>
      <c r="E166" s="13">
        <v>5200.0</v>
      </c>
      <c r="F166" s="13">
        <v>5200.0</v>
      </c>
      <c r="G166" s="14">
        <f t="shared" si="2"/>
        <v>0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>
      <c r="A167" s="8"/>
      <c r="B167" s="10"/>
      <c r="C167" s="11" t="s">
        <v>24</v>
      </c>
      <c r="D167" s="12" t="s">
        <v>25</v>
      </c>
      <c r="E167" s="13">
        <v>11700.0</v>
      </c>
      <c r="F167" s="13">
        <v>11700.0</v>
      </c>
      <c r="G167" s="14">
        <f t="shared" si="2"/>
        <v>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>
      <c r="A168" s="8"/>
      <c r="B168" s="10"/>
      <c r="C168" s="11" t="s">
        <v>26</v>
      </c>
      <c r="D168" s="12" t="s">
        <v>27</v>
      </c>
      <c r="E168" s="13">
        <v>5000.0</v>
      </c>
      <c r="F168" s="13">
        <v>5000.0</v>
      </c>
      <c r="G168" s="14">
        <f t="shared" si="2"/>
        <v>0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>
      <c r="A169" s="8"/>
      <c r="B169" s="10"/>
      <c r="C169" s="11" t="s">
        <v>38</v>
      </c>
      <c r="D169" s="12" t="s">
        <v>39</v>
      </c>
      <c r="E169" s="13">
        <v>0.0</v>
      </c>
      <c r="F169" s="13">
        <v>0.0</v>
      </c>
      <c r="G169" s="14" t="str">
        <f t="shared" si="2"/>
        <v/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>
      <c r="A170" s="8"/>
      <c r="B170" s="10"/>
      <c r="C170" s="11" t="s">
        <v>28</v>
      </c>
      <c r="D170" s="12" t="s">
        <v>29</v>
      </c>
      <c r="E170" s="13">
        <v>8000.0</v>
      </c>
      <c r="F170" s="13">
        <v>8000.0</v>
      </c>
      <c r="G170" s="14">
        <f t="shared" si="2"/>
        <v>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>
      <c r="A171" s="8"/>
      <c r="B171" s="32">
        <v>1710.0</v>
      </c>
      <c r="E171" s="33">
        <v>38300.0</v>
      </c>
      <c r="F171" s="33">
        <f>SUM(F163:F170)</f>
        <v>38300</v>
      </c>
      <c r="G171" s="14">
        <f t="shared" si="2"/>
        <v>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>
      <c r="A172" s="8"/>
      <c r="B172" s="10"/>
      <c r="C172" s="11"/>
      <c r="D172" s="12"/>
      <c r="E172" s="59"/>
      <c r="F172" s="59"/>
      <c r="G172" s="14" t="str">
        <f t="shared" si="2"/>
        <v/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>
      <c r="A173" s="8"/>
      <c r="B173" s="44">
        <v>2210.0</v>
      </c>
      <c r="C173" s="45"/>
      <c r="D173" s="37" t="s">
        <v>61</v>
      </c>
      <c r="E173" s="47">
        <v>2025.0</v>
      </c>
      <c r="F173" s="48">
        <v>2026.0</v>
      </c>
      <c r="G173" s="14">
        <f t="shared" si="2"/>
        <v>0.0004938271605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>
      <c r="A174" s="8"/>
      <c r="B174" s="10"/>
      <c r="C174" s="11" t="s">
        <v>62</v>
      </c>
      <c r="D174" s="51" t="s">
        <v>63</v>
      </c>
      <c r="E174" s="13">
        <v>30000.0</v>
      </c>
      <c r="F174" s="13">
        <v>30000.0</v>
      </c>
      <c r="G174" s="14">
        <f t="shared" si="2"/>
        <v>0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>
      <c r="A175" s="8"/>
      <c r="B175" s="10"/>
      <c r="C175" s="11" t="s">
        <v>64</v>
      </c>
      <c r="D175" s="12" t="s">
        <v>65</v>
      </c>
      <c r="E175" s="13">
        <v>10000.0</v>
      </c>
      <c r="F175" s="13">
        <v>10000.0</v>
      </c>
      <c r="G175" s="14">
        <f t="shared" si="2"/>
        <v>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>
      <c r="A176" s="8"/>
      <c r="B176" s="10"/>
      <c r="C176" s="11" t="s">
        <v>66</v>
      </c>
      <c r="D176" s="12" t="s">
        <v>67</v>
      </c>
      <c r="E176" s="13">
        <v>25000.0</v>
      </c>
      <c r="F176" s="13">
        <v>25000.0</v>
      </c>
      <c r="G176" s="14">
        <f t="shared" si="2"/>
        <v>0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>
      <c r="A177" s="8"/>
      <c r="B177" s="10"/>
      <c r="C177" s="11" t="s">
        <v>68</v>
      </c>
      <c r="D177" s="12" t="s">
        <v>69</v>
      </c>
      <c r="E177" s="13">
        <v>15000.0</v>
      </c>
      <c r="F177" s="13">
        <v>15000.0</v>
      </c>
      <c r="G177" s="14">
        <f t="shared" si="2"/>
        <v>0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>
      <c r="A178" s="8"/>
      <c r="B178" s="10"/>
      <c r="C178" s="11" t="s">
        <v>70</v>
      </c>
      <c r="D178" s="12" t="s">
        <v>71</v>
      </c>
      <c r="E178" s="13">
        <v>9000.0</v>
      </c>
      <c r="F178" s="13">
        <v>9000.0</v>
      </c>
      <c r="G178" s="14">
        <f t="shared" si="2"/>
        <v>0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>
      <c r="A179" s="8"/>
      <c r="B179" s="10"/>
      <c r="C179" s="11" t="s">
        <v>72</v>
      </c>
      <c r="D179" s="12" t="s">
        <v>73</v>
      </c>
      <c r="E179" s="13">
        <v>12000.0</v>
      </c>
      <c r="F179" s="13">
        <v>12000.0</v>
      </c>
      <c r="G179" s="14">
        <f t="shared" si="2"/>
        <v>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>
      <c r="A180" s="8"/>
      <c r="B180" s="32">
        <v>2210.0</v>
      </c>
      <c r="E180" s="33">
        <v>101000.0</v>
      </c>
      <c r="F180" s="33">
        <f>SUM(F174:F179)</f>
        <v>101000</v>
      </c>
      <c r="G180" s="14">
        <f t="shared" si="2"/>
        <v>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>
      <c r="A181" s="8"/>
      <c r="B181" s="10"/>
      <c r="C181" s="11"/>
      <c r="D181" s="12"/>
      <c r="E181" s="59"/>
      <c r="F181" s="59"/>
      <c r="G181" s="14" t="str">
        <f t="shared" si="2"/>
        <v/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>
      <c r="A182" s="8"/>
      <c r="B182" s="44">
        <v>2310.0</v>
      </c>
      <c r="C182" s="45"/>
      <c r="D182" s="46" t="s">
        <v>74</v>
      </c>
      <c r="E182" s="47">
        <v>2025.0</v>
      </c>
      <c r="F182" s="48">
        <v>2026.0</v>
      </c>
      <c r="G182" s="14">
        <f t="shared" si="2"/>
        <v>0.0004938271605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>
      <c r="A183" s="8"/>
      <c r="B183" s="10"/>
      <c r="C183" s="11" t="s">
        <v>18</v>
      </c>
      <c r="D183" s="12" t="s">
        <v>19</v>
      </c>
      <c r="E183" s="13">
        <v>24500.0</v>
      </c>
      <c r="F183" s="13">
        <v>24500.0</v>
      </c>
      <c r="G183" s="14">
        <f t="shared" si="2"/>
        <v>0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>
      <c r="A184" s="8"/>
      <c r="B184" s="10"/>
      <c r="C184" s="11" t="s">
        <v>20</v>
      </c>
      <c r="D184" s="12" t="s">
        <v>21</v>
      </c>
      <c r="E184" s="13">
        <v>600.0</v>
      </c>
      <c r="F184" s="13">
        <v>600.0</v>
      </c>
      <c r="G184" s="14">
        <f t="shared" si="2"/>
        <v>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>
      <c r="A185" s="8"/>
      <c r="B185" s="10"/>
      <c r="C185" s="11" t="s">
        <v>22</v>
      </c>
      <c r="D185" s="12" t="s">
        <v>23</v>
      </c>
      <c r="E185" s="13">
        <v>11000.0</v>
      </c>
      <c r="F185" s="13">
        <v>11000.0</v>
      </c>
      <c r="G185" s="14">
        <f t="shared" si="2"/>
        <v>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>
      <c r="A186" s="8"/>
      <c r="B186" s="10"/>
      <c r="C186" s="11" t="s">
        <v>24</v>
      </c>
      <c r="D186" s="12" t="s">
        <v>25</v>
      </c>
      <c r="E186" s="13">
        <v>15000.0</v>
      </c>
      <c r="F186" s="13">
        <v>15000.0</v>
      </c>
      <c r="G186" s="14">
        <f t="shared" si="2"/>
        <v>0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>
      <c r="A187" s="8"/>
      <c r="B187" s="10"/>
      <c r="C187" s="11" t="s">
        <v>26</v>
      </c>
      <c r="D187" s="12" t="s">
        <v>27</v>
      </c>
      <c r="E187" s="13">
        <v>1500.0</v>
      </c>
      <c r="F187" s="13">
        <v>1500.0</v>
      </c>
      <c r="G187" s="14">
        <f t="shared" si="2"/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>
      <c r="A188" s="8"/>
      <c r="B188" s="10"/>
      <c r="C188" s="11" t="s">
        <v>38</v>
      </c>
      <c r="D188" s="12" t="s">
        <v>39</v>
      </c>
      <c r="E188" s="13">
        <v>110.0</v>
      </c>
      <c r="F188" s="13">
        <v>110.0</v>
      </c>
      <c r="G188" s="14">
        <f t="shared" si="2"/>
        <v>0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>
      <c r="A189" s="8"/>
      <c r="B189" s="10"/>
      <c r="C189" s="11" t="s">
        <v>28</v>
      </c>
      <c r="D189" s="12" t="s">
        <v>29</v>
      </c>
      <c r="E189" s="13">
        <v>18000.0</v>
      </c>
      <c r="F189" s="13">
        <v>18000.0</v>
      </c>
      <c r="G189" s="14">
        <f t="shared" si="2"/>
        <v>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>
      <c r="A190" s="8"/>
      <c r="B190" s="10"/>
      <c r="C190" s="11" t="s">
        <v>49</v>
      </c>
      <c r="D190" s="51" t="s">
        <v>31</v>
      </c>
      <c r="E190" s="13">
        <v>25500.0</v>
      </c>
      <c r="F190" s="13">
        <v>25500.0</v>
      </c>
      <c r="G190" s="14">
        <f t="shared" si="2"/>
        <v>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>
      <c r="A191" s="8"/>
      <c r="B191" s="10"/>
      <c r="C191" s="11" t="s">
        <v>50</v>
      </c>
      <c r="D191" s="12" t="s">
        <v>46</v>
      </c>
      <c r="E191" s="13">
        <v>4100.0</v>
      </c>
      <c r="F191" s="13">
        <v>4100.0</v>
      </c>
      <c r="G191" s="14">
        <f t="shared" si="2"/>
        <v>0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>
      <c r="A192" s="8"/>
      <c r="B192" s="10"/>
      <c r="C192" s="11" t="s">
        <v>51</v>
      </c>
      <c r="D192" s="12" t="s">
        <v>33</v>
      </c>
      <c r="E192" s="13">
        <v>8000.0</v>
      </c>
      <c r="F192" s="13">
        <v>8000.0</v>
      </c>
      <c r="G192" s="14">
        <f t="shared" si="2"/>
        <v>0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>
      <c r="A193" s="8"/>
      <c r="B193" s="10"/>
      <c r="C193" s="11" t="s">
        <v>52</v>
      </c>
      <c r="D193" s="12" t="s">
        <v>29</v>
      </c>
      <c r="E193" s="13">
        <v>11500.0</v>
      </c>
      <c r="F193" s="13">
        <v>11500.0</v>
      </c>
      <c r="G193" s="14">
        <f t="shared" si="2"/>
        <v>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>
      <c r="A194" s="8"/>
      <c r="B194" s="10"/>
      <c r="C194" s="11" t="s">
        <v>30</v>
      </c>
      <c r="D194" s="12" t="s">
        <v>31</v>
      </c>
      <c r="E194" s="13">
        <v>80000.0</v>
      </c>
      <c r="F194" s="13">
        <v>80000.0</v>
      </c>
      <c r="G194" s="14">
        <f t="shared" si="2"/>
        <v>0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>
      <c r="A195" s="8"/>
      <c r="B195" s="10"/>
      <c r="C195" s="11" t="s">
        <v>32</v>
      </c>
      <c r="D195" s="12" t="s">
        <v>33</v>
      </c>
      <c r="E195" s="13">
        <v>25000.0</v>
      </c>
      <c r="F195" s="13">
        <v>25000.0</v>
      </c>
      <c r="G195" s="14">
        <f t="shared" si="2"/>
        <v>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>
      <c r="A196" s="8"/>
      <c r="B196" s="10"/>
      <c r="C196" s="11" t="s">
        <v>34</v>
      </c>
      <c r="D196" s="12" t="s">
        <v>29</v>
      </c>
      <c r="E196" s="13">
        <v>31500.0</v>
      </c>
      <c r="F196" s="13">
        <v>31500.0</v>
      </c>
      <c r="G196" s="14">
        <f t="shared" si="2"/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>
      <c r="A197" s="8"/>
      <c r="B197" s="32">
        <v>2310.0</v>
      </c>
      <c r="E197" s="33">
        <v>256310.0</v>
      </c>
      <c r="F197" s="33">
        <f>SUM(F183:F196)</f>
        <v>256310</v>
      </c>
      <c r="G197" s="14">
        <f t="shared" si="2"/>
        <v>0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>
      <c r="A198" s="8"/>
      <c r="B198" s="10"/>
      <c r="C198" s="11"/>
      <c r="D198" s="12"/>
      <c r="E198" s="13"/>
      <c r="F198" s="13"/>
      <c r="G198" s="14" t="str">
        <f t="shared" si="2"/>
        <v/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>
      <c r="A199" s="8"/>
      <c r="B199" s="44">
        <v>2311.0</v>
      </c>
      <c r="C199" s="45"/>
      <c r="D199" s="46" t="s">
        <v>75</v>
      </c>
      <c r="E199" s="47">
        <v>2025.0</v>
      </c>
      <c r="F199" s="48">
        <v>2026.0</v>
      </c>
      <c r="G199" s="14">
        <f t="shared" si="2"/>
        <v>0.0004938271605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>
      <c r="A200" s="8"/>
      <c r="B200" s="10"/>
      <c r="C200" s="11" t="s">
        <v>41</v>
      </c>
      <c r="D200" s="12" t="s">
        <v>42</v>
      </c>
      <c r="E200" s="13">
        <v>14500.0</v>
      </c>
      <c r="F200" s="13">
        <v>14500.0</v>
      </c>
      <c r="G200" s="14">
        <f t="shared" si="2"/>
        <v>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>
      <c r="A201" s="8"/>
      <c r="B201" s="10"/>
      <c r="C201" s="11" t="s">
        <v>36</v>
      </c>
      <c r="D201" s="12" t="s">
        <v>37</v>
      </c>
      <c r="E201" s="13">
        <v>78500.0</v>
      </c>
      <c r="F201" s="13">
        <f>36000+42500</f>
        <v>78500</v>
      </c>
      <c r="G201" s="14">
        <f t="shared" si="2"/>
        <v>0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>
      <c r="A202" s="8"/>
      <c r="B202" s="10"/>
      <c r="C202" s="11" t="s">
        <v>20</v>
      </c>
      <c r="D202" s="12" t="s">
        <v>21</v>
      </c>
      <c r="E202" s="13">
        <v>14400.0</v>
      </c>
      <c r="F202" s="13">
        <v>14400.0</v>
      </c>
      <c r="G202" s="14">
        <f t="shared" si="2"/>
        <v>0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>
      <c r="A203" s="8"/>
      <c r="B203" s="10"/>
      <c r="C203" s="11" t="s">
        <v>22</v>
      </c>
      <c r="D203" s="12" t="s">
        <v>23</v>
      </c>
      <c r="E203" s="13">
        <v>30762.5</v>
      </c>
      <c r="F203" s="13">
        <f>17000+13762.5</f>
        <v>30762.5</v>
      </c>
      <c r="G203" s="14">
        <f t="shared" si="2"/>
        <v>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>
      <c r="A204" s="8"/>
      <c r="B204" s="10"/>
      <c r="C204" s="11" t="s">
        <v>24</v>
      </c>
      <c r="D204" s="12" t="s">
        <v>25</v>
      </c>
      <c r="E204" s="13">
        <v>34750.0</v>
      </c>
      <c r="F204" s="13">
        <f>18500+16250</f>
        <v>34750</v>
      </c>
      <c r="G204" s="14">
        <f t="shared" si="2"/>
        <v>0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>
      <c r="A205" s="8"/>
      <c r="B205" s="10"/>
      <c r="C205" s="11" t="s">
        <v>26</v>
      </c>
      <c r="D205" s="12" t="s">
        <v>27</v>
      </c>
      <c r="E205" s="13">
        <v>3725.0</v>
      </c>
      <c r="F205" s="13">
        <f>2100+1625</f>
        <v>3725</v>
      </c>
      <c r="G205" s="14">
        <f t="shared" si="2"/>
        <v>0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>
      <c r="A206" s="8"/>
      <c r="B206" s="10"/>
      <c r="C206" s="11" t="s">
        <v>38</v>
      </c>
      <c r="D206" s="12" t="s">
        <v>39</v>
      </c>
      <c r="E206" s="13">
        <v>5000.0</v>
      </c>
      <c r="F206" s="13">
        <v>5000.0</v>
      </c>
      <c r="G206" s="14">
        <f t="shared" si="2"/>
        <v>0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>
      <c r="A207" s="8"/>
      <c r="B207" s="10"/>
      <c r="C207" s="11" t="s">
        <v>28</v>
      </c>
      <c r="D207" s="12" t="s">
        <v>29</v>
      </c>
      <c r="E207" s="13">
        <v>50250.0</v>
      </c>
      <c r="F207" s="13">
        <f>26500+23750</f>
        <v>50250</v>
      </c>
      <c r="G207" s="14">
        <f t="shared" si="2"/>
        <v>0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>
      <c r="A208" s="8"/>
      <c r="B208" s="10"/>
      <c r="C208" s="11" t="s">
        <v>49</v>
      </c>
      <c r="D208" s="51" t="s">
        <v>31</v>
      </c>
      <c r="E208" s="13">
        <v>51000.0</v>
      </c>
      <c r="F208" s="13">
        <v>51000.0</v>
      </c>
      <c r="G208" s="14">
        <f t="shared" si="2"/>
        <v>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>
      <c r="A209" s="8"/>
      <c r="B209" s="10"/>
      <c r="C209" s="11" t="s">
        <v>50</v>
      </c>
      <c r="D209" s="12" t="s">
        <v>46</v>
      </c>
      <c r="E209" s="13">
        <v>10000.0</v>
      </c>
      <c r="F209" s="13">
        <v>10000.0</v>
      </c>
      <c r="G209" s="14">
        <f t="shared" si="2"/>
        <v>0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>
      <c r="A210" s="8"/>
      <c r="B210" s="10"/>
      <c r="C210" s="11" t="s">
        <v>51</v>
      </c>
      <c r="D210" s="12" t="s">
        <v>33</v>
      </c>
      <c r="E210" s="13">
        <v>14000.0</v>
      </c>
      <c r="F210" s="13">
        <v>14000.0</v>
      </c>
      <c r="G210" s="14">
        <f t="shared" si="2"/>
        <v>0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>
      <c r="A211" s="8"/>
      <c r="B211" s="10"/>
      <c r="C211" s="11" t="s">
        <v>52</v>
      </c>
      <c r="D211" s="12" t="s">
        <v>29</v>
      </c>
      <c r="E211" s="13">
        <v>20000.0</v>
      </c>
      <c r="F211" s="13">
        <v>20000.0</v>
      </c>
      <c r="G211" s="14">
        <f t="shared" si="2"/>
        <v>0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>
      <c r="A212" s="8"/>
      <c r="B212" s="10"/>
      <c r="C212" s="11" t="s">
        <v>30</v>
      </c>
      <c r="D212" s="12" t="s">
        <v>31</v>
      </c>
      <c r="E212" s="13">
        <v>930000.0</v>
      </c>
      <c r="F212" s="13">
        <v>930000.0</v>
      </c>
      <c r="G212" s="14">
        <f t="shared" si="2"/>
        <v>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>
      <c r="A213" s="8"/>
      <c r="B213" s="10"/>
      <c r="C213" s="11" t="s">
        <v>32</v>
      </c>
      <c r="D213" s="12" t="s">
        <v>33</v>
      </c>
      <c r="E213" s="13">
        <v>260000.0</v>
      </c>
      <c r="F213" s="13">
        <v>260000.0</v>
      </c>
      <c r="G213" s="14">
        <f t="shared" si="2"/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>
      <c r="A214" s="8"/>
      <c r="B214" s="10"/>
      <c r="C214" s="11" t="s">
        <v>34</v>
      </c>
      <c r="D214" s="12" t="s">
        <v>29</v>
      </c>
      <c r="E214" s="13">
        <v>343000.0</v>
      </c>
      <c r="F214" s="13">
        <v>343000.0</v>
      </c>
      <c r="G214" s="14">
        <f t="shared" si="2"/>
        <v>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>
      <c r="A215" s="8"/>
      <c r="B215" s="32">
        <v>2311.0</v>
      </c>
      <c r="E215" s="33">
        <v>1859887.5</v>
      </c>
      <c r="F215" s="33">
        <f>SUM(F200:F214)</f>
        <v>1859887.5</v>
      </c>
      <c r="G215" s="14">
        <f t="shared" si="2"/>
        <v>0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>
      <c r="A216" s="8"/>
      <c r="B216" s="10"/>
      <c r="C216" s="11"/>
      <c r="D216" s="12"/>
      <c r="E216" s="13"/>
      <c r="F216" s="13"/>
      <c r="G216" s="14" t="str">
        <f t="shared" si="2"/>
        <v/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>
      <c r="A217" s="8"/>
      <c r="B217" s="44">
        <v>2411.0</v>
      </c>
      <c r="C217" s="45"/>
      <c r="D217" s="37" t="s">
        <v>76</v>
      </c>
      <c r="E217" s="47">
        <v>2025.0</v>
      </c>
      <c r="F217" s="48">
        <v>2026.0</v>
      </c>
      <c r="G217" s="14">
        <f t="shared" si="2"/>
        <v>0.0004938271605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>
      <c r="A218" s="8"/>
      <c r="B218" s="10"/>
      <c r="C218" s="11" t="s">
        <v>30</v>
      </c>
      <c r="D218" s="12" t="s">
        <v>31</v>
      </c>
      <c r="E218" s="13">
        <v>150000.0</v>
      </c>
      <c r="F218" s="60">
        <v>200000.0</v>
      </c>
      <c r="G218" s="14">
        <f t="shared" si="2"/>
        <v>0.3333333333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>
      <c r="A219" s="8"/>
      <c r="B219" s="10"/>
      <c r="C219" s="11" t="s">
        <v>34</v>
      </c>
      <c r="D219" s="12" t="s">
        <v>29</v>
      </c>
      <c r="E219" s="13">
        <v>79000.0</v>
      </c>
      <c r="F219" s="60">
        <v>90000.0</v>
      </c>
      <c r="G219" s="14">
        <f t="shared" si="2"/>
        <v>0.1392405063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>
      <c r="A220" s="8"/>
      <c r="B220" s="32">
        <v>2411.0</v>
      </c>
      <c r="E220" s="33">
        <v>229000.0</v>
      </c>
      <c r="F220" s="33">
        <f>SUM(F218:F219)</f>
        <v>290000</v>
      </c>
      <c r="G220" s="14">
        <f t="shared" si="2"/>
        <v>0.2663755459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>
      <c r="A221" s="8"/>
      <c r="B221" s="10"/>
      <c r="C221" s="11"/>
      <c r="D221" s="12"/>
      <c r="E221" s="13"/>
      <c r="F221" s="13"/>
      <c r="G221" s="14" t="str">
        <f t="shared" si="2"/>
        <v/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>
      <c r="A222" s="8"/>
      <c r="B222" s="44">
        <v>3200.0</v>
      </c>
      <c r="C222" s="45"/>
      <c r="D222" s="37" t="s">
        <v>77</v>
      </c>
      <c r="E222" s="47">
        <v>2025.0</v>
      </c>
      <c r="F222" s="48">
        <v>2026.0</v>
      </c>
      <c r="G222" s="14">
        <f t="shared" si="2"/>
        <v>0.0004938271605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>
      <c r="A223" s="8"/>
      <c r="B223" s="10"/>
      <c r="C223" s="11" t="s">
        <v>16</v>
      </c>
      <c r="D223" s="12" t="s">
        <v>17</v>
      </c>
      <c r="E223" s="13">
        <v>15300.0</v>
      </c>
      <c r="F223" s="13">
        <v>15300.0</v>
      </c>
      <c r="G223" s="14">
        <f t="shared" si="2"/>
        <v>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>
      <c r="A224" s="8"/>
      <c r="B224" s="10"/>
      <c r="C224" s="11" t="s">
        <v>20</v>
      </c>
      <c r="D224" s="12" t="s">
        <v>21</v>
      </c>
      <c r="E224" s="13">
        <v>4050.0</v>
      </c>
      <c r="F224" s="13">
        <v>4050.0</v>
      </c>
      <c r="G224" s="14">
        <f t="shared" si="2"/>
        <v>0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>
      <c r="A225" s="8"/>
      <c r="B225" s="10"/>
      <c r="C225" s="11" t="s">
        <v>22</v>
      </c>
      <c r="D225" s="12" t="s">
        <v>23</v>
      </c>
      <c r="E225" s="13">
        <v>6500.0</v>
      </c>
      <c r="F225" s="13">
        <v>6500.0</v>
      </c>
      <c r="G225" s="14">
        <f t="shared" si="2"/>
        <v>0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>
      <c r="A226" s="8"/>
      <c r="B226" s="10"/>
      <c r="C226" s="11" t="s">
        <v>24</v>
      </c>
      <c r="D226" s="12" t="s">
        <v>25</v>
      </c>
      <c r="E226" s="13">
        <v>11000.0</v>
      </c>
      <c r="F226" s="13">
        <v>11000.0</v>
      </c>
      <c r="G226" s="14">
        <f t="shared" si="2"/>
        <v>0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>
      <c r="A227" s="8"/>
      <c r="B227" s="10"/>
      <c r="C227" s="11" t="s">
        <v>49</v>
      </c>
      <c r="D227" s="51" t="s">
        <v>31</v>
      </c>
      <c r="E227" s="13">
        <v>37000.0</v>
      </c>
      <c r="F227" s="13">
        <v>37000.0</v>
      </c>
      <c r="G227" s="14">
        <f t="shared" si="2"/>
        <v>0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>
      <c r="A228" s="8"/>
      <c r="B228" s="10"/>
      <c r="C228" s="11" t="s">
        <v>50</v>
      </c>
      <c r="D228" s="12" t="s">
        <v>46</v>
      </c>
      <c r="E228" s="13">
        <v>1500.0</v>
      </c>
      <c r="F228" s="13">
        <v>1500.0</v>
      </c>
      <c r="G228" s="14">
        <f t="shared" si="2"/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>
      <c r="A229" s="8"/>
      <c r="B229" s="10"/>
      <c r="C229" s="11" t="s">
        <v>51</v>
      </c>
      <c r="D229" s="12" t="s">
        <v>33</v>
      </c>
      <c r="E229" s="13">
        <v>11000.0</v>
      </c>
      <c r="F229" s="13">
        <v>11000.0</v>
      </c>
      <c r="G229" s="14">
        <f t="shared" si="2"/>
        <v>0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>
      <c r="A230" s="8"/>
      <c r="B230" s="10"/>
      <c r="C230" s="11" t="s">
        <v>30</v>
      </c>
      <c r="D230" s="12" t="s">
        <v>31</v>
      </c>
      <c r="E230" s="13">
        <v>56000.0</v>
      </c>
      <c r="F230" s="13">
        <v>56000.0</v>
      </c>
      <c r="G230" s="14">
        <f t="shared" si="2"/>
        <v>0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>
      <c r="A231" s="8"/>
      <c r="B231" s="10"/>
      <c r="C231" s="11" t="s">
        <v>32</v>
      </c>
      <c r="D231" s="12" t="s">
        <v>33</v>
      </c>
      <c r="E231" s="13">
        <v>16000.0</v>
      </c>
      <c r="F231" s="13">
        <v>16000.0</v>
      </c>
      <c r="G231" s="14">
        <f t="shared" si="2"/>
        <v>0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>
      <c r="A232" s="8"/>
      <c r="B232" s="10"/>
      <c r="C232" s="11" t="s">
        <v>26</v>
      </c>
      <c r="D232" s="12" t="s">
        <v>27</v>
      </c>
      <c r="E232" s="13">
        <v>670.0</v>
      </c>
      <c r="F232" s="13">
        <v>670.0</v>
      </c>
      <c r="G232" s="14">
        <f t="shared" si="2"/>
        <v>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>
      <c r="A233" s="8"/>
      <c r="B233" s="10"/>
      <c r="C233" s="11" t="s">
        <v>38</v>
      </c>
      <c r="D233" s="12" t="s">
        <v>39</v>
      </c>
      <c r="E233" s="13">
        <v>2000.0</v>
      </c>
      <c r="F233" s="13">
        <v>2000.0</v>
      </c>
      <c r="G233" s="14">
        <f t="shared" si="2"/>
        <v>0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>
      <c r="A234" s="8"/>
      <c r="B234" s="10"/>
      <c r="C234" s="11" t="s">
        <v>28</v>
      </c>
      <c r="D234" s="12" t="s">
        <v>29</v>
      </c>
      <c r="E234" s="13">
        <v>10200.0</v>
      </c>
      <c r="F234" s="13">
        <v>10200.0</v>
      </c>
      <c r="G234" s="14">
        <f t="shared" si="2"/>
        <v>0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>
      <c r="A235" s="8"/>
      <c r="B235" s="10"/>
      <c r="C235" s="11" t="s">
        <v>52</v>
      </c>
      <c r="D235" s="12" t="s">
        <v>29</v>
      </c>
      <c r="E235" s="13">
        <v>13500.0</v>
      </c>
      <c r="F235" s="13">
        <v>13500.0</v>
      </c>
      <c r="G235" s="14">
        <f t="shared" si="2"/>
        <v>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>
      <c r="A236" s="8"/>
      <c r="B236" s="10"/>
      <c r="C236" s="11" t="s">
        <v>34</v>
      </c>
      <c r="D236" s="12" t="s">
        <v>29</v>
      </c>
      <c r="E236" s="13">
        <v>20000.0</v>
      </c>
      <c r="F236" s="13">
        <v>20000.0</v>
      </c>
      <c r="G236" s="14">
        <f t="shared" si="2"/>
        <v>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>
      <c r="A237" s="8"/>
      <c r="B237" s="32">
        <v>3200.0</v>
      </c>
      <c r="E237" s="33">
        <v>204720.0</v>
      </c>
      <c r="F237" s="33">
        <f>SUM(F223:F236)</f>
        <v>204720</v>
      </c>
      <c r="G237" s="14">
        <f t="shared" si="2"/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>
      <c r="A238" s="8"/>
      <c r="B238" s="32"/>
      <c r="C238" s="61"/>
      <c r="D238" s="12"/>
      <c r="E238" s="43"/>
      <c r="F238" s="43"/>
      <c r="G238" s="14" t="str">
        <f t="shared" si="2"/>
        <v/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>
      <c r="A239" s="8"/>
      <c r="B239" s="44">
        <v>3261.0</v>
      </c>
      <c r="C239" s="45"/>
      <c r="D239" s="37" t="s">
        <v>78</v>
      </c>
      <c r="E239" s="47">
        <v>2025.0</v>
      </c>
      <c r="F239" s="48">
        <v>2026.0</v>
      </c>
      <c r="G239" s="14">
        <f t="shared" si="2"/>
        <v>0.0004938271605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>
      <c r="A240" s="8"/>
      <c r="B240" s="10"/>
      <c r="C240" s="11" t="s">
        <v>30</v>
      </c>
      <c r="D240" s="12" t="s">
        <v>31</v>
      </c>
      <c r="E240" s="13">
        <v>360000.0</v>
      </c>
      <c r="F240" s="13">
        <v>360000.0</v>
      </c>
      <c r="G240" s="14">
        <f t="shared" si="2"/>
        <v>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>
      <c r="A241" s="8"/>
      <c r="B241" s="10"/>
      <c r="C241" s="11" t="s">
        <v>45</v>
      </c>
      <c r="D241" s="12" t="s">
        <v>46</v>
      </c>
      <c r="E241" s="13">
        <v>2100.0</v>
      </c>
      <c r="F241" s="13">
        <v>2100.0</v>
      </c>
      <c r="G241" s="14">
        <f t="shared" si="2"/>
        <v>0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>
      <c r="A242" s="8"/>
      <c r="B242" s="10"/>
      <c r="C242" s="11" t="s">
        <v>32</v>
      </c>
      <c r="D242" s="12" t="s">
        <v>33</v>
      </c>
      <c r="E242" s="13">
        <v>35000.0</v>
      </c>
      <c r="F242" s="13">
        <v>35000.0</v>
      </c>
      <c r="G242" s="14">
        <f t="shared" si="2"/>
        <v>0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>
      <c r="A243" s="8"/>
      <c r="B243" s="10"/>
      <c r="C243" s="11" t="s">
        <v>34</v>
      </c>
      <c r="D243" s="12" t="s">
        <v>29</v>
      </c>
      <c r="E243" s="13">
        <v>130000.0</v>
      </c>
      <c r="F243" s="13">
        <v>130000.0</v>
      </c>
      <c r="G243" s="14">
        <f t="shared" si="2"/>
        <v>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>
      <c r="A244" s="8"/>
      <c r="B244" s="32">
        <v>3261.0</v>
      </c>
      <c r="E244" s="33">
        <v>527100.0</v>
      </c>
      <c r="F244" s="33">
        <f>SUM(F240:F243)</f>
        <v>527100</v>
      </c>
      <c r="G244" s="14">
        <f t="shared" si="2"/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>
      <c r="A245" s="8"/>
      <c r="B245" s="32"/>
      <c r="C245" s="61"/>
      <c r="D245" s="12"/>
      <c r="E245" s="43"/>
      <c r="F245" s="43"/>
      <c r="G245" s="14" t="str">
        <f t="shared" si="2"/>
        <v/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>
      <c r="A246" s="8"/>
      <c r="B246" s="44">
        <v>3262.0</v>
      </c>
      <c r="C246" s="45"/>
      <c r="D246" s="46" t="s">
        <v>79</v>
      </c>
      <c r="E246" s="47">
        <v>2025.0</v>
      </c>
      <c r="F246" s="48">
        <v>2026.0</v>
      </c>
      <c r="G246" s="14">
        <f t="shared" si="2"/>
        <v>0.0004938271605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>
      <c r="A247" s="8"/>
      <c r="B247" s="10"/>
      <c r="C247" s="11" t="s">
        <v>30</v>
      </c>
      <c r="D247" s="51" t="s">
        <v>31</v>
      </c>
      <c r="E247" s="13">
        <v>99000.0</v>
      </c>
      <c r="F247" s="13">
        <v>99000.0</v>
      </c>
      <c r="G247" s="14">
        <f t="shared" si="2"/>
        <v>0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>
      <c r="A248" s="8"/>
      <c r="B248" s="10"/>
      <c r="C248" s="11" t="s">
        <v>45</v>
      </c>
      <c r="D248" s="51" t="s">
        <v>46</v>
      </c>
      <c r="E248" s="13">
        <v>6000.0</v>
      </c>
      <c r="F248" s="13">
        <v>6000.0</v>
      </c>
      <c r="G248" s="14">
        <f t="shared" si="2"/>
        <v>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>
      <c r="A249" s="8"/>
      <c r="B249" s="10"/>
      <c r="C249" s="11" t="s">
        <v>32</v>
      </c>
      <c r="D249" s="51" t="s">
        <v>33</v>
      </c>
      <c r="E249" s="13">
        <v>27000.0</v>
      </c>
      <c r="F249" s="13">
        <v>27000.0</v>
      </c>
      <c r="G249" s="14">
        <f t="shared" si="2"/>
        <v>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>
      <c r="A250" s="8"/>
      <c r="B250" s="10"/>
      <c r="C250" s="11" t="s">
        <v>34</v>
      </c>
      <c r="D250" s="51" t="s">
        <v>29</v>
      </c>
      <c r="E250" s="13">
        <v>36000.0</v>
      </c>
      <c r="F250" s="13">
        <v>36000.0</v>
      </c>
      <c r="G250" s="14">
        <f t="shared" si="2"/>
        <v>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>
      <c r="A251" s="8"/>
      <c r="B251" s="32">
        <v>3262.0</v>
      </c>
      <c r="E251" s="33">
        <v>168000.0</v>
      </c>
      <c r="F251" s="33">
        <f>SUM(F247:F250)</f>
        <v>168000</v>
      </c>
      <c r="G251" s="14">
        <f t="shared" si="2"/>
        <v>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>
      <c r="A252" s="8"/>
      <c r="B252" s="32"/>
      <c r="C252" s="61"/>
      <c r="D252" s="12"/>
      <c r="E252" s="43"/>
      <c r="F252" s="43"/>
      <c r="G252" s="14" t="str">
        <f t="shared" si="2"/>
        <v/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>
      <c r="A253" s="8"/>
      <c r="B253" s="44">
        <v>3300.0</v>
      </c>
      <c r="C253" s="45"/>
      <c r="D253" s="37" t="s">
        <v>80</v>
      </c>
      <c r="E253" s="47">
        <v>2025.0</v>
      </c>
      <c r="F253" s="48">
        <v>2026.0</v>
      </c>
      <c r="G253" s="14">
        <f t="shared" si="2"/>
        <v>0.0004938271605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8"/>
      <c r="B254" s="10"/>
      <c r="C254" s="11" t="s">
        <v>16</v>
      </c>
      <c r="D254" s="12" t="s">
        <v>17</v>
      </c>
      <c r="E254" s="13">
        <v>16100.0</v>
      </c>
      <c r="F254" s="13">
        <v>16100.0</v>
      </c>
      <c r="G254" s="14">
        <f t="shared" si="2"/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8"/>
      <c r="B255" s="10"/>
      <c r="C255" s="11" t="s">
        <v>20</v>
      </c>
      <c r="D255" s="12" t="s">
        <v>21</v>
      </c>
      <c r="E255" s="13">
        <v>2850.0</v>
      </c>
      <c r="F255" s="13">
        <v>2850.0</v>
      </c>
      <c r="G255" s="14">
        <f t="shared" si="2"/>
        <v>0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8"/>
      <c r="B256" s="10"/>
      <c r="C256" s="11" t="s">
        <v>22</v>
      </c>
      <c r="D256" s="12" t="s">
        <v>23</v>
      </c>
      <c r="E256" s="13">
        <v>6400.0</v>
      </c>
      <c r="F256" s="13">
        <v>6400.0</v>
      </c>
      <c r="G256" s="14">
        <f t="shared" si="2"/>
        <v>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>
      <c r="A257" s="8"/>
      <c r="B257" s="10"/>
      <c r="C257" s="11" t="s">
        <v>24</v>
      </c>
      <c r="D257" s="12" t="s">
        <v>25</v>
      </c>
      <c r="E257" s="13">
        <v>16800.0</v>
      </c>
      <c r="F257" s="13">
        <v>16800.0</v>
      </c>
      <c r="G257" s="14">
        <f t="shared" si="2"/>
        <v>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>
      <c r="A258" s="8"/>
      <c r="B258" s="10"/>
      <c r="C258" s="11" t="s">
        <v>26</v>
      </c>
      <c r="D258" s="12" t="s">
        <v>27</v>
      </c>
      <c r="E258" s="13">
        <v>680.0</v>
      </c>
      <c r="F258" s="13">
        <v>680.0</v>
      </c>
      <c r="G258" s="14">
        <f t="shared" si="2"/>
        <v>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>
      <c r="A259" s="8"/>
      <c r="B259" s="10"/>
      <c r="C259" s="11" t="s">
        <v>28</v>
      </c>
      <c r="D259" s="12" t="s">
        <v>29</v>
      </c>
      <c r="E259" s="13">
        <v>13600.0</v>
      </c>
      <c r="F259" s="13">
        <v>13600.0</v>
      </c>
      <c r="G259" s="14">
        <f t="shared" si="2"/>
        <v>0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>
      <c r="A260" s="8"/>
      <c r="B260" s="10"/>
      <c r="C260" s="11" t="s">
        <v>30</v>
      </c>
      <c r="D260" s="51" t="s">
        <v>31</v>
      </c>
      <c r="E260" s="13">
        <v>57500.0</v>
      </c>
      <c r="F260" s="13">
        <v>57500.0</v>
      </c>
      <c r="G260" s="14">
        <f t="shared" si="2"/>
        <v>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>
      <c r="A261" s="8"/>
      <c r="B261" s="10"/>
      <c r="C261" s="11" t="s">
        <v>45</v>
      </c>
      <c r="D261" s="51" t="s">
        <v>46</v>
      </c>
      <c r="E261" s="13">
        <v>5200.0</v>
      </c>
      <c r="F261" s="13">
        <v>5200.0</v>
      </c>
      <c r="G261" s="14">
        <f t="shared" si="2"/>
        <v>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>
      <c r="A262" s="8"/>
      <c r="B262" s="10"/>
      <c r="C262" s="11" t="s">
        <v>32</v>
      </c>
      <c r="D262" s="51" t="s">
        <v>33</v>
      </c>
      <c r="E262" s="13">
        <v>16300.0</v>
      </c>
      <c r="F262" s="13">
        <v>16300.0</v>
      </c>
      <c r="G262" s="14">
        <f t="shared" si="2"/>
        <v>0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>
      <c r="A263" s="8"/>
      <c r="B263" s="10"/>
      <c r="C263" s="11" t="s">
        <v>38</v>
      </c>
      <c r="D263" s="51" t="s">
        <v>39</v>
      </c>
      <c r="E263" s="13">
        <v>3000.0</v>
      </c>
      <c r="F263" s="13">
        <v>3000.0</v>
      </c>
      <c r="G263" s="14">
        <f t="shared" si="2"/>
        <v>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>
      <c r="A264" s="8"/>
      <c r="B264" s="10"/>
      <c r="C264" s="11" t="s">
        <v>34</v>
      </c>
      <c r="D264" s="51" t="s">
        <v>29</v>
      </c>
      <c r="E264" s="13">
        <v>23000.0</v>
      </c>
      <c r="F264" s="13">
        <v>23000.0</v>
      </c>
      <c r="G264" s="14">
        <f t="shared" si="2"/>
        <v>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>
      <c r="A265" s="8"/>
      <c r="B265" s="32">
        <v>3300.0</v>
      </c>
      <c r="E265" s="33">
        <v>161430.0</v>
      </c>
      <c r="F265" s="33">
        <f>SUM(F254:F264)</f>
        <v>161430</v>
      </c>
      <c r="G265" s="14">
        <f t="shared" si="2"/>
        <v>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>
      <c r="A266" s="8"/>
      <c r="B266" s="10"/>
      <c r="C266" s="11"/>
      <c r="D266" s="12"/>
      <c r="E266" s="13"/>
      <c r="F266" s="13"/>
      <c r="G266" s="14" t="str">
        <f t="shared" si="2"/>
        <v/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>
      <c r="A267" s="8"/>
      <c r="B267" s="44">
        <v>3321.0</v>
      </c>
      <c r="C267" s="45"/>
      <c r="D267" s="46" t="s">
        <v>81</v>
      </c>
      <c r="E267" s="47">
        <v>2025.0</v>
      </c>
      <c r="F267" s="48">
        <v>2026.0</v>
      </c>
      <c r="G267" s="14">
        <f t="shared" si="2"/>
        <v>0.0004938271605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>
      <c r="A268" s="8"/>
      <c r="B268" s="10"/>
      <c r="C268" s="11" t="s">
        <v>41</v>
      </c>
      <c r="D268" s="12" t="s">
        <v>42</v>
      </c>
      <c r="E268" s="13">
        <v>21100.0</v>
      </c>
      <c r="F268" s="13">
        <v>21100.0</v>
      </c>
      <c r="G268" s="14">
        <f t="shared" si="2"/>
        <v>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>
      <c r="A269" s="8"/>
      <c r="B269" s="10"/>
      <c r="C269" s="11" t="s">
        <v>16</v>
      </c>
      <c r="D269" s="12" t="s">
        <v>17</v>
      </c>
      <c r="E269" s="13">
        <v>30000.0</v>
      </c>
      <c r="F269" s="13">
        <v>30000.0</v>
      </c>
      <c r="G269" s="14">
        <f t="shared" si="2"/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>
      <c r="A270" s="8"/>
      <c r="B270" s="10"/>
      <c r="C270" s="11" t="s">
        <v>18</v>
      </c>
      <c r="D270" s="12" t="s">
        <v>19</v>
      </c>
      <c r="E270" s="13">
        <v>48000.0</v>
      </c>
      <c r="F270" s="13">
        <v>48000.0</v>
      </c>
      <c r="G270" s="14">
        <f t="shared" si="2"/>
        <v>0</v>
      </c>
      <c r="H270" s="49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>
      <c r="A271" s="8"/>
      <c r="B271" s="10"/>
      <c r="C271" s="11" t="s">
        <v>20</v>
      </c>
      <c r="D271" s="12" t="s">
        <v>21</v>
      </c>
      <c r="E271" s="13">
        <v>17100.0</v>
      </c>
      <c r="F271" s="13">
        <v>17100.0</v>
      </c>
      <c r="G271" s="14">
        <f t="shared" si="2"/>
        <v>0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>
      <c r="A272" s="8"/>
      <c r="B272" s="10"/>
      <c r="C272" s="11" t="s">
        <v>22</v>
      </c>
      <c r="D272" s="12" t="s">
        <v>23</v>
      </c>
      <c r="E272" s="13">
        <v>41000.0</v>
      </c>
      <c r="F272" s="13">
        <v>41000.0</v>
      </c>
      <c r="G272" s="14">
        <f t="shared" si="2"/>
        <v>0</v>
      </c>
      <c r="H272" s="49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>
      <c r="A273" s="8"/>
      <c r="B273" s="10"/>
      <c r="C273" s="11" t="s">
        <v>24</v>
      </c>
      <c r="D273" s="12" t="s">
        <v>25</v>
      </c>
      <c r="E273" s="13">
        <v>48000.0</v>
      </c>
      <c r="F273" s="13">
        <v>48000.0</v>
      </c>
      <c r="G273" s="14">
        <f t="shared" si="2"/>
        <v>0</v>
      </c>
      <c r="H273" s="49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>
      <c r="A274" s="8"/>
      <c r="B274" s="10"/>
      <c r="C274" s="11" t="s">
        <v>26</v>
      </c>
      <c r="D274" s="12" t="s">
        <v>27</v>
      </c>
      <c r="E274" s="13">
        <v>5000.0</v>
      </c>
      <c r="F274" s="13">
        <v>5000.0</v>
      </c>
      <c r="G274" s="14">
        <f t="shared" si="2"/>
        <v>0</v>
      </c>
      <c r="H274" s="49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>
      <c r="A275" s="8"/>
      <c r="B275" s="10"/>
      <c r="C275" s="11" t="s">
        <v>38</v>
      </c>
      <c r="D275" s="12" t="s">
        <v>39</v>
      </c>
      <c r="E275" s="13">
        <v>3000.0</v>
      </c>
      <c r="F275" s="13">
        <v>3000.0</v>
      </c>
      <c r="G275" s="14">
        <f t="shared" si="2"/>
        <v>0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>
      <c r="A276" s="8"/>
      <c r="B276" s="10"/>
      <c r="C276" s="11" t="s">
        <v>28</v>
      </c>
      <c r="D276" s="12" t="s">
        <v>29</v>
      </c>
      <c r="E276" s="13">
        <v>62000.0</v>
      </c>
      <c r="F276" s="13">
        <v>62000.0</v>
      </c>
      <c r="G276" s="14">
        <f t="shared" si="2"/>
        <v>0</v>
      </c>
      <c r="H276" s="49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>
      <c r="A277" s="8"/>
      <c r="B277" s="10"/>
      <c r="C277" s="11" t="s">
        <v>30</v>
      </c>
      <c r="D277" s="12" t="s">
        <v>31</v>
      </c>
      <c r="E277" s="13">
        <v>39265.0</v>
      </c>
      <c r="F277" s="13">
        <v>39265.0</v>
      </c>
      <c r="G277" s="14">
        <f t="shared" si="2"/>
        <v>0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>
      <c r="A278" s="8"/>
      <c r="B278" s="10"/>
      <c r="C278" s="11" t="s">
        <v>32</v>
      </c>
      <c r="D278" s="12" t="s">
        <v>33</v>
      </c>
      <c r="E278" s="13">
        <v>17500.0</v>
      </c>
      <c r="F278" s="13">
        <v>17500.0</v>
      </c>
      <c r="G278" s="14">
        <f t="shared" si="2"/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>
      <c r="A279" s="8"/>
      <c r="B279" s="10"/>
      <c r="C279" s="11" t="s">
        <v>34</v>
      </c>
      <c r="D279" s="12" t="s">
        <v>29</v>
      </c>
      <c r="E279" s="13">
        <v>20000.0</v>
      </c>
      <c r="F279" s="13">
        <v>20000.0</v>
      </c>
      <c r="G279" s="14">
        <f t="shared" si="2"/>
        <v>0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>
      <c r="A280" s="8"/>
      <c r="B280" s="32">
        <v>3321.0</v>
      </c>
      <c r="E280" s="33">
        <v>351965.0</v>
      </c>
      <c r="F280" s="33">
        <f>SUM(F268:F279)</f>
        <v>351965</v>
      </c>
      <c r="G280" s="14">
        <f t="shared" si="2"/>
        <v>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>
      <c r="A281" s="8"/>
      <c r="B281" s="10"/>
      <c r="C281" s="41"/>
      <c r="D281" s="42"/>
      <c r="E281" s="13"/>
      <c r="F281" s="13"/>
      <c r="G281" s="14" t="str">
        <f t="shared" si="2"/>
        <v/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>
      <c r="A282" s="8"/>
      <c r="B282" s="44">
        <v>3340.0</v>
      </c>
      <c r="C282" s="45"/>
      <c r="D282" s="46" t="s">
        <v>82</v>
      </c>
      <c r="E282" s="47">
        <v>2025.0</v>
      </c>
      <c r="F282" s="48">
        <v>2026.0</v>
      </c>
      <c r="G282" s="14">
        <f t="shared" si="2"/>
        <v>0.0004938271605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>
      <c r="A283" s="8"/>
      <c r="B283" s="10"/>
      <c r="C283" s="11" t="s">
        <v>49</v>
      </c>
      <c r="D283" s="51" t="s">
        <v>31</v>
      </c>
      <c r="E283" s="13">
        <v>63000.0</v>
      </c>
      <c r="F283" s="13">
        <v>63000.0</v>
      </c>
      <c r="G283" s="14">
        <f t="shared" si="2"/>
        <v>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>
      <c r="A284" s="8"/>
      <c r="B284" s="10"/>
      <c r="C284" s="11" t="s">
        <v>50</v>
      </c>
      <c r="D284" s="12" t="s">
        <v>46</v>
      </c>
      <c r="E284" s="13">
        <v>1150.0</v>
      </c>
      <c r="F284" s="13">
        <v>1150.0</v>
      </c>
      <c r="G284" s="14">
        <f t="shared" si="2"/>
        <v>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>
      <c r="A285" s="8"/>
      <c r="B285" s="10"/>
      <c r="C285" s="11" t="s">
        <v>51</v>
      </c>
      <c r="D285" s="12" t="s">
        <v>33</v>
      </c>
      <c r="E285" s="13">
        <v>18000.0</v>
      </c>
      <c r="F285" s="13">
        <v>18000.0</v>
      </c>
      <c r="G285" s="14">
        <f t="shared" si="2"/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>
      <c r="A286" s="8"/>
      <c r="B286" s="10"/>
      <c r="C286" s="11" t="s">
        <v>52</v>
      </c>
      <c r="D286" s="12" t="s">
        <v>29</v>
      </c>
      <c r="E286" s="13">
        <v>25000.0</v>
      </c>
      <c r="F286" s="13">
        <v>25000.0</v>
      </c>
      <c r="G286" s="14">
        <f t="shared" si="2"/>
        <v>0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>
      <c r="A287" s="8"/>
      <c r="B287" s="32">
        <v>3340.0</v>
      </c>
      <c r="E287" s="33">
        <v>107150.0</v>
      </c>
      <c r="F287" s="33">
        <f>SUM(F283:F286)</f>
        <v>107150</v>
      </c>
      <c r="G287" s="14">
        <f t="shared" si="2"/>
        <v>0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>
      <c r="A288" s="8"/>
      <c r="B288" s="10"/>
      <c r="C288" s="11"/>
      <c r="D288" s="12"/>
      <c r="E288" s="13"/>
      <c r="F288" s="13"/>
      <c r="G288" s="14" t="str">
        <f t="shared" si="2"/>
        <v/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>
      <c r="A289" s="8"/>
      <c r="B289" s="44">
        <v>3370.0</v>
      </c>
      <c r="C289" s="45"/>
      <c r="D289" s="37" t="s">
        <v>83</v>
      </c>
      <c r="E289" s="47">
        <v>2025.0</v>
      </c>
      <c r="F289" s="48">
        <v>2026.0</v>
      </c>
      <c r="G289" s="14">
        <f t="shared" si="2"/>
        <v>0.0004938271605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>
      <c r="A290" s="8"/>
      <c r="B290" s="10"/>
      <c r="C290" s="11" t="s">
        <v>55</v>
      </c>
      <c r="D290" s="12" t="s">
        <v>56</v>
      </c>
      <c r="E290" s="13">
        <v>6000.0</v>
      </c>
      <c r="F290" s="13">
        <v>6000.0</v>
      </c>
      <c r="G290" s="14">
        <f t="shared" si="2"/>
        <v>0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>
      <c r="A291" s="8"/>
      <c r="B291" s="10"/>
      <c r="C291" s="11" t="s">
        <v>20</v>
      </c>
      <c r="D291" s="12" t="s">
        <v>21</v>
      </c>
      <c r="E291" s="13">
        <v>2200.0</v>
      </c>
      <c r="F291" s="13">
        <v>2200.0</v>
      </c>
      <c r="G291" s="14">
        <f t="shared" si="2"/>
        <v>0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>
      <c r="A292" s="8"/>
      <c r="B292" s="10"/>
      <c r="C292" s="11" t="s">
        <v>22</v>
      </c>
      <c r="D292" s="12" t="s">
        <v>23</v>
      </c>
      <c r="E292" s="13">
        <v>4500.0</v>
      </c>
      <c r="F292" s="13">
        <v>4500.0</v>
      </c>
      <c r="G292" s="14">
        <f t="shared" si="2"/>
        <v>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>
      <c r="A293" s="8"/>
      <c r="B293" s="10"/>
      <c r="C293" s="11" t="s">
        <v>24</v>
      </c>
      <c r="D293" s="12" t="s">
        <v>25</v>
      </c>
      <c r="E293" s="13">
        <v>5500.0</v>
      </c>
      <c r="F293" s="13">
        <v>5500.0</v>
      </c>
      <c r="G293" s="14">
        <f t="shared" si="2"/>
        <v>0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>
      <c r="A294" s="8"/>
      <c r="B294" s="10"/>
      <c r="C294" s="11" t="s">
        <v>26</v>
      </c>
      <c r="D294" s="12" t="s">
        <v>27</v>
      </c>
      <c r="E294" s="13">
        <v>700.0</v>
      </c>
      <c r="F294" s="13">
        <v>700.0</v>
      </c>
      <c r="G294" s="14">
        <f t="shared" si="2"/>
        <v>0</v>
      </c>
      <c r="H294" s="49"/>
      <c r="I294" s="49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>
      <c r="A295" s="8"/>
      <c r="B295" s="10"/>
      <c r="C295" s="11" t="s">
        <v>28</v>
      </c>
      <c r="D295" s="12" t="s">
        <v>29</v>
      </c>
      <c r="E295" s="13">
        <v>4000.0</v>
      </c>
      <c r="F295" s="13">
        <v>4000.0</v>
      </c>
      <c r="G295" s="14">
        <f t="shared" si="2"/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>
      <c r="A296" s="8"/>
      <c r="B296" s="10"/>
      <c r="C296" s="11" t="s">
        <v>49</v>
      </c>
      <c r="D296" s="51" t="s">
        <v>31</v>
      </c>
      <c r="E296" s="13">
        <v>6500.0</v>
      </c>
      <c r="F296" s="13">
        <v>6500.0</v>
      </c>
      <c r="G296" s="14">
        <f t="shared" si="2"/>
        <v>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>
      <c r="A297" s="8"/>
      <c r="B297" s="10"/>
      <c r="C297" s="11" t="s">
        <v>50</v>
      </c>
      <c r="D297" s="12" t="s">
        <v>46</v>
      </c>
      <c r="E297" s="13">
        <v>1050.0</v>
      </c>
      <c r="F297" s="13">
        <v>1050.0</v>
      </c>
      <c r="G297" s="14">
        <f t="shared" si="2"/>
        <v>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>
      <c r="A298" s="8"/>
      <c r="B298" s="10"/>
      <c r="C298" s="11" t="s">
        <v>51</v>
      </c>
      <c r="D298" s="12" t="s">
        <v>33</v>
      </c>
      <c r="E298" s="13">
        <v>5050.0</v>
      </c>
      <c r="F298" s="13">
        <v>5050.0</v>
      </c>
      <c r="G298" s="14">
        <f t="shared" si="2"/>
        <v>0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>
      <c r="A299" s="8"/>
      <c r="B299" s="10"/>
      <c r="C299" s="11" t="s">
        <v>52</v>
      </c>
      <c r="D299" s="12" t="s">
        <v>29</v>
      </c>
      <c r="E299" s="13">
        <v>3200.0</v>
      </c>
      <c r="F299" s="13">
        <v>3200.0</v>
      </c>
      <c r="G299" s="14">
        <f t="shared" si="2"/>
        <v>0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>
      <c r="A300" s="8"/>
      <c r="B300" s="32">
        <v>3370.0</v>
      </c>
      <c r="E300" s="33">
        <v>38700.0</v>
      </c>
      <c r="F300" s="33">
        <f>SUM(F290:F299)</f>
        <v>38700</v>
      </c>
      <c r="G300" s="14">
        <f t="shared" si="2"/>
        <v>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>
      <c r="A301" s="8"/>
      <c r="B301" s="62"/>
      <c r="C301" s="63"/>
      <c r="D301" s="64"/>
      <c r="E301" s="65"/>
      <c r="F301" s="65"/>
      <c r="G301" s="14" t="str">
        <f t="shared" si="2"/>
        <v/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>
      <c r="A302" s="8"/>
      <c r="B302" s="44">
        <v>3373.0</v>
      </c>
      <c r="C302" s="45"/>
      <c r="D302" s="66" t="s">
        <v>84</v>
      </c>
      <c r="E302" s="47">
        <v>2025.0</v>
      </c>
      <c r="F302" s="48">
        <v>2026.0</v>
      </c>
      <c r="G302" s="14">
        <f t="shared" si="2"/>
        <v>0.0004938271605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>
      <c r="A303" s="8"/>
      <c r="B303" s="10"/>
      <c r="C303" s="11" t="s">
        <v>41</v>
      </c>
      <c r="D303" s="12" t="s">
        <v>42</v>
      </c>
      <c r="E303" s="13">
        <v>0.0</v>
      </c>
      <c r="F303" s="13">
        <v>0.0</v>
      </c>
      <c r="G303" s="14" t="str">
        <f t="shared" si="2"/>
        <v/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>
      <c r="A304" s="8"/>
      <c r="B304" s="10"/>
      <c r="C304" s="11" t="s">
        <v>36</v>
      </c>
      <c r="D304" s="12" t="s">
        <v>37</v>
      </c>
      <c r="E304" s="13">
        <v>19300.0</v>
      </c>
      <c r="F304" s="13">
        <v>19300.0</v>
      </c>
      <c r="G304" s="14">
        <f t="shared" si="2"/>
        <v>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>
      <c r="A305" s="8"/>
      <c r="B305" s="10"/>
      <c r="C305" s="11" t="s">
        <v>20</v>
      </c>
      <c r="D305" s="12" t="s">
        <v>21</v>
      </c>
      <c r="E305" s="13">
        <v>6400.0</v>
      </c>
      <c r="F305" s="13">
        <v>6400.0</v>
      </c>
      <c r="G305" s="14">
        <f t="shared" si="2"/>
        <v>0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>
      <c r="A306" s="8"/>
      <c r="B306" s="10"/>
      <c r="C306" s="11" t="s">
        <v>22</v>
      </c>
      <c r="D306" s="12" t="s">
        <v>23</v>
      </c>
      <c r="E306" s="13">
        <v>8400.0</v>
      </c>
      <c r="F306" s="13">
        <v>8400.0</v>
      </c>
      <c r="G306" s="14">
        <f t="shared" si="2"/>
        <v>0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>
      <c r="A307" s="8"/>
      <c r="B307" s="10"/>
      <c r="C307" s="11" t="s">
        <v>24</v>
      </c>
      <c r="D307" s="12" t="s">
        <v>25</v>
      </c>
      <c r="E307" s="13">
        <v>10000.0</v>
      </c>
      <c r="F307" s="13">
        <v>10000.0</v>
      </c>
      <c r="G307" s="14">
        <f t="shared" si="2"/>
        <v>0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>
      <c r="A308" s="8"/>
      <c r="B308" s="10"/>
      <c r="C308" s="11" t="s">
        <v>26</v>
      </c>
      <c r="D308" s="12" t="s">
        <v>27</v>
      </c>
      <c r="E308" s="13">
        <v>930.0</v>
      </c>
      <c r="F308" s="13">
        <v>930.0</v>
      </c>
      <c r="G308" s="14">
        <f t="shared" si="2"/>
        <v>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>
      <c r="A309" s="8"/>
      <c r="B309" s="10"/>
      <c r="C309" s="11" t="s">
        <v>38</v>
      </c>
      <c r="D309" s="12" t="s">
        <v>39</v>
      </c>
      <c r="E309" s="13">
        <v>5000.0</v>
      </c>
      <c r="F309" s="13">
        <v>5000.0</v>
      </c>
      <c r="G309" s="14">
        <f t="shared" si="2"/>
        <v>0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>
      <c r="A310" s="8"/>
      <c r="B310" s="10"/>
      <c r="C310" s="11" t="s">
        <v>28</v>
      </c>
      <c r="D310" s="12" t="s">
        <v>29</v>
      </c>
      <c r="E310" s="13">
        <v>14000.0</v>
      </c>
      <c r="F310" s="13">
        <v>14000.0</v>
      </c>
      <c r="G310" s="14">
        <f t="shared" si="2"/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>
      <c r="A311" s="8"/>
      <c r="B311" s="10"/>
      <c r="C311" s="11" t="s">
        <v>30</v>
      </c>
      <c r="D311" s="12" t="s">
        <v>31</v>
      </c>
      <c r="E311" s="13">
        <v>77000.0</v>
      </c>
      <c r="F311" s="13">
        <v>77000.0</v>
      </c>
      <c r="G311" s="14">
        <f t="shared" si="2"/>
        <v>0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>
      <c r="A312" s="8"/>
      <c r="B312" s="10"/>
      <c r="C312" s="11" t="s">
        <v>45</v>
      </c>
      <c r="D312" s="12" t="s">
        <v>46</v>
      </c>
      <c r="E312" s="13">
        <v>10000.0</v>
      </c>
      <c r="F312" s="13">
        <v>10000.0</v>
      </c>
      <c r="G312" s="14">
        <f t="shared" si="2"/>
        <v>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>
      <c r="A313" s="8"/>
      <c r="B313" s="10"/>
      <c r="C313" s="11" t="s">
        <v>32</v>
      </c>
      <c r="D313" s="12" t="s">
        <v>33</v>
      </c>
      <c r="E313" s="13">
        <v>20500.0</v>
      </c>
      <c r="F313" s="13">
        <v>20500.0</v>
      </c>
      <c r="G313" s="14">
        <f t="shared" si="2"/>
        <v>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>
      <c r="A314" s="8"/>
      <c r="B314" s="10"/>
      <c r="C314" s="11" t="s">
        <v>34</v>
      </c>
      <c r="D314" s="12" t="s">
        <v>29</v>
      </c>
      <c r="E314" s="13">
        <v>27000.0</v>
      </c>
      <c r="F314" s="13">
        <v>27000.0</v>
      </c>
      <c r="G314" s="14">
        <f t="shared" si="2"/>
        <v>0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>
      <c r="A315" s="8"/>
      <c r="B315" s="32">
        <v>3373.0</v>
      </c>
      <c r="E315" s="33">
        <v>198530.0</v>
      </c>
      <c r="F315" s="33">
        <f>SUM(F303:F314)</f>
        <v>198530</v>
      </c>
      <c r="G315" s="14">
        <f t="shared" si="2"/>
        <v>0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>
      <c r="A316" s="8"/>
      <c r="B316" s="10"/>
      <c r="C316" s="11"/>
      <c r="D316" s="12"/>
      <c r="E316" s="13"/>
      <c r="F316" s="13"/>
      <c r="G316" s="14" t="str">
        <f t="shared" si="2"/>
        <v/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>
      <c r="A317" s="8"/>
      <c r="B317" s="44">
        <v>3380.0</v>
      </c>
      <c r="C317" s="45"/>
      <c r="D317" s="46" t="s">
        <v>85</v>
      </c>
      <c r="E317" s="47">
        <v>2025.0</v>
      </c>
      <c r="F317" s="48">
        <v>2026.0</v>
      </c>
      <c r="G317" s="14">
        <f t="shared" si="2"/>
        <v>0.0004938271605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>
      <c r="A318" s="8"/>
      <c r="B318" s="10"/>
      <c r="C318" s="11" t="s">
        <v>18</v>
      </c>
      <c r="D318" s="12" t="s">
        <v>19</v>
      </c>
      <c r="E318" s="13">
        <v>12500.0</v>
      </c>
      <c r="F318" s="13">
        <v>12500.0</v>
      </c>
      <c r="G318" s="14">
        <f t="shared" si="2"/>
        <v>0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>
      <c r="A319" s="8"/>
      <c r="B319" s="10"/>
      <c r="C319" s="11" t="s">
        <v>20</v>
      </c>
      <c r="D319" s="12" t="s">
        <v>21</v>
      </c>
      <c r="E319" s="13">
        <v>780.0</v>
      </c>
      <c r="F319" s="13">
        <v>780.0</v>
      </c>
      <c r="G319" s="14">
        <f t="shared" si="2"/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>
      <c r="A320" s="8"/>
      <c r="B320" s="10"/>
      <c r="C320" s="11" t="s">
        <v>22</v>
      </c>
      <c r="D320" s="12" t="s">
        <v>23</v>
      </c>
      <c r="E320" s="13">
        <v>5050.0</v>
      </c>
      <c r="F320" s="13">
        <v>5050.0</v>
      </c>
      <c r="G320" s="14">
        <f t="shared" si="2"/>
        <v>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>
      <c r="A321" s="8"/>
      <c r="B321" s="10"/>
      <c r="C321" s="11" t="s">
        <v>24</v>
      </c>
      <c r="D321" s="12" t="s">
        <v>25</v>
      </c>
      <c r="E321" s="13">
        <v>7350.0</v>
      </c>
      <c r="F321" s="13">
        <v>7350.0</v>
      </c>
      <c r="G321" s="14">
        <f t="shared" si="2"/>
        <v>0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>
      <c r="A322" s="8"/>
      <c r="B322" s="10"/>
      <c r="C322" s="11" t="s">
        <v>26</v>
      </c>
      <c r="D322" s="12" t="s">
        <v>27</v>
      </c>
      <c r="E322" s="13">
        <v>780.0</v>
      </c>
      <c r="F322" s="13">
        <v>780.0</v>
      </c>
      <c r="G322" s="14">
        <f t="shared" si="2"/>
        <v>0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>
      <c r="A323" s="8"/>
      <c r="B323" s="10"/>
      <c r="C323" s="11" t="s">
        <v>38</v>
      </c>
      <c r="D323" s="12" t="s">
        <v>39</v>
      </c>
      <c r="E323" s="13">
        <v>3000.0</v>
      </c>
      <c r="F323" s="13">
        <v>3000.0</v>
      </c>
      <c r="G323" s="14">
        <f t="shared" si="2"/>
        <v>0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>
      <c r="A324" s="8"/>
      <c r="B324" s="10"/>
      <c r="C324" s="11" t="s">
        <v>28</v>
      </c>
      <c r="D324" s="12" t="s">
        <v>29</v>
      </c>
      <c r="E324" s="13">
        <v>8500.0</v>
      </c>
      <c r="F324" s="13">
        <v>8500.0</v>
      </c>
      <c r="G324" s="14">
        <f t="shared" si="2"/>
        <v>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>
      <c r="A325" s="8"/>
      <c r="B325" s="32">
        <v>3380.0</v>
      </c>
      <c r="E325" s="33">
        <v>37960.0</v>
      </c>
      <c r="F325" s="33">
        <f>SUM(F318:F324)</f>
        <v>37960</v>
      </c>
      <c r="G325" s="14">
        <f t="shared" si="2"/>
        <v>0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>
      <c r="A326" s="8"/>
      <c r="B326" s="10"/>
      <c r="C326" s="11"/>
      <c r="D326" s="12"/>
      <c r="E326" s="13"/>
      <c r="F326" s="13"/>
      <c r="G326" s="14" t="str">
        <f t="shared" si="2"/>
        <v/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>
      <c r="A327" s="8"/>
      <c r="B327" s="44">
        <v>3410.0</v>
      </c>
      <c r="C327" s="45"/>
      <c r="D327" s="46" t="s">
        <v>86</v>
      </c>
      <c r="E327" s="47">
        <v>2025.0</v>
      </c>
      <c r="F327" s="48">
        <v>2026.0</v>
      </c>
      <c r="G327" s="14">
        <f t="shared" si="2"/>
        <v>0.0004938271605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>
      <c r="A328" s="8"/>
      <c r="B328" s="10"/>
      <c r="C328" s="11" t="s">
        <v>16</v>
      </c>
      <c r="D328" s="12" t="s">
        <v>17</v>
      </c>
      <c r="E328" s="13">
        <v>15000.0</v>
      </c>
      <c r="F328" s="13">
        <v>15000.0</v>
      </c>
      <c r="G328" s="14">
        <f t="shared" si="2"/>
        <v>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>
      <c r="A329" s="8"/>
      <c r="B329" s="10"/>
      <c r="C329" s="11" t="s">
        <v>18</v>
      </c>
      <c r="D329" s="12" t="s">
        <v>19</v>
      </c>
      <c r="E329" s="13">
        <v>12000.0</v>
      </c>
      <c r="F329" s="13">
        <v>12000.0</v>
      </c>
      <c r="G329" s="14">
        <f t="shared" si="2"/>
        <v>0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>
      <c r="A330" s="8"/>
      <c r="B330" s="10"/>
      <c r="C330" s="11" t="s">
        <v>20</v>
      </c>
      <c r="D330" s="12" t="s">
        <v>21</v>
      </c>
      <c r="E330" s="13">
        <v>1180.0</v>
      </c>
      <c r="F330" s="13">
        <v>1180.0</v>
      </c>
      <c r="G330" s="14">
        <f t="shared" si="2"/>
        <v>0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>
      <c r="A331" s="8"/>
      <c r="B331" s="10"/>
      <c r="C331" s="11" t="s">
        <v>22</v>
      </c>
      <c r="D331" s="12" t="s">
        <v>23</v>
      </c>
      <c r="E331" s="13">
        <v>11000.0</v>
      </c>
      <c r="F331" s="13">
        <v>11000.0</v>
      </c>
      <c r="G331" s="14">
        <f t="shared" si="2"/>
        <v>0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>
      <c r="A332" s="8"/>
      <c r="B332" s="10"/>
      <c r="C332" s="11" t="s">
        <v>24</v>
      </c>
      <c r="D332" s="12" t="s">
        <v>25</v>
      </c>
      <c r="E332" s="13">
        <v>14000.0</v>
      </c>
      <c r="F332" s="13">
        <v>14000.0</v>
      </c>
      <c r="G332" s="14">
        <f t="shared" si="2"/>
        <v>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>
      <c r="A333" s="8"/>
      <c r="B333" s="10"/>
      <c r="C333" s="11" t="s">
        <v>26</v>
      </c>
      <c r="D333" s="12" t="s">
        <v>27</v>
      </c>
      <c r="E333" s="13">
        <v>1400.0</v>
      </c>
      <c r="F333" s="13">
        <v>1400.0</v>
      </c>
      <c r="G333" s="14">
        <f t="shared" si="2"/>
        <v>0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>
      <c r="A334" s="8"/>
      <c r="B334" s="10"/>
      <c r="C334" s="11" t="s">
        <v>38</v>
      </c>
      <c r="D334" s="12" t="s">
        <v>39</v>
      </c>
      <c r="E334" s="13">
        <v>15000.0</v>
      </c>
      <c r="F334" s="60">
        <v>18000.0</v>
      </c>
      <c r="G334" s="14">
        <f t="shared" si="2"/>
        <v>0.2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>
      <c r="A335" s="8"/>
      <c r="B335" s="10"/>
      <c r="C335" s="11" t="s">
        <v>28</v>
      </c>
      <c r="D335" s="12" t="s">
        <v>29</v>
      </c>
      <c r="E335" s="13">
        <v>21000.0</v>
      </c>
      <c r="F335" s="13">
        <v>21000.0</v>
      </c>
      <c r="G335" s="14">
        <f t="shared" si="2"/>
        <v>0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>
      <c r="A336" s="8"/>
      <c r="B336" s="32">
        <v>3410.0</v>
      </c>
      <c r="E336" s="33">
        <v>90580.0</v>
      </c>
      <c r="F336" s="33">
        <f>SUM(F328:F335)</f>
        <v>93580</v>
      </c>
      <c r="G336" s="14">
        <f t="shared" si="2"/>
        <v>0.03311989402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>
      <c r="A337" s="8"/>
      <c r="B337" s="10"/>
      <c r="C337" s="11"/>
      <c r="D337" s="58"/>
      <c r="E337" s="43"/>
      <c r="F337" s="43"/>
      <c r="G337" s="14" t="str">
        <f t="shared" si="2"/>
        <v/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>
      <c r="A338" s="8"/>
      <c r="B338" s="44">
        <v>3420.0</v>
      </c>
      <c r="C338" s="45"/>
      <c r="D338" s="46" t="s">
        <v>87</v>
      </c>
      <c r="E338" s="47">
        <v>2025.0</v>
      </c>
      <c r="F338" s="48">
        <v>2026.0</v>
      </c>
      <c r="G338" s="14">
        <f t="shared" si="2"/>
        <v>0.0004938271605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>
      <c r="A339" s="8"/>
      <c r="B339" s="10"/>
      <c r="C339" s="11" t="s">
        <v>36</v>
      </c>
      <c r="D339" s="12" t="s">
        <v>37</v>
      </c>
      <c r="E339" s="13">
        <v>37500.0</v>
      </c>
      <c r="F339" s="13">
        <v>37500.0</v>
      </c>
      <c r="G339" s="14">
        <f t="shared" si="2"/>
        <v>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>
      <c r="A340" s="8"/>
      <c r="B340" s="10"/>
      <c r="C340" s="11" t="s">
        <v>20</v>
      </c>
      <c r="D340" s="12" t="s">
        <v>21</v>
      </c>
      <c r="E340" s="13">
        <v>3400.0</v>
      </c>
      <c r="F340" s="13">
        <v>3400.0</v>
      </c>
      <c r="G340" s="14">
        <f t="shared" si="2"/>
        <v>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>
      <c r="A341" s="8"/>
      <c r="B341" s="10"/>
      <c r="C341" s="11" t="s">
        <v>22</v>
      </c>
      <c r="D341" s="12" t="s">
        <v>23</v>
      </c>
      <c r="E341" s="13">
        <v>15800.0</v>
      </c>
      <c r="F341" s="13">
        <v>15800.0</v>
      </c>
      <c r="G341" s="14">
        <f t="shared" si="2"/>
        <v>0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>
      <c r="A342" s="8"/>
      <c r="B342" s="10"/>
      <c r="C342" s="11" t="s">
        <v>24</v>
      </c>
      <c r="D342" s="12" t="s">
        <v>25</v>
      </c>
      <c r="E342" s="13">
        <v>21000.0</v>
      </c>
      <c r="F342" s="13">
        <v>21000.0</v>
      </c>
      <c r="G342" s="14">
        <f t="shared" si="2"/>
        <v>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>
      <c r="A343" s="8"/>
      <c r="B343" s="10"/>
      <c r="C343" s="11" t="s">
        <v>26</v>
      </c>
      <c r="D343" s="12" t="s">
        <v>27</v>
      </c>
      <c r="E343" s="13">
        <v>1900.0</v>
      </c>
      <c r="F343" s="13">
        <v>1900.0</v>
      </c>
      <c r="G343" s="14">
        <f t="shared" si="2"/>
        <v>0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>
      <c r="A344" s="8"/>
      <c r="B344" s="10"/>
      <c r="C344" s="11" t="s">
        <v>38</v>
      </c>
      <c r="D344" s="12" t="s">
        <v>39</v>
      </c>
      <c r="E344" s="13">
        <v>2000.0</v>
      </c>
      <c r="F344" s="13">
        <v>2000.0</v>
      </c>
      <c r="G344" s="14">
        <f t="shared" si="2"/>
        <v>0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>
      <c r="A345" s="8"/>
      <c r="B345" s="10"/>
      <c r="C345" s="11" t="s">
        <v>28</v>
      </c>
      <c r="D345" s="12" t="s">
        <v>29</v>
      </c>
      <c r="E345" s="13">
        <v>20000.0</v>
      </c>
      <c r="F345" s="13">
        <v>20000.0</v>
      </c>
      <c r="G345" s="14">
        <f t="shared" si="2"/>
        <v>0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>
      <c r="A346" s="8"/>
      <c r="B346" s="10"/>
      <c r="C346" s="11" t="s">
        <v>49</v>
      </c>
      <c r="D346" s="51" t="s">
        <v>31</v>
      </c>
      <c r="E346" s="13">
        <v>61500.0</v>
      </c>
      <c r="F346" s="13">
        <v>61500.0</v>
      </c>
      <c r="G346" s="14">
        <f t="shared" si="2"/>
        <v>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>
      <c r="A347" s="8"/>
      <c r="B347" s="10"/>
      <c r="C347" s="11" t="s">
        <v>51</v>
      </c>
      <c r="D347" s="12" t="s">
        <v>33</v>
      </c>
      <c r="E347" s="13">
        <v>20000.0</v>
      </c>
      <c r="F347" s="13">
        <v>20000.0</v>
      </c>
      <c r="G347" s="14">
        <f t="shared" si="2"/>
        <v>0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>
      <c r="A348" s="8"/>
      <c r="B348" s="10"/>
      <c r="C348" s="11" t="s">
        <v>30</v>
      </c>
      <c r="D348" s="51" t="s">
        <v>31</v>
      </c>
      <c r="E348" s="13">
        <v>163000.0</v>
      </c>
      <c r="F348" s="13">
        <v>163000.0</v>
      </c>
      <c r="G348" s="14">
        <f t="shared" si="2"/>
        <v>0</v>
      </c>
      <c r="H348" s="49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>
      <c r="A349" s="8"/>
      <c r="B349" s="10"/>
      <c r="C349" s="11" t="s">
        <v>45</v>
      </c>
      <c r="D349" s="12" t="s">
        <v>46</v>
      </c>
      <c r="E349" s="13">
        <v>7000.0</v>
      </c>
      <c r="F349" s="13">
        <v>7000.0</v>
      </c>
      <c r="G349" s="14">
        <f t="shared" si="2"/>
        <v>0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>
      <c r="A350" s="8"/>
      <c r="B350" s="10"/>
      <c r="C350" s="11" t="s">
        <v>32</v>
      </c>
      <c r="D350" s="12" t="s">
        <v>33</v>
      </c>
      <c r="E350" s="13">
        <v>52500.0</v>
      </c>
      <c r="F350" s="13">
        <v>52500.0</v>
      </c>
      <c r="G350" s="14">
        <f t="shared" si="2"/>
        <v>0</v>
      </c>
      <c r="H350" s="49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>
      <c r="A351" s="8"/>
      <c r="B351" s="10"/>
      <c r="C351" s="11" t="s">
        <v>52</v>
      </c>
      <c r="D351" s="12" t="s">
        <v>29</v>
      </c>
      <c r="E351" s="13">
        <v>22500.0</v>
      </c>
      <c r="F351" s="13">
        <v>22500.0</v>
      </c>
      <c r="G351" s="14">
        <f t="shared" si="2"/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>
      <c r="A352" s="8"/>
      <c r="B352" s="10"/>
      <c r="C352" s="11" t="s">
        <v>34</v>
      </c>
      <c r="D352" s="12" t="s">
        <v>29</v>
      </c>
      <c r="E352" s="13">
        <v>61000.0</v>
      </c>
      <c r="F352" s="13">
        <v>61000.0</v>
      </c>
      <c r="G352" s="14">
        <f t="shared" si="2"/>
        <v>0</v>
      </c>
      <c r="H352" s="49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>
      <c r="A353" s="8"/>
      <c r="B353" s="32">
        <v>3420.0</v>
      </c>
      <c r="E353" s="33">
        <v>489100.0</v>
      </c>
      <c r="F353" s="33">
        <f>SUM(F339:F352)</f>
        <v>489100</v>
      </c>
      <c r="G353" s="14">
        <f t="shared" si="2"/>
        <v>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>
      <c r="A354" s="8"/>
      <c r="B354" s="10"/>
      <c r="C354" s="41"/>
      <c r="D354" s="42"/>
      <c r="E354" s="43"/>
      <c r="F354" s="43"/>
      <c r="G354" s="14" t="str">
        <f t="shared" si="2"/>
        <v/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>
      <c r="A355" s="8"/>
      <c r="B355" s="44">
        <v>4320.0</v>
      </c>
      <c r="C355" s="45"/>
      <c r="D355" s="46" t="s">
        <v>88</v>
      </c>
      <c r="E355" s="47">
        <v>2025.0</v>
      </c>
      <c r="F355" s="48">
        <v>2026.0</v>
      </c>
      <c r="G355" s="14">
        <f t="shared" si="2"/>
        <v>0.0004938271605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>
      <c r="A356" s="8"/>
      <c r="B356" s="10"/>
      <c r="C356" s="11" t="s">
        <v>36</v>
      </c>
      <c r="D356" s="12" t="s">
        <v>37</v>
      </c>
      <c r="E356" s="13">
        <v>17600.0</v>
      </c>
      <c r="F356" s="13">
        <v>17600.0</v>
      </c>
      <c r="G356" s="14">
        <f t="shared" si="2"/>
        <v>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>
      <c r="A357" s="8"/>
      <c r="B357" s="10"/>
      <c r="C357" s="11" t="s">
        <v>22</v>
      </c>
      <c r="D357" s="12" t="s">
        <v>23</v>
      </c>
      <c r="E357" s="13">
        <v>5700.0</v>
      </c>
      <c r="F357" s="13">
        <v>5700.0</v>
      </c>
      <c r="G357" s="14">
        <f t="shared" si="2"/>
        <v>0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>
      <c r="A358" s="8"/>
      <c r="B358" s="10"/>
      <c r="C358" s="11" t="s">
        <v>24</v>
      </c>
      <c r="D358" s="12" t="s">
        <v>25</v>
      </c>
      <c r="E358" s="13">
        <v>6700.0</v>
      </c>
      <c r="F358" s="13">
        <v>6700.0</v>
      </c>
      <c r="G358" s="14">
        <f t="shared" si="2"/>
        <v>0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>
      <c r="A359" s="8"/>
      <c r="B359" s="10"/>
      <c r="C359" s="11" t="s">
        <v>20</v>
      </c>
      <c r="D359" s="12" t="s">
        <v>21</v>
      </c>
      <c r="E359" s="13">
        <v>550.0</v>
      </c>
      <c r="F359" s="13">
        <v>550.0</v>
      </c>
      <c r="G359" s="14">
        <f t="shared" si="2"/>
        <v>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>
      <c r="A360" s="8"/>
      <c r="B360" s="10"/>
      <c r="C360" s="11" t="s">
        <v>26</v>
      </c>
      <c r="D360" s="12" t="s">
        <v>27</v>
      </c>
      <c r="E360" s="13">
        <v>670.0</v>
      </c>
      <c r="F360" s="13">
        <v>670.0</v>
      </c>
      <c r="G360" s="14">
        <f t="shared" si="2"/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>
      <c r="A361" s="8"/>
      <c r="B361" s="10"/>
      <c r="C361" s="11" t="s">
        <v>28</v>
      </c>
      <c r="D361" s="12" t="s">
        <v>29</v>
      </c>
      <c r="E361" s="13">
        <v>9800.0</v>
      </c>
      <c r="F361" s="13">
        <v>9800.0</v>
      </c>
      <c r="G361" s="14">
        <f t="shared" si="2"/>
        <v>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>
      <c r="A362" s="8"/>
      <c r="B362" s="10"/>
      <c r="C362" s="11" t="s">
        <v>30</v>
      </c>
      <c r="D362" s="51" t="s">
        <v>31</v>
      </c>
      <c r="E362" s="13">
        <v>63500.0</v>
      </c>
      <c r="F362" s="13">
        <v>63500.0</v>
      </c>
      <c r="G362" s="14">
        <f t="shared" si="2"/>
        <v>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>
      <c r="A363" s="8"/>
      <c r="B363" s="10"/>
      <c r="C363" s="11" t="s">
        <v>32</v>
      </c>
      <c r="D363" s="12" t="s">
        <v>33</v>
      </c>
      <c r="E363" s="13">
        <v>16500.0</v>
      </c>
      <c r="F363" s="13">
        <v>16500.0</v>
      </c>
      <c r="G363" s="14">
        <f t="shared" si="2"/>
        <v>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>
      <c r="A364" s="8"/>
      <c r="B364" s="10"/>
      <c r="C364" s="11" t="s">
        <v>34</v>
      </c>
      <c r="D364" s="12" t="s">
        <v>29</v>
      </c>
      <c r="E364" s="13">
        <v>22000.0</v>
      </c>
      <c r="F364" s="13">
        <v>22000.0</v>
      </c>
      <c r="G364" s="14">
        <f t="shared" si="2"/>
        <v>0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>
      <c r="A365" s="8"/>
      <c r="B365" s="32">
        <v>4320.0</v>
      </c>
      <c r="E365" s="33">
        <v>143020.0</v>
      </c>
      <c r="F365" s="33">
        <f>SUM(F356:F364)</f>
        <v>143020</v>
      </c>
      <c r="G365" s="14">
        <f t="shared" si="2"/>
        <v>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>
      <c r="A366" s="8"/>
      <c r="B366" s="10"/>
      <c r="C366" s="11"/>
      <c r="D366" s="58"/>
      <c r="E366" s="43"/>
      <c r="F366" s="43"/>
      <c r="G366" s="14" t="str">
        <f t="shared" si="2"/>
        <v/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>
      <c r="A367" s="8"/>
      <c r="B367" s="44">
        <v>4330.0</v>
      </c>
      <c r="C367" s="45"/>
      <c r="D367" s="46" t="s">
        <v>89</v>
      </c>
      <c r="E367" s="47">
        <v>2025.0</v>
      </c>
      <c r="F367" s="48">
        <v>2026.0</v>
      </c>
      <c r="G367" s="14">
        <f t="shared" si="2"/>
        <v>0.0004938271605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>
      <c r="A368" s="8"/>
      <c r="B368" s="10"/>
      <c r="C368" s="11" t="s">
        <v>41</v>
      </c>
      <c r="D368" s="12" t="s">
        <v>37</v>
      </c>
      <c r="E368" s="13">
        <v>18500.0</v>
      </c>
      <c r="F368" s="13">
        <v>18500.0</v>
      </c>
      <c r="G368" s="14">
        <f t="shared" si="2"/>
        <v>0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>
      <c r="A369" s="8"/>
      <c r="B369" s="10"/>
      <c r="C369" s="11" t="s">
        <v>16</v>
      </c>
      <c r="D369" s="12" t="s">
        <v>17</v>
      </c>
      <c r="E369" s="13">
        <v>0.0</v>
      </c>
      <c r="F369" s="13">
        <v>0.0</v>
      </c>
      <c r="G369" s="14" t="str">
        <f t="shared" si="2"/>
        <v/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>
      <c r="A370" s="8"/>
      <c r="B370" s="10"/>
      <c r="C370" s="11" t="s">
        <v>18</v>
      </c>
      <c r="D370" s="12" t="s">
        <v>19</v>
      </c>
      <c r="E370" s="13">
        <v>12700.0</v>
      </c>
      <c r="F370" s="13">
        <v>12700.0</v>
      </c>
      <c r="G370" s="14">
        <f t="shared" si="2"/>
        <v>0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>
      <c r="A371" s="8"/>
      <c r="B371" s="10"/>
      <c r="C371" s="11" t="s">
        <v>20</v>
      </c>
      <c r="D371" s="12" t="s">
        <v>21</v>
      </c>
      <c r="E371" s="13">
        <v>3900.0</v>
      </c>
      <c r="F371" s="13">
        <v>3900.0</v>
      </c>
      <c r="G371" s="14">
        <f t="shared" si="2"/>
        <v>0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>
      <c r="A372" s="8"/>
      <c r="B372" s="10"/>
      <c r="C372" s="11" t="s">
        <v>22</v>
      </c>
      <c r="D372" s="12" t="s">
        <v>23</v>
      </c>
      <c r="E372" s="13">
        <v>13500.0</v>
      </c>
      <c r="F372" s="13">
        <v>13500.0</v>
      </c>
      <c r="G372" s="14">
        <f t="shared" si="2"/>
        <v>0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>
      <c r="A373" s="8"/>
      <c r="B373" s="10"/>
      <c r="C373" s="11" t="s">
        <v>24</v>
      </c>
      <c r="D373" s="12" t="s">
        <v>25</v>
      </c>
      <c r="E373" s="13">
        <v>16500.0</v>
      </c>
      <c r="F373" s="13">
        <v>16500.0</v>
      </c>
      <c r="G373" s="14">
        <f t="shared" si="2"/>
        <v>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>
      <c r="A374" s="8"/>
      <c r="B374" s="10"/>
      <c r="C374" s="11" t="s">
        <v>26</v>
      </c>
      <c r="D374" s="12" t="s">
        <v>27</v>
      </c>
      <c r="E374" s="13">
        <v>1570.0</v>
      </c>
      <c r="F374" s="13">
        <v>1570.0</v>
      </c>
      <c r="G374" s="14">
        <f t="shared" si="2"/>
        <v>0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>
      <c r="A375" s="8"/>
      <c r="B375" s="10"/>
      <c r="C375" s="11" t="s">
        <v>38</v>
      </c>
      <c r="D375" s="12" t="s">
        <v>39</v>
      </c>
      <c r="E375" s="13">
        <v>3000.0</v>
      </c>
      <c r="F375" s="13">
        <v>3000.0</v>
      </c>
      <c r="G375" s="14">
        <f t="shared" si="2"/>
        <v>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>
      <c r="A376" s="8"/>
      <c r="B376" s="10"/>
      <c r="C376" s="11" t="s">
        <v>28</v>
      </c>
      <c r="D376" s="12" t="s">
        <v>29</v>
      </c>
      <c r="E376" s="13">
        <v>20000.0</v>
      </c>
      <c r="F376" s="13">
        <v>20000.0</v>
      </c>
      <c r="G376" s="14">
        <f t="shared" si="2"/>
        <v>0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>
      <c r="A377" s="8"/>
      <c r="B377" s="10"/>
      <c r="C377" s="11" t="s">
        <v>30</v>
      </c>
      <c r="D377" s="12" t="s">
        <v>31</v>
      </c>
      <c r="E377" s="13">
        <v>82000.0</v>
      </c>
      <c r="F377" s="13">
        <v>82000.0</v>
      </c>
      <c r="G377" s="14">
        <f t="shared" si="2"/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>
      <c r="A378" s="8"/>
      <c r="B378" s="10"/>
      <c r="C378" s="11" t="s">
        <v>45</v>
      </c>
      <c r="D378" s="12" t="s">
        <v>46</v>
      </c>
      <c r="E378" s="13">
        <v>12000.0</v>
      </c>
      <c r="F378" s="13">
        <v>12000.0</v>
      </c>
      <c r="G378" s="14">
        <f t="shared" si="2"/>
        <v>0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>
      <c r="A379" s="8"/>
      <c r="B379" s="10"/>
      <c r="C379" s="11" t="s">
        <v>32</v>
      </c>
      <c r="D379" s="12" t="s">
        <v>33</v>
      </c>
      <c r="E379" s="13">
        <v>18500.0</v>
      </c>
      <c r="F379" s="13">
        <v>18500.0</v>
      </c>
      <c r="G379" s="14">
        <f t="shared" si="2"/>
        <v>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>
      <c r="A380" s="8"/>
      <c r="B380" s="10"/>
      <c r="C380" s="11" t="s">
        <v>34</v>
      </c>
      <c r="D380" s="12" t="s">
        <v>29</v>
      </c>
      <c r="E380" s="13">
        <v>29700.0</v>
      </c>
      <c r="F380" s="13">
        <v>29700.0</v>
      </c>
      <c r="G380" s="14">
        <f t="shared" si="2"/>
        <v>0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>
      <c r="A381" s="8"/>
      <c r="B381" s="32">
        <v>4330.0</v>
      </c>
      <c r="E381" s="33">
        <v>231870.0</v>
      </c>
      <c r="F381" s="33">
        <f>SUM(F368:F380)</f>
        <v>231870</v>
      </c>
      <c r="G381" s="14">
        <f t="shared" si="2"/>
        <v>0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>
      <c r="A382" s="8"/>
      <c r="B382" s="10"/>
      <c r="C382" s="11"/>
      <c r="D382" s="58"/>
      <c r="E382" s="43"/>
      <c r="F382" s="43"/>
      <c r="G382" s="14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>
      <c r="A383" s="8"/>
      <c r="B383" s="67">
        <v>4620.0</v>
      </c>
      <c r="C383" s="45"/>
      <c r="D383" s="68" t="s">
        <v>90</v>
      </c>
      <c r="E383" s="47">
        <v>2025.0</v>
      </c>
      <c r="F383" s="48">
        <v>2026.0</v>
      </c>
      <c r="G383" s="14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>
      <c r="A384" s="8"/>
      <c r="B384" s="10"/>
      <c r="C384" s="11" t="s">
        <v>41</v>
      </c>
      <c r="D384" s="12" t="s">
        <v>37</v>
      </c>
      <c r="E384" s="13">
        <v>18500.0</v>
      </c>
      <c r="F384" s="60">
        <v>35700.0</v>
      </c>
      <c r="G384" s="14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>
      <c r="A385" s="8"/>
      <c r="B385" s="10"/>
      <c r="C385" s="11" t="s">
        <v>16</v>
      </c>
      <c r="D385" s="12" t="s">
        <v>17</v>
      </c>
      <c r="E385" s="13">
        <v>0.0</v>
      </c>
      <c r="F385" s="13">
        <v>0.0</v>
      </c>
      <c r="G385" s="14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>
      <c r="A386" s="8"/>
      <c r="B386" s="69">
        <v>4620.0</v>
      </c>
      <c r="E386" s="70">
        <v>0.0</v>
      </c>
      <c r="F386" s="33">
        <f>SUM(F384:F385)</f>
        <v>35700</v>
      </c>
      <c r="G386" s="14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>
      <c r="A387" s="8"/>
      <c r="B387" s="10"/>
      <c r="C387" s="11"/>
      <c r="D387" s="58"/>
      <c r="E387" s="43"/>
      <c r="F387" s="43"/>
      <c r="G387" s="14" t="str">
        <f t="shared" ref="G387:G520" si="3">IFERROR(((F387-E387)/E387), "")</f>
        <v/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>
      <c r="A388" s="8"/>
      <c r="B388" s="44">
        <v>4930.0</v>
      </c>
      <c r="C388" s="45"/>
      <c r="D388" s="46" t="s">
        <v>91</v>
      </c>
      <c r="E388" s="47">
        <v>2025.0</v>
      </c>
      <c r="F388" s="48">
        <v>2026.0</v>
      </c>
      <c r="G388" s="14">
        <f t="shared" si="3"/>
        <v>0.0004938271605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>
      <c r="A389" s="8"/>
      <c r="B389" s="10"/>
      <c r="C389" s="11" t="s">
        <v>36</v>
      </c>
      <c r="D389" s="12" t="s">
        <v>37</v>
      </c>
      <c r="E389" s="13">
        <v>19000.0</v>
      </c>
      <c r="F389" s="13">
        <v>19000.0</v>
      </c>
      <c r="G389" s="14">
        <f t="shared" si="3"/>
        <v>0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>
      <c r="A390" s="8"/>
      <c r="B390" s="10"/>
      <c r="C390" s="11" t="s">
        <v>20</v>
      </c>
      <c r="D390" s="12" t="s">
        <v>21</v>
      </c>
      <c r="E390" s="13">
        <v>3600.0</v>
      </c>
      <c r="F390" s="13">
        <v>3600.0</v>
      </c>
      <c r="G390" s="14">
        <f t="shared" si="3"/>
        <v>0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>
      <c r="A391" s="8"/>
      <c r="B391" s="10"/>
      <c r="C391" s="11" t="s">
        <v>22</v>
      </c>
      <c r="D391" s="12" t="s">
        <v>23</v>
      </c>
      <c r="E391" s="13">
        <v>8400.0</v>
      </c>
      <c r="F391" s="13">
        <v>8400.0</v>
      </c>
      <c r="G391" s="14">
        <f t="shared" si="3"/>
        <v>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>
      <c r="A392" s="8"/>
      <c r="B392" s="10"/>
      <c r="C392" s="11" t="s">
        <v>24</v>
      </c>
      <c r="D392" s="12" t="s">
        <v>25</v>
      </c>
      <c r="E392" s="13">
        <v>10000.0</v>
      </c>
      <c r="F392" s="13">
        <v>10000.0</v>
      </c>
      <c r="G392" s="14">
        <f t="shared" si="3"/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>
      <c r="A393" s="8"/>
      <c r="B393" s="10"/>
      <c r="C393" s="11" t="s">
        <v>26</v>
      </c>
      <c r="D393" s="12" t="s">
        <v>27</v>
      </c>
      <c r="E393" s="13">
        <v>900.0</v>
      </c>
      <c r="F393" s="13">
        <v>900.0</v>
      </c>
      <c r="G393" s="14">
        <f t="shared" si="3"/>
        <v>0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>
      <c r="A394" s="8"/>
      <c r="B394" s="10"/>
      <c r="C394" s="11" t="s">
        <v>38</v>
      </c>
      <c r="D394" s="12" t="s">
        <v>39</v>
      </c>
      <c r="E394" s="13">
        <v>3500.0</v>
      </c>
      <c r="F394" s="13">
        <v>3500.0</v>
      </c>
      <c r="G394" s="14">
        <f t="shared" si="3"/>
        <v>0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>
      <c r="A395" s="8"/>
      <c r="B395" s="10"/>
      <c r="C395" s="11" t="s">
        <v>28</v>
      </c>
      <c r="D395" s="12" t="s">
        <v>29</v>
      </c>
      <c r="E395" s="13">
        <v>14000.0</v>
      </c>
      <c r="F395" s="13">
        <v>14000.0</v>
      </c>
      <c r="G395" s="14">
        <f t="shared" si="3"/>
        <v>0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>
      <c r="A396" s="8"/>
      <c r="B396" s="32">
        <v>4930.0</v>
      </c>
      <c r="E396" s="33">
        <v>59400.0</v>
      </c>
      <c r="F396" s="33">
        <f>SUM(F389:F395)</f>
        <v>59400</v>
      </c>
      <c r="G396" s="14">
        <f t="shared" si="3"/>
        <v>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>
      <c r="A397" s="8"/>
      <c r="B397" s="10"/>
      <c r="C397" s="11"/>
      <c r="D397" s="12"/>
      <c r="E397" s="13"/>
      <c r="F397" s="13"/>
      <c r="G397" s="14" t="str">
        <f t="shared" si="3"/>
        <v/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>
      <c r="A398" s="8"/>
      <c r="B398" s="44">
        <v>9120.0</v>
      </c>
      <c r="C398" s="45"/>
      <c r="D398" s="46" t="s">
        <v>92</v>
      </c>
      <c r="E398" s="47">
        <v>2025.0</v>
      </c>
      <c r="F398" s="48">
        <v>2026.0</v>
      </c>
      <c r="G398" s="14">
        <f t="shared" si="3"/>
        <v>0.0004938271605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>
      <c r="A399" s="8"/>
      <c r="B399" s="52"/>
      <c r="C399" s="11" t="s">
        <v>93</v>
      </c>
      <c r="D399" s="12" t="s">
        <v>31</v>
      </c>
      <c r="E399" s="13">
        <v>233080.0</v>
      </c>
      <c r="F399" s="13">
        <f> 65080 + 'Liberaciones &amp; Libre desig'!I3</f>
        <v>233080</v>
      </c>
      <c r="G399" s="14">
        <f t="shared" si="3"/>
        <v>0</v>
      </c>
      <c r="H399" s="49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>
      <c r="A400" s="8"/>
      <c r="B400" s="10"/>
      <c r="C400" s="11" t="s">
        <v>94</v>
      </c>
      <c r="D400" s="12" t="s">
        <v>95</v>
      </c>
      <c r="E400" s="13">
        <v>105000.0</v>
      </c>
      <c r="F400" s="13">
        <f>'Liberaciones &amp; Libre desig'!I4</f>
        <v>70000</v>
      </c>
      <c r="G400" s="14">
        <f t="shared" si="3"/>
        <v>-0.3333333333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>
      <c r="A401" s="8"/>
      <c r="B401" s="10"/>
      <c r="C401" s="11" t="s">
        <v>16</v>
      </c>
      <c r="D401" s="12" t="s">
        <v>17</v>
      </c>
      <c r="E401" s="13">
        <v>15700.0</v>
      </c>
      <c r="F401" s="13">
        <v>15700.0</v>
      </c>
      <c r="G401" s="14">
        <f t="shared" si="3"/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>
      <c r="A402" s="8"/>
      <c r="B402" s="10"/>
      <c r="C402" s="11" t="s">
        <v>18</v>
      </c>
      <c r="D402" s="12" t="s">
        <v>19</v>
      </c>
      <c r="E402" s="13">
        <v>13500.0</v>
      </c>
      <c r="F402" s="13">
        <v>13500.0</v>
      </c>
      <c r="G402" s="14">
        <f t="shared" si="3"/>
        <v>0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>
      <c r="A403" s="8"/>
      <c r="B403" s="10"/>
      <c r="C403" s="11" t="s">
        <v>20</v>
      </c>
      <c r="D403" s="12" t="s">
        <v>21</v>
      </c>
      <c r="E403" s="13">
        <v>4500.0</v>
      </c>
      <c r="F403" s="13">
        <v>4500.0</v>
      </c>
      <c r="G403" s="14">
        <f t="shared" si="3"/>
        <v>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>
      <c r="A404" s="8"/>
      <c r="B404" s="10"/>
      <c r="C404" s="11" t="s">
        <v>22</v>
      </c>
      <c r="D404" s="12" t="s">
        <v>23</v>
      </c>
      <c r="E404" s="13">
        <v>11000.0</v>
      </c>
      <c r="F404" s="13">
        <v>11000.0</v>
      </c>
      <c r="G404" s="14">
        <f t="shared" si="3"/>
        <v>0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>
      <c r="A405" s="8"/>
      <c r="B405" s="10"/>
      <c r="C405" s="11" t="s">
        <v>24</v>
      </c>
      <c r="D405" s="12" t="s">
        <v>25</v>
      </c>
      <c r="E405" s="13">
        <v>29000.0</v>
      </c>
      <c r="F405" s="13">
        <v>29000.0</v>
      </c>
      <c r="G405" s="14">
        <f t="shared" si="3"/>
        <v>0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>
      <c r="A406" s="8"/>
      <c r="B406" s="10"/>
      <c r="C406" s="11" t="s">
        <v>26</v>
      </c>
      <c r="D406" s="12" t="s">
        <v>27</v>
      </c>
      <c r="E406" s="13">
        <v>1370.0</v>
      </c>
      <c r="F406" s="13">
        <v>1370.0</v>
      </c>
      <c r="G406" s="14">
        <f t="shared" si="3"/>
        <v>0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>
      <c r="A407" s="8"/>
      <c r="B407" s="10"/>
      <c r="C407" s="11" t="s">
        <v>28</v>
      </c>
      <c r="D407" s="12" t="s">
        <v>29</v>
      </c>
      <c r="E407" s="13">
        <v>79770.0</v>
      </c>
      <c r="F407" s="13">
        <f> 29370 + 'Liberaciones &amp; Libre desig'!J3</f>
        <v>79770</v>
      </c>
      <c r="G407" s="14">
        <f t="shared" si="3"/>
        <v>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>
      <c r="A408" s="8"/>
      <c r="B408" s="10"/>
      <c r="C408" s="11" t="s">
        <v>34</v>
      </c>
      <c r="D408" s="12" t="s">
        <v>96</v>
      </c>
      <c r="E408" s="13">
        <v>49500.0</v>
      </c>
      <c r="F408" s="13">
        <f>18000 + 'Liberaciones &amp; Libre desig'!J4</f>
        <v>39000</v>
      </c>
      <c r="G408" s="14">
        <f t="shared" si="3"/>
        <v>-0.2121212121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>
      <c r="A409" s="8"/>
      <c r="B409" s="32">
        <v>9120.0</v>
      </c>
      <c r="E409" s="33">
        <v>542420.0</v>
      </c>
      <c r="F409" s="33">
        <f>SUM(F399:F408)</f>
        <v>496920</v>
      </c>
      <c r="G409" s="14">
        <f t="shared" si="3"/>
        <v>-0.08388333764</v>
      </c>
      <c r="H409" s="49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>
      <c r="A410" s="8"/>
      <c r="B410" s="10"/>
      <c r="C410" s="11"/>
      <c r="D410" s="12"/>
      <c r="E410" s="13"/>
      <c r="F410" s="13"/>
      <c r="G410" s="14" t="str">
        <f t="shared" si="3"/>
        <v/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>
      <c r="A411" s="8"/>
      <c r="B411" s="44">
        <v>9200.0</v>
      </c>
      <c r="C411" s="45"/>
      <c r="D411" s="46" t="s">
        <v>97</v>
      </c>
      <c r="E411" s="47">
        <v>2025.0</v>
      </c>
      <c r="F411" s="48">
        <v>2026.0</v>
      </c>
      <c r="G411" s="14">
        <f t="shared" si="3"/>
        <v>0.0004938271605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>
      <c r="A412" s="8"/>
      <c r="B412" s="10"/>
      <c r="C412" s="11" t="s">
        <v>36</v>
      </c>
      <c r="D412" s="12" t="s">
        <v>37</v>
      </c>
      <c r="E412" s="13">
        <v>18600.0</v>
      </c>
      <c r="F412" s="13">
        <v>18600.0</v>
      </c>
      <c r="G412" s="14">
        <f t="shared" si="3"/>
        <v>0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>
      <c r="A413" s="8"/>
      <c r="B413" s="10"/>
      <c r="C413" s="11" t="s">
        <v>16</v>
      </c>
      <c r="D413" s="12" t="s">
        <v>17</v>
      </c>
      <c r="E413" s="13">
        <v>70500.0</v>
      </c>
      <c r="F413" s="13">
        <v>70500.0</v>
      </c>
      <c r="G413" s="14">
        <f t="shared" si="3"/>
        <v>0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>
      <c r="A414" s="8"/>
      <c r="B414" s="10"/>
      <c r="C414" s="11" t="s">
        <v>20</v>
      </c>
      <c r="D414" s="12" t="s">
        <v>21</v>
      </c>
      <c r="E414" s="13">
        <v>8100.0</v>
      </c>
      <c r="F414" s="13">
        <v>8100.0</v>
      </c>
      <c r="G414" s="14">
        <f t="shared" si="3"/>
        <v>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>
      <c r="A415" s="8"/>
      <c r="B415" s="10"/>
      <c r="C415" s="11" t="s">
        <v>22</v>
      </c>
      <c r="D415" s="12" t="s">
        <v>23</v>
      </c>
      <c r="E415" s="13">
        <v>36800.0</v>
      </c>
      <c r="F415" s="13">
        <v>36800.0</v>
      </c>
      <c r="G415" s="14">
        <f t="shared" si="3"/>
        <v>0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>
      <c r="A416" s="8"/>
      <c r="B416" s="10"/>
      <c r="C416" s="11" t="s">
        <v>24</v>
      </c>
      <c r="D416" s="12" t="s">
        <v>25</v>
      </c>
      <c r="E416" s="13">
        <v>47600.0</v>
      </c>
      <c r="F416" s="13">
        <v>47600.0</v>
      </c>
      <c r="G416" s="14">
        <f t="shared" si="3"/>
        <v>0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>
      <c r="A417" s="8"/>
      <c r="B417" s="10"/>
      <c r="C417" s="11" t="s">
        <v>26</v>
      </c>
      <c r="D417" s="12" t="s">
        <v>27</v>
      </c>
      <c r="E417" s="13">
        <v>4210.0</v>
      </c>
      <c r="F417" s="13">
        <v>4210.0</v>
      </c>
      <c r="G417" s="14">
        <f t="shared" si="3"/>
        <v>0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>
      <c r="A418" s="8"/>
      <c r="B418" s="10"/>
      <c r="C418" s="11" t="s">
        <v>38</v>
      </c>
      <c r="D418" s="12" t="s">
        <v>39</v>
      </c>
      <c r="E418" s="13">
        <v>6000.0</v>
      </c>
      <c r="F418" s="13">
        <v>6000.0</v>
      </c>
      <c r="G418" s="14">
        <f t="shared" si="3"/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>
      <c r="A419" s="8"/>
      <c r="B419" s="10"/>
      <c r="C419" s="11" t="s">
        <v>28</v>
      </c>
      <c r="D419" s="12" t="s">
        <v>29</v>
      </c>
      <c r="E419" s="13">
        <v>55500.0</v>
      </c>
      <c r="F419" s="13">
        <v>55500.0</v>
      </c>
      <c r="G419" s="14">
        <f t="shared" si="3"/>
        <v>0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>
      <c r="A420" s="8"/>
      <c r="B420" s="32">
        <v>9200.0</v>
      </c>
      <c r="E420" s="33">
        <v>247310.0</v>
      </c>
      <c r="F420" s="33">
        <f>SUM(F412:F419)</f>
        <v>247310</v>
      </c>
      <c r="G420" s="14">
        <f t="shared" si="3"/>
        <v>0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>
      <c r="A421" s="8"/>
      <c r="B421" s="10"/>
      <c r="C421" s="11"/>
      <c r="D421" s="58"/>
      <c r="E421" s="43"/>
      <c r="F421" s="43"/>
      <c r="G421" s="14" t="str">
        <f t="shared" si="3"/>
        <v/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>
      <c r="A422" s="8"/>
      <c r="B422" s="44">
        <v>9201.0</v>
      </c>
      <c r="C422" s="45"/>
      <c r="D422" s="46" t="s">
        <v>98</v>
      </c>
      <c r="E422" s="47">
        <v>2025.0</v>
      </c>
      <c r="F422" s="48">
        <v>2026.0</v>
      </c>
      <c r="G422" s="14">
        <f t="shared" si="3"/>
        <v>0.0004938271605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>
      <c r="A423" s="8"/>
      <c r="B423" s="71"/>
      <c r="C423" s="11" t="s">
        <v>41</v>
      </c>
      <c r="D423" s="12" t="s">
        <v>42</v>
      </c>
      <c r="E423" s="13">
        <v>72000.0</v>
      </c>
      <c r="F423" s="13">
        <v>72000.0</v>
      </c>
      <c r="G423" s="14">
        <f t="shared" si="3"/>
        <v>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>
      <c r="A424" s="8"/>
      <c r="B424" s="71"/>
      <c r="C424" s="11" t="s">
        <v>16</v>
      </c>
      <c r="D424" s="12" t="s">
        <v>17</v>
      </c>
      <c r="E424" s="13">
        <v>30000.0</v>
      </c>
      <c r="F424" s="13">
        <v>30000.0</v>
      </c>
      <c r="G424" s="14">
        <f t="shared" si="3"/>
        <v>0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>
      <c r="A425" s="8"/>
      <c r="B425" s="71"/>
      <c r="C425" s="11" t="s">
        <v>18</v>
      </c>
      <c r="D425" s="12" t="s">
        <v>19</v>
      </c>
      <c r="E425" s="13">
        <v>37000.0</v>
      </c>
      <c r="F425" s="13">
        <v>37000.0</v>
      </c>
      <c r="G425" s="14">
        <f t="shared" si="3"/>
        <v>0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>
      <c r="A426" s="8"/>
      <c r="B426" s="71"/>
      <c r="C426" s="11" t="s">
        <v>55</v>
      </c>
      <c r="D426" s="12" t="s">
        <v>56</v>
      </c>
      <c r="E426" s="13">
        <v>12100.0</v>
      </c>
      <c r="F426" s="13">
        <v>12100.0</v>
      </c>
      <c r="G426" s="14">
        <f t="shared" si="3"/>
        <v>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>
      <c r="A427" s="8"/>
      <c r="B427" s="71"/>
      <c r="C427" s="11" t="s">
        <v>20</v>
      </c>
      <c r="D427" s="12" t="s">
        <v>21</v>
      </c>
      <c r="E427" s="13">
        <v>22350.0</v>
      </c>
      <c r="F427" s="13">
        <v>22350.0</v>
      </c>
      <c r="G427" s="14">
        <f t="shared" si="3"/>
        <v>0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>
      <c r="A428" s="8"/>
      <c r="B428" s="71"/>
      <c r="C428" s="11" t="s">
        <v>22</v>
      </c>
      <c r="D428" s="12" t="s">
        <v>23</v>
      </c>
      <c r="E428" s="13">
        <v>68000.0</v>
      </c>
      <c r="F428" s="13">
        <v>68000.0</v>
      </c>
      <c r="G428" s="14">
        <f t="shared" si="3"/>
        <v>0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>
      <c r="A429" s="8"/>
      <c r="B429" s="71"/>
      <c r="C429" s="11" t="s">
        <v>24</v>
      </c>
      <c r="D429" s="12" t="s">
        <v>25</v>
      </c>
      <c r="E429" s="13">
        <v>120000.0</v>
      </c>
      <c r="F429" s="13">
        <v>120000.0</v>
      </c>
      <c r="G429" s="14">
        <f t="shared" si="3"/>
        <v>0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>
      <c r="A430" s="8"/>
      <c r="B430" s="71"/>
      <c r="C430" s="11" t="s">
        <v>26</v>
      </c>
      <c r="D430" s="12" t="s">
        <v>27</v>
      </c>
      <c r="E430" s="13">
        <v>7000.0</v>
      </c>
      <c r="F430" s="13">
        <v>7000.0</v>
      </c>
      <c r="G430" s="14">
        <f t="shared" si="3"/>
        <v>0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>
      <c r="A431" s="8"/>
      <c r="B431" s="71"/>
      <c r="C431" s="11" t="s">
        <v>38</v>
      </c>
      <c r="D431" s="12" t="s">
        <v>39</v>
      </c>
      <c r="E431" s="13">
        <v>3000.0</v>
      </c>
      <c r="F431" s="13">
        <v>3000.0</v>
      </c>
      <c r="G431" s="14">
        <f t="shared" si="3"/>
        <v>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>
      <c r="A432" s="8"/>
      <c r="B432" s="71"/>
      <c r="C432" s="11" t="s">
        <v>28</v>
      </c>
      <c r="D432" s="12" t="s">
        <v>29</v>
      </c>
      <c r="E432" s="13">
        <v>96000.0</v>
      </c>
      <c r="F432" s="13">
        <v>96000.0</v>
      </c>
      <c r="G432" s="14">
        <f t="shared" si="3"/>
        <v>0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>
      <c r="A433" s="8"/>
      <c r="B433" s="71"/>
      <c r="C433" s="11" t="s">
        <v>30</v>
      </c>
      <c r="D433" s="12" t="s">
        <v>31</v>
      </c>
      <c r="E433" s="13">
        <v>20000.0</v>
      </c>
      <c r="F433" s="13">
        <v>20000.0</v>
      </c>
      <c r="G433" s="14">
        <f t="shared" si="3"/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>
      <c r="A434" s="8"/>
      <c r="B434" s="71"/>
      <c r="C434" s="11" t="s">
        <v>32</v>
      </c>
      <c r="D434" s="12" t="s">
        <v>33</v>
      </c>
      <c r="E434" s="13">
        <v>950.0</v>
      </c>
      <c r="F434" s="13">
        <v>950.0</v>
      </c>
      <c r="G434" s="14">
        <f t="shared" si="3"/>
        <v>0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>
      <c r="A435" s="8"/>
      <c r="B435" s="71"/>
      <c r="C435" s="11" t="s">
        <v>34</v>
      </c>
      <c r="D435" s="12" t="s">
        <v>29</v>
      </c>
      <c r="E435" s="13">
        <v>7100.0</v>
      </c>
      <c r="F435" s="13">
        <v>7100.0</v>
      </c>
      <c r="G435" s="14">
        <f t="shared" si="3"/>
        <v>0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>
      <c r="A436" s="8"/>
      <c r="B436" s="32">
        <v>9201.0</v>
      </c>
      <c r="E436" s="33">
        <v>495500.0</v>
      </c>
      <c r="F436" s="33">
        <f>SUM(F423:F435)</f>
        <v>495500</v>
      </c>
      <c r="G436" s="14">
        <f t="shared" si="3"/>
        <v>0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>
      <c r="A437" s="8"/>
      <c r="B437" s="71"/>
      <c r="C437" s="41"/>
      <c r="D437" s="58"/>
      <c r="E437" s="43"/>
      <c r="F437" s="43"/>
      <c r="G437" s="14" t="str">
        <f t="shared" si="3"/>
        <v/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>
      <c r="A438" s="8"/>
      <c r="B438" s="44">
        <v>9202.0</v>
      </c>
      <c r="C438" s="45"/>
      <c r="D438" s="46" t="s">
        <v>99</v>
      </c>
      <c r="E438" s="47">
        <v>2025.0</v>
      </c>
      <c r="F438" s="48">
        <v>2026.0</v>
      </c>
      <c r="G438" s="14">
        <f t="shared" si="3"/>
        <v>0.0004938271605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>
      <c r="A439" s="8"/>
      <c r="B439" s="10"/>
      <c r="C439" s="11" t="s">
        <v>41</v>
      </c>
      <c r="D439" s="12" t="s">
        <v>42</v>
      </c>
      <c r="E439" s="13">
        <v>45000.0</v>
      </c>
      <c r="F439" s="13">
        <v>45000.0</v>
      </c>
      <c r="G439" s="14">
        <f t="shared" si="3"/>
        <v>0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>
      <c r="A440" s="8"/>
      <c r="B440" s="10"/>
      <c r="C440" s="11" t="s">
        <v>16</v>
      </c>
      <c r="D440" s="12" t="s">
        <v>17</v>
      </c>
      <c r="E440" s="13">
        <v>15000.0</v>
      </c>
      <c r="F440" s="13">
        <v>15000.0</v>
      </c>
      <c r="G440" s="14">
        <f t="shared" si="3"/>
        <v>0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>
      <c r="A441" s="8"/>
      <c r="B441" s="10"/>
      <c r="C441" s="11" t="s">
        <v>18</v>
      </c>
      <c r="D441" s="12" t="s">
        <v>19</v>
      </c>
      <c r="E441" s="13">
        <v>12200.0</v>
      </c>
      <c r="F441" s="13">
        <v>12200.0</v>
      </c>
      <c r="G441" s="14">
        <f t="shared" si="3"/>
        <v>0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>
      <c r="A442" s="8"/>
      <c r="B442" s="10"/>
      <c r="C442" s="11" t="s">
        <v>20</v>
      </c>
      <c r="D442" s="12" t="s">
        <v>21</v>
      </c>
      <c r="E442" s="13">
        <v>5000.0</v>
      </c>
      <c r="F442" s="13">
        <v>5000.0</v>
      </c>
      <c r="G442" s="14">
        <f t="shared" si="3"/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>
      <c r="A443" s="8"/>
      <c r="B443" s="10"/>
      <c r="C443" s="11" t="s">
        <v>22</v>
      </c>
      <c r="D443" s="12" t="s">
        <v>23</v>
      </c>
      <c r="E443" s="13">
        <v>31500.0</v>
      </c>
      <c r="F443" s="13">
        <v>31500.0</v>
      </c>
      <c r="G443" s="14">
        <f t="shared" si="3"/>
        <v>0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>
      <c r="A444" s="8"/>
      <c r="B444" s="10"/>
      <c r="C444" s="11" t="s">
        <v>24</v>
      </c>
      <c r="D444" s="12" t="s">
        <v>25</v>
      </c>
      <c r="E444" s="13">
        <v>50000.0</v>
      </c>
      <c r="F444" s="13">
        <v>50000.0</v>
      </c>
      <c r="G444" s="14">
        <f t="shared" si="3"/>
        <v>0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>
      <c r="A445" s="8"/>
      <c r="B445" s="10"/>
      <c r="C445" s="11" t="s">
        <v>26</v>
      </c>
      <c r="D445" s="12" t="s">
        <v>27</v>
      </c>
      <c r="E445" s="13">
        <v>5000.0</v>
      </c>
      <c r="F445" s="13">
        <v>5000.0</v>
      </c>
      <c r="G445" s="14">
        <f t="shared" si="3"/>
        <v>0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>
      <c r="A446" s="8"/>
      <c r="B446" s="10"/>
      <c r="C446" s="11" t="s">
        <v>38</v>
      </c>
      <c r="D446" s="12" t="s">
        <v>39</v>
      </c>
      <c r="E446" s="13">
        <v>15000.0</v>
      </c>
      <c r="F446" s="13">
        <v>15000.0</v>
      </c>
      <c r="G446" s="14">
        <f t="shared" si="3"/>
        <v>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>
      <c r="A447" s="8"/>
      <c r="B447" s="10"/>
      <c r="C447" s="11" t="s">
        <v>28</v>
      </c>
      <c r="D447" s="12" t="s">
        <v>29</v>
      </c>
      <c r="E447" s="13">
        <v>50000.0</v>
      </c>
      <c r="F447" s="13">
        <v>50000.0</v>
      </c>
      <c r="G447" s="14">
        <f t="shared" si="3"/>
        <v>0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>
      <c r="A448" s="8"/>
      <c r="B448" s="32">
        <v>9202.0</v>
      </c>
      <c r="E448" s="33">
        <v>228700.0</v>
      </c>
      <c r="F448" s="33">
        <f>SUM(F439:F447)</f>
        <v>228700</v>
      </c>
      <c r="G448" s="14">
        <f t="shared" si="3"/>
        <v>0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>
      <c r="A449" s="8"/>
      <c r="B449" s="10"/>
      <c r="C449" s="11"/>
      <c r="D449" s="58"/>
      <c r="E449" s="43"/>
      <c r="F449" s="43"/>
      <c r="G449" s="14" t="str">
        <f t="shared" si="3"/>
        <v/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>
      <c r="A450" s="8"/>
      <c r="B450" s="44">
        <v>9310.0</v>
      </c>
      <c r="C450" s="45"/>
      <c r="D450" s="46" t="s">
        <v>100</v>
      </c>
      <c r="E450" s="47">
        <v>2025.0</v>
      </c>
      <c r="F450" s="48">
        <v>2026.0</v>
      </c>
      <c r="G450" s="14">
        <f t="shared" si="3"/>
        <v>0.0004938271605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>
      <c r="A451" s="8"/>
      <c r="B451" s="10"/>
      <c r="C451" s="11" t="s">
        <v>41</v>
      </c>
      <c r="D451" s="12" t="s">
        <v>42</v>
      </c>
      <c r="E451" s="13">
        <v>116000.0</v>
      </c>
      <c r="F451" s="13">
        <v>116000.0</v>
      </c>
      <c r="G451" s="14">
        <f t="shared" si="3"/>
        <v>0</v>
      </c>
      <c r="H451" s="49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>
      <c r="A452" s="8"/>
      <c r="B452" s="10"/>
      <c r="C452" s="11" t="s">
        <v>18</v>
      </c>
      <c r="D452" s="12" t="s">
        <v>19</v>
      </c>
      <c r="E452" s="13">
        <v>37500.0</v>
      </c>
      <c r="F452" s="13">
        <v>37500.0</v>
      </c>
      <c r="G452" s="14">
        <f t="shared" si="3"/>
        <v>0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>
      <c r="A453" s="8"/>
      <c r="B453" s="10"/>
      <c r="C453" s="11" t="s">
        <v>20</v>
      </c>
      <c r="D453" s="12" t="s">
        <v>21</v>
      </c>
      <c r="E453" s="13">
        <v>20200.0</v>
      </c>
      <c r="F453" s="13">
        <v>20200.0</v>
      </c>
      <c r="G453" s="14">
        <f t="shared" si="3"/>
        <v>0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>
      <c r="A454" s="8"/>
      <c r="B454" s="10"/>
      <c r="C454" s="11" t="s">
        <v>22</v>
      </c>
      <c r="D454" s="12" t="s">
        <v>23</v>
      </c>
      <c r="E454" s="13">
        <v>74110.0</v>
      </c>
      <c r="F454" s="13">
        <v>74110.0</v>
      </c>
      <c r="G454" s="14">
        <f t="shared" si="3"/>
        <v>0</v>
      </c>
      <c r="H454" s="49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>
      <c r="A455" s="8"/>
      <c r="B455" s="10"/>
      <c r="C455" s="11" t="s">
        <v>24</v>
      </c>
      <c r="D455" s="12" t="s">
        <v>25</v>
      </c>
      <c r="E455" s="13">
        <v>133550.0</v>
      </c>
      <c r="F455" s="13">
        <v>133550.0</v>
      </c>
      <c r="G455" s="14">
        <f t="shared" si="3"/>
        <v>0</v>
      </c>
      <c r="H455" s="49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>
      <c r="A456" s="8"/>
      <c r="B456" s="10"/>
      <c r="C456" s="11" t="s">
        <v>26</v>
      </c>
      <c r="D456" s="12" t="s">
        <v>27</v>
      </c>
      <c r="E456" s="13">
        <v>6875.0</v>
      </c>
      <c r="F456" s="13">
        <v>6875.0</v>
      </c>
      <c r="G456" s="14">
        <f t="shared" si="3"/>
        <v>0</v>
      </c>
      <c r="H456" s="49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>
      <c r="A457" s="8"/>
      <c r="B457" s="10"/>
      <c r="C457" s="11" t="s">
        <v>38</v>
      </c>
      <c r="D457" s="12" t="s">
        <v>39</v>
      </c>
      <c r="E457" s="13">
        <v>3000.0</v>
      </c>
      <c r="F457" s="13">
        <v>3000.0</v>
      </c>
      <c r="G457" s="14">
        <f t="shared" si="3"/>
        <v>0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>
      <c r="A458" s="8"/>
      <c r="B458" s="10"/>
      <c r="C458" s="11" t="s">
        <v>28</v>
      </c>
      <c r="D458" s="12" t="s">
        <v>29</v>
      </c>
      <c r="E458" s="13">
        <v>109000.0</v>
      </c>
      <c r="F458" s="13">
        <v>109000.0</v>
      </c>
      <c r="G458" s="14">
        <f t="shared" si="3"/>
        <v>0</v>
      </c>
      <c r="H458" s="49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>
      <c r="A459" s="8"/>
      <c r="B459" s="10"/>
      <c r="C459" s="11" t="s">
        <v>30</v>
      </c>
      <c r="D459" s="12" t="s">
        <v>31</v>
      </c>
      <c r="E459" s="13">
        <v>18500.0</v>
      </c>
      <c r="F459" s="13">
        <v>18500.0</v>
      </c>
      <c r="G459" s="14">
        <f t="shared" si="3"/>
        <v>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>
      <c r="A460" s="8"/>
      <c r="B460" s="10"/>
      <c r="C460" s="11" t="s">
        <v>32</v>
      </c>
      <c r="D460" s="12" t="s">
        <v>33</v>
      </c>
      <c r="E460" s="13">
        <v>5500.0</v>
      </c>
      <c r="F460" s="13">
        <v>5500.0</v>
      </c>
      <c r="G460" s="14">
        <f t="shared" si="3"/>
        <v>0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>
      <c r="A461" s="8"/>
      <c r="B461" s="10"/>
      <c r="C461" s="11" t="s">
        <v>34</v>
      </c>
      <c r="D461" s="12" t="s">
        <v>29</v>
      </c>
      <c r="E461" s="13">
        <v>6800.0</v>
      </c>
      <c r="F461" s="13">
        <v>6800.0</v>
      </c>
      <c r="G461" s="14">
        <f t="shared" si="3"/>
        <v>0</v>
      </c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>
      <c r="A462" s="8"/>
      <c r="B462" s="32">
        <v>9310.0</v>
      </c>
      <c r="E462" s="33">
        <v>531035.0</v>
      </c>
      <c r="F462" s="33">
        <f>SUM(F451:F461)</f>
        <v>531035</v>
      </c>
      <c r="G462" s="14">
        <f t="shared" si="3"/>
        <v>0</v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>
      <c r="A463" s="8"/>
      <c r="B463" s="10"/>
      <c r="C463" s="11"/>
      <c r="D463" s="58"/>
      <c r="E463" s="43"/>
      <c r="F463" s="43"/>
      <c r="G463" s="14" t="str">
        <f t="shared" si="3"/>
        <v/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>
      <c r="A464" s="8"/>
      <c r="B464" s="44">
        <v>9320.0</v>
      </c>
      <c r="C464" s="45"/>
      <c r="D464" s="46" t="s">
        <v>101</v>
      </c>
      <c r="E464" s="47">
        <v>2025.0</v>
      </c>
      <c r="F464" s="48">
        <v>2026.0</v>
      </c>
      <c r="G464" s="14">
        <f t="shared" si="3"/>
        <v>0.0004938271605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>
      <c r="A465" s="8"/>
      <c r="B465" s="10"/>
      <c r="C465" s="11" t="s">
        <v>41</v>
      </c>
      <c r="D465" s="12" t="s">
        <v>42</v>
      </c>
      <c r="E465" s="13">
        <v>44000.0</v>
      </c>
      <c r="F465" s="13">
        <v>44000.0</v>
      </c>
      <c r="G465" s="14">
        <f t="shared" si="3"/>
        <v>0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>
      <c r="A466" s="8"/>
      <c r="B466" s="10"/>
      <c r="C466" s="11" t="s">
        <v>36</v>
      </c>
      <c r="D466" s="12" t="s">
        <v>37</v>
      </c>
      <c r="E466" s="13">
        <v>58000.0</v>
      </c>
      <c r="F466" s="13">
        <v>58000.0</v>
      </c>
      <c r="G466" s="14">
        <f t="shared" si="3"/>
        <v>0</v>
      </c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>
      <c r="A467" s="8"/>
      <c r="B467" s="10"/>
      <c r="C467" s="11" t="s">
        <v>16</v>
      </c>
      <c r="D467" s="12" t="s">
        <v>17</v>
      </c>
      <c r="E467" s="13">
        <v>14000.0</v>
      </c>
      <c r="F467" s="13">
        <v>14000.0</v>
      </c>
      <c r="G467" s="14">
        <f t="shared" si="3"/>
        <v>0</v>
      </c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>
      <c r="A468" s="8"/>
      <c r="B468" s="10"/>
      <c r="C468" s="11" t="s">
        <v>18</v>
      </c>
      <c r="D468" s="12" t="s">
        <v>19</v>
      </c>
      <c r="E468" s="13">
        <v>66600.0</v>
      </c>
      <c r="F468" s="13">
        <v>66600.0</v>
      </c>
      <c r="G468" s="14">
        <f t="shared" si="3"/>
        <v>0</v>
      </c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>
      <c r="A469" s="8"/>
      <c r="B469" s="10"/>
      <c r="C469" s="11" t="s">
        <v>20</v>
      </c>
      <c r="D469" s="12" t="s">
        <v>21</v>
      </c>
      <c r="E469" s="13">
        <v>19000.0</v>
      </c>
      <c r="F469" s="13">
        <v>19000.0</v>
      </c>
      <c r="G469" s="14">
        <f t="shared" si="3"/>
        <v>0</v>
      </c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>
      <c r="A470" s="8"/>
      <c r="B470" s="10"/>
      <c r="C470" s="11" t="s">
        <v>22</v>
      </c>
      <c r="D470" s="12" t="s">
        <v>23</v>
      </c>
      <c r="E470" s="13">
        <v>76020.0</v>
      </c>
      <c r="F470" s="13">
        <v>76020.0</v>
      </c>
      <c r="G470" s="14">
        <f t="shared" si="3"/>
        <v>0</v>
      </c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>
      <c r="A471" s="8"/>
      <c r="B471" s="10"/>
      <c r="C471" s="11" t="s">
        <v>24</v>
      </c>
      <c r="D471" s="12" t="s">
        <v>25</v>
      </c>
      <c r="E471" s="13">
        <v>114950.0</v>
      </c>
      <c r="F471" s="13">
        <v>114950.0</v>
      </c>
      <c r="G471" s="14">
        <f t="shared" si="3"/>
        <v>0</v>
      </c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>
      <c r="A472" s="8"/>
      <c r="B472" s="10"/>
      <c r="C472" s="11" t="s">
        <v>26</v>
      </c>
      <c r="D472" s="12" t="s">
        <v>27</v>
      </c>
      <c r="E472" s="13">
        <v>12250.0</v>
      </c>
      <c r="F472" s="13">
        <v>12250.0</v>
      </c>
      <c r="G472" s="14">
        <f t="shared" si="3"/>
        <v>0</v>
      </c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>
      <c r="A473" s="8"/>
      <c r="B473" s="10"/>
      <c r="C473" s="11" t="s">
        <v>38</v>
      </c>
      <c r="D473" s="12" t="s">
        <v>39</v>
      </c>
      <c r="E473" s="13">
        <v>10000.0</v>
      </c>
      <c r="F473" s="13">
        <v>10000.0</v>
      </c>
      <c r="G473" s="14">
        <f t="shared" si="3"/>
        <v>0</v>
      </c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>
      <c r="A474" s="8"/>
      <c r="B474" s="10"/>
      <c r="C474" s="11" t="s">
        <v>28</v>
      </c>
      <c r="D474" s="12" t="s">
        <v>29</v>
      </c>
      <c r="E474" s="13">
        <v>143100.0</v>
      </c>
      <c r="F474" s="13">
        <v>143100.0</v>
      </c>
      <c r="G474" s="14">
        <f t="shared" si="3"/>
        <v>0</v>
      </c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>
      <c r="A475" s="8"/>
      <c r="B475" s="10"/>
      <c r="C475" s="11" t="s">
        <v>30</v>
      </c>
      <c r="D475" s="12" t="s">
        <v>31</v>
      </c>
      <c r="E475" s="13">
        <v>115000.0</v>
      </c>
      <c r="F475" s="13">
        <v>115000.0</v>
      </c>
      <c r="G475" s="14">
        <f t="shared" si="3"/>
        <v>0</v>
      </c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>
      <c r="A476" s="8"/>
      <c r="B476" s="10"/>
      <c r="C476" s="11" t="s">
        <v>45</v>
      </c>
      <c r="D476" s="12" t="s">
        <v>46</v>
      </c>
      <c r="E476" s="13">
        <v>10000.0</v>
      </c>
      <c r="F476" s="13">
        <v>10000.0</v>
      </c>
      <c r="G476" s="14">
        <f t="shared" si="3"/>
        <v>0</v>
      </c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>
      <c r="A477" s="8"/>
      <c r="B477" s="10"/>
      <c r="C477" s="11" t="s">
        <v>32</v>
      </c>
      <c r="D477" s="12" t="s">
        <v>33</v>
      </c>
      <c r="E477" s="13">
        <v>29000.0</v>
      </c>
      <c r="F477" s="13">
        <v>29000.0</v>
      </c>
      <c r="G477" s="14">
        <f t="shared" si="3"/>
        <v>0</v>
      </c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>
      <c r="A478" s="8"/>
      <c r="B478" s="10"/>
      <c r="C478" s="11" t="s">
        <v>34</v>
      </c>
      <c r="D478" s="12" t="s">
        <v>29</v>
      </c>
      <c r="E478" s="13">
        <v>40500.0</v>
      </c>
      <c r="F478" s="13">
        <v>40500.0</v>
      </c>
      <c r="G478" s="14">
        <f t="shared" si="3"/>
        <v>0</v>
      </c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>
      <c r="A479" s="8"/>
      <c r="B479" s="32">
        <v>9320.0</v>
      </c>
      <c r="E479" s="33">
        <v>752420.0</v>
      </c>
      <c r="F479" s="33">
        <f>SUM(F465:F478)</f>
        <v>752420</v>
      </c>
      <c r="G479" s="14">
        <f t="shared" si="3"/>
        <v>0</v>
      </c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>
      <c r="A480" s="8"/>
      <c r="B480" s="10"/>
      <c r="C480" s="41"/>
      <c r="D480" s="42"/>
      <c r="E480" s="43"/>
      <c r="F480" s="43"/>
      <c r="G480" s="14" t="str">
        <f t="shared" si="3"/>
        <v/>
      </c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>
      <c r="A481" s="8"/>
      <c r="B481" s="44">
        <v>9330.0</v>
      </c>
      <c r="C481" s="45"/>
      <c r="D481" s="46" t="s">
        <v>102</v>
      </c>
      <c r="E481" s="47">
        <v>2025.0</v>
      </c>
      <c r="F481" s="48">
        <v>2026.0</v>
      </c>
      <c r="G481" s="14">
        <f t="shared" si="3"/>
        <v>0.0004938271605</v>
      </c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>
      <c r="A482" s="8"/>
      <c r="B482" s="10"/>
      <c r="C482" s="11" t="s">
        <v>41</v>
      </c>
      <c r="D482" s="12" t="s">
        <v>42</v>
      </c>
      <c r="E482" s="13">
        <v>67000.0</v>
      </c>
      <c r="F482" s="13">
        <v>67000.0</v>
      </c>
      <c r="G482" s="14">
        <f t="shared" si="3"/>
        <v>0</v>
      </c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>
      <c r="A483" s="8"/>
      <c r="B483" s="10"/>
      <c r="C483" s="11" t="s">
        <v>20</v>
      </c>
      <c r="D483" s="12" t="s">
        <v>21</v>
      </c>
      <c r="E483" s="13">
        <v>1300.0</v>
      </c>
      <c r="F483" s="13">
        <v>1300.0</v>
      </c>
      <c r="G483" s="14">
        <f t="shared" si="3"/>
        <v>0</v>
      </c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>
      <c r="A484" s="8"/>
      <c r="B484" s="10"/>
      <c r="C484" s="11" t="s">
        <v>22</v>
      </c>
      <c r="D484" s="12" t="s">
        <v>23</v>
      </c>
      <c r="E484" s="13">
        <v>32100.0</v>
      </c>
      <c r="F484" s="13">
        <v>32100.0</v>
      </c>
      <c r="G484" s="14">
        <f t="shared" si="3"/>
        <v>0</v>
      </c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>
      <c r="A485" s="8"/>
      <c r="B485" s="10"/>
      <c r="C485" s="11" t="s">
        <v>24</v>
      </c>
      <c r="D485" s="12" t="s">
        <v>25</v>
      </c>
      <c r="E485" s="13">
        <v>51000.0</v>
      </c>
      <c r="F485" s="13">
        <v>51000.0</v>
      </c>
      <c r="G485" s="14">
        <f t="shared" si="3"/>
        <v>0</v>
      </c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>
      <c r="A486" s="8"/>
      <c r="B486" s="10"/>
      <c r="C486" s="11" t="s">
        <v>26</v>
      </c>
      <c r="D486" s="12" t="s">
        <v>27</v>
      </c>
      <c r="E486" s="13">
        <v>1800.0</v>
      </c>
      <c r="F486" s="13">
        <v>1800.0</v>
      </c>
      <c r="G486" s="14">
        <f t="shared" si="3"/>
        <v>0</v>
      </c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>
      <c r="A487" s="8"/>
      <c r="B487" s="10"/>
      <c r="C487" s="11" t="s">
        <v>38</v>
      </c>
      <c r="D487" s="12" t="s">
        <v>39</v>
      </c>
      <c r="E487" s="13">
        <v>210.0</v>
      </c>
      <c r="F487" s="13">
        <v>210.0</v>
      </c>
      <c r="G487" s="14">
        <f t="shared" si="3"/>
        <v>0</v>
      </c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>
      <c r="A488" s="8"/>
      <c r="B488" s="10"/>
      <c r="C488" s="11" t="s">
        <v>28</v>
      </c>
      <c r="D488" s="12" t="s">
        <v>29</v>
      </c>
      <c r="E488" s="13">
        <v>45000.0</v>
      </c>
      <c r="F488" s="13">
        <v>45000.0</v>
      </c>
      <c r="G488" s="14">
        <f t="shared" si="3"/>
        <v>0</v>
      </c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>
      <c r="A489" s="8"/>
      <c r="B489" s="10"/>
      <c r="C489" s="11" t="s">
        <v>30</v>
      </c>
      <c r="D489" s="12" t="s">
        <v>31</v>
      </c>
      <c r="E489" s="13">
        <v>35000.0</v>
      </c>
      <c r="F489" s="13">
        <v>35000.0</v>
      </c>
      <c r="G489" s="14">
        <f t="shared" si="3"/>
        <v>0</v>
      </c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>
      <c r="A490" s="8"/>
      <c r="B490" s="10"/>
      <c r="C490" s="11" t="s">
        <v>32</v>
      </c>
      <c r="D490" s="12" t="s">
        <v>33</v>
      </c>
      <c r="E490" s="13">
        <v>11500.0</v>
      </c>
      <c r="F490" s="13">
        <v>11500.0</v>
      </c>
      <c r="G490" s="14">
        <f t="shared" si="3"/>
        <v>0</v>
      </c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>
      <c r="A491" s="8"/>
      <c r="B491" s="10"/>
      <c r="C491" s="11" t="s">
        <v>34</v>
      </c>
      <c r="D491" s="12" t="s">
        <v>29</v>
      </c>
      <c r="E491" s="13">
        <v>13800.0</v>
      </c>
      <c r="F491" s="13">
        <v>13800.0</v>
      </c>
      <c r="G491" s="14">
        <f t="shared" si="3"/>
        <v>0</v>
      </c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>
      <c r="A492" s="8"/>
      <c r="B492" s="32">
        <v>9330.0</v>
      </c>
      <c r="E492" s="33">
        <v>258710.0</v>
      </c>
      <c r="F492" s="33">
        <f>SUM(F482:F491)</f>
        <v>258710</v>
      </c>
      <c r="G492" s="14">
        <f t="shared" si="3"/>
        <v>0</v>
      </c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>
      <c r="A493" s="8"/>
      <c r="B493" s="10"/>
      <c r="C493" s="41"/>
      <c r="D493" s="42"/>
      <c r="E493" s="43"/>
      <c r="F493" s="43"/>
      <c r="G493" s="14" t="str">
        <f t="shared" si="3"/>
        <v/>
      </c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>
      <c r="A494" s="8"/>
      <c r="B494" s="44">
        <v>9340.0</v>
      </c>
      <c r="C494" s="45"/>
      <c r="D494" s="46" t="s">
        <v>103</v>
      </c>
      <c r="E494" s="47">
        <v>2025.0</v>
      </c>
      <c r="F494" s="48">
        <v>2026.0</v>
      </c>
      <c r="G494" s="14">
        <f t="shared" si="3"/>
        <v>0.0004938271605</v>
      </c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>
      <c r="A495" s="8"/>
      <c r="B495" s="10"/>
      <c r="C495" s="11" t="s">
        <v>41</v>
      </c>
      <c r="D495" s="12" t="s">
        <v>42</v>
      </c>
      <c r="E495" s="13">
        <v>25050.0</v>
      </c>
      <c r="F495" s="13">
        <v>25050.0</v>
      </c>
      <c r="G495" s="14">
        <f t="shared" si="3"/>
        <v>0</v>
      </c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>
      <c r="A496" s="8"/>
      <c r="B496" s="10"/>
      <c r="C496" s="11" t="s">
        <v>20</v>
      </c>
      <c r="D496" s="12" t="s">
        <v>21</v>
      </c>
      <c r="E496" s="13">
        <v>7300.0</v>
      </c>
      <c r="F496" s="13">
        <v>7300.0</v>
      </c>
      <c r="G496" s="14">
        <f t="shared" si="3"/>
        <v>0</v>
      </c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>
      <c r="A497" s="8"/>
      <c r="B497" s="10"/>
      <c r="C497" s="11" t="s">
        <v>22</v>
      </c>
      <c r="D497" s="12" t="s">
        <v>23</v>
      </c>
      <c r="E497" s="13">
        <v>14000.0</v>
      </c>
      <c r="F497" s="13">
        <v>14000.0</v>
      </c>
      <c r="G497" s="14">
        <f t="shared" si="3"/>
        <v>0</v>
      </c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>
      <c r="A498" s="8"/>
      <c r="B498" s="10"/>
      <c r="C498" s="11" t="s">
        <v>24</v>
      </c>
      <c r="D498" s="12" t="s">
        <v>25</v>
      </c>
      <c r="E498" s="13">
        <v>26500.0</v>
      </c>
      <c r="F498" s="13">
        <v>26500.0</v>
      </c>
      <c r="G498" s="14">
        <f t="shared" si="3"/>
        <v>0</v>
      </c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>
      <c r="A499" s="8"/>
      <c r="B499" s="10"/>
      <c r="C499" s="11" t="s">
        <v>26</v>
      </c>
      <c r="D499" s="12" t="s">
        <v>27</v>
      </c>
      <c r="E499" s="13">
        <v>900.0</v>
      </c>
      <c r="F499" s="13">
        <v>900.0</v>
      </c>
      <c r="G499" s="14">
        <f t="shared" si="3"/>
        <v>0</v>
      </c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>
      <c r="A500" s="8"/>
      <c r="B500" s="10"/>
      <c r="C500" s="11" t="s">
        <v>104</v>
      </c>
      <c r="D500" s="12" t="s">
        <v>39</v>
      </c>
      <c r="E500" s="13">
        <v>650.0</v>
      </c>
      <c r="F500" s="13">
        <v>650.0</v>
      </c>
      <c r="G500" s="14">
        <f t="shared" si="3"/>
        <v>0</v>
      </c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>
      <c r="A501" s="8"/>
      <c r="B501" s="10"/>
      <c r="C501" s="11" t="s">
        <v>28</v>
      </c>
      <c r="D501" s="12" t="s">
        <v>29</v>
      </c>
      <c r="E501" s="13">
        <v>14000.0</v>
      </c>
      <c r="F501" s="13">
        <v>14000.0</v>
      </c>
      <c r="G501" s="14">
        <f t="shared" si="3"/>
        <v>0</v>
      </c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>
      <c r="A502" s="8"/>
      <c r="B502" s="10"/>
      <c r="C502" s="11" t="s">
        <v>30</v>
      </c>
      <c r="D502" s="12" t="s">
        <v>31</v>
      </c>
      <c r="E502" s="13">
        <v>13000.0</v>
      </c>
      <c r="F502" s="13">
        <v>13000.0</v>
      </c>
      <c r="G502" s="14">
        <f t="shared" si="3"/>
        <v>0</v>
      </c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>
      <c r="A503" s="8"/>
      <c r="B503" s="10"/>
      <c r="C503" s="11" t="s">
        <v>45</v>
      </c>
      <c r="D503" s="12" t="s">
        <v>46</v>
      </c>
      <c r="E503" s="13">
        <v>3000.0</v>
      </c>
      <c r="F503" s="13">
        <v>3000.0</v>
      </c>
      <c r="G503" s="14">
        <f t="shared" si="3"/>
        <v>0</v>
      </c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>
      <c r="A504" s="8"/>
      <c r="B504" s="10"/>
      <c r="C504" s="11" t="s">
        <v>32</v>
      </c>
      <c r="D504" s="12" t="s">
        <v>33</v>
      </c>
      <c r="E504" s="13">
        <v>5500.0</v>
      </c>
      <c r="F504" s="13">
        <v>5500.0</v>
      </c>
      <c r="G504" s="14">
        <f t="shared" si="3"/>
        <v>0</v>
      </c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>
      <c r="A505" s="8"/>
      <c r="B505" s="10"/>
      <c r="C505" s="11" t="s">
        <v>34</v>
      </c>
      <c r="D505" s="12" t="s">
        <v>29</v>
      </c>
      <c r="E505" s="13">
        <v>5900.0</v>
      </c>
      <c r="F505" s="13">
        <v>5900.0</v>
      </c>
      <c r="G505" s="14">
        <f t="shared" si="3"/>
        <v>0</v>
      </c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>
      <c r="A506" s="8"/>
      <c r="B506" s="32">
        <v>9340.0</v>
      </c>
      <c r="E506" s="33">
        <v>115800.0</v>
      </c>
      <c r="F506" s="33">
        <f>SUM(F495:F505)</f>
        <v>115800</v>
      </c>
      <c r="G506" s="14">
        <f t="shared" si="3"/>
        <v>0</v>
      </c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>
      <c r="A507" s="8"/>
      <c r="B507" s="52"/>
      <c r="C507" s="72"/>
      <c r="D507" s="73"/>
      <c r="E507" s="74"/>
      <c r="F507" s="74"/>
      <c r="G507" s="14" t="str">
        <f t="shared" si="3"/>
        <v/>
      </c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>
      <c r="A508" s="8"/>
      <c r="B508" s="10"/>
      <c r="C508" s="11"/>
      <c r="D508" s="32" t="s">
        <v>105</v>
      </c>
      <c r="E508" s="75">
        <v>1.55623985E7</v>
      </c>
      <c r="F508" s="75">
        <f>SUM(F16,F27,F40,F50,F64,F71,F88,F106,F117,F129,F147,F160,F171,F180,F197,F215,F220,F237,F244,F251,F265,F280,F287,F300,F315,F325,F336,F353,F365,F381,F386,F396,F409,F420,F436,F448,F462,F479,F492,F506)</f>
        <v>15616598.5</v>
      </c>
      <c r="G508" s="14">
        <f t="shared" si="3"/>
        <v>0.003482753639</v>
      </c>
      <c r="H508" s="76"/>
      <c r="I508" s="77"/>
      <c r="J508" s="77"/>
      <c r="K508" s="7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>
      <c r="A509" s="8"/>
      <c r="B509" s="10"/>
      <c r="C509" s="11"/>
      <c r="D509" s="32"/>
      <c r="E509" s="43"/>
      <c r="F509" s="43"/>
      <c r="G509" s="14" t="str">
        <f t="shared" si="3"/>
        <v/>
      </c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>
      <c r="A510" s="8"/>
      <c r="B510" s="10"/>
      <c r="C510" s="11"/>
      <c r="D510" s="32"/>
      <c r="E510" s="43"/>
      <c r="F510" s="43"/>
      <c r="G510" s="14" t="str">
        <f t="shared" si="3"/>
        <v/>
      </c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>
      <c r="A511" s="8"/>
      <c r="B511" s="10"/>
      <c r="C511" s="11"/>
      <c r="D511" s="32"/>
      <c r="E511" s="43"/>
      <c r="F511" s="43"/>
      <c r="G511" s="14" t="str">
        <f t="shared" si="3"/>
        <v/>
      </c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>
      <c r="A512" s="8"/>
      <c r="B512" s="18" t="s">
        <v>11</v>
      </c>
      <c r="C512" s="20"/>
      <c r="D512" s="21" t="s">
        <v>106</v>
      </c>
      <c r="E512" s="22"/>
      <c r="F512" s="22"/>
      <c r="G512" s="14" t="str">
        <f t="shared" si="3"/>
        <v/>
      </c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>
      <c r="A513" s="8"/>
      <c r="B513" s="23" t="s">
        <v>13</v>
      </c>
      <c r="C513" s="24" t="s">
        <v>14</v>
      </c>
      <c r="D513" s="25"/>
      <c r="E513" s="26">
        <v>2025.0</v>
      </c>
      <c r="F513" s="78">
        <v>2026.0</v>
      </c>
      <c r="G513" s="14">
        <f t="shared" si="3"/>
        <v>0.0004938271605</v>
      </c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>
      <c r="A514" s="8"/>
      <c r="B514" s="79">
        <v>1320.0</v>
      </c>
      <c r="C514" s="80"/>
      <c r="D514" s="81" t="s">
        <v>35</v>
      </c>
      <c r="E514" s="56">
        <v>2025.0</v>
      </c>
      <c r="F514" s="57">
        <v>2026.0</v>
      </c>
      <c r="G514" s="14">
        <f t="shared" si="3"/>
        <v>0.0004938271605</v>
      </c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>
      <c r="A515" s="8"/>
      <c r="B515" s="10"/>
      <c r="C515" s="11" t="s">
        <v>107</v>
      </c>
      <c r="D515" s="82" t="s">
        <v>108</v>
      </c>
      <c r="E515" s="13">
        <v>500.0</v>
      </c>
      <c r="F515" s="13">
        <v>500.0</v>
      </c>
      <c r="G515" s="14">
        <f t="shared" si="3"/>
        <v>0</v>
      </c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>
      <c r="A516" s="8"/>
      <c r="B516" s="10"/>
      <c r="C516" s="11" t="s">
        <v>109</v>
      </c>
      <c r="D516" s="82" t="s">
        <v>110</v>
      </c>
      <c r="E516" s="13">
        <v>46000.0</v>
      </c>
      <c r="F516" s="60">
        <v>41000.0</v>
      </c>
      <c r="G516" s="14">
        <f t="shared" si="3"/>
        <v>-0.1086956522</v>
      </c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>
      <c r="A517" s="8"/>
      <c r="B517" s="10"/>
      <c r="C517" s="11" t="s">
        <v>111</v>
      </c>
      <c r="D517" s="82" t="s">
        <v>112</v>
      </c>
      <c r="E517" s="13">
        <v>6000.0</v>
      </c>
      <c r="F517" s="13">
        <v>6000.0</v>
      </c>
      <c r="G517" s="14">
        <f t="shared" si="3"/>
        <v>0</v>
      </c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>
      <c r="A518" s="8"/>
      <c r="B518" s="10"/>
      <c r="C518" s="11" t="s">
        <v>113</v>
      </c>
      <c r="D518" s="82" t="s">
        <v>114</v>
      </c>
      <c r="E518" s="13">
        <v>74000.0</v>
      </c>
      <c r="F518" s="13">
        <v>74000.0</v>
      </c>
      <c r="G518" s="14">
        <f t="shared" si="3"/>
        <v>0</v>
      </c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>
      <c r="A519" s="8"/>
      <c r="B519" s="10"/>
      <c r="C519" s="11" t="s">
        <v>115</v>
      </c>
      <c r="D519" s="82" t="s">
        <v>116</v>
      </c>
      <c r="E519" s="13">
        <v>500.0</v>
      </c>
      <c r="F519" s="13">
        <v>500.0</v>
      </c>
      <c r="G519" s="14">
        <f t="shared" si="3"/>
        <v>0</v>
      </c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>
      <c r="A520" s="8"/>
      <c r="B520" s="10"/>
      <c r="C520" s="11" t="s">
        <v>117</v>
      </c>
      <c r="D520" s="82" t="s">
        <v>118</v>
      </c>
      <c r="E520" s="13">
        <v>8500.0</v>
      </c>
      <c r="F520" s="60">
        <v>1500.0</v>
      </c>
      <c r="G520" s="14">
        <f t="shared" si="3"/>
        <v>-0.8235294118</v>
      </c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>
      <c r="A521" s="8"/>
      <c r="B521" s="10"/>
      <c r="C521" s="83" t="s">
        <v>119</v>
      </c>
      <c r="D521" s="84" t="s">
        <v>120</v>
      </c>
      <c r="E521" s="13"/>
      <c r="F521" s="60">
        <v>10000.0</v>
      </c>
      <c r="G521" s="14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>
      <c r="A522" s="8"/>
      <c r="B522" s="10"/>
      <c r="C522" s="11" t="s">
        <v>121</v>
      </c>
      <c r="D522" s="42" t="s">
        <v>122</v>
      </c>
      <c r="E522" s="13">
        <v>10000.0</v>
      </c>
      <c r="F522" s="13">
        <v>10000.0</v>
      </c>
      <c r="G522" s="14">
        <f t="shared" ref="G522:G540" si="4">IFERROR(((F522-E522)/E522), "")</f>
        <v>0</v>
      </c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>
      <c r="A523" s="8"/>
      <c r="B523" s="10"/>
      <c r="C523" s="11" t="s">
        <v>123</v>
      </c>
      <c r="D523" s="82" t="s">
        <v>124</v>
      </c>
      <c r="E523" s="13">
        <v>10000.0</v>
      </c>
      <c r="F523" s="13">
        <v>10000.0</v>
      </c>
      <c r="G523" s="14">
        <f t="shared" si="4"/>
        <v>0</v>
      </c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>
      <c r="A524" s="8"/>
      <c r="B524" s="10"/>
      <c r="C524" s="11" t="s">
        <v>125</v>
      </c>
      <c r="D524" s="42" t="s">
        <v>126</v>
      </c>
      <c r="E524" s="13">
        <v>0.0</v>
      </c>
      <c r="F524" s="13">
        <v>0.0</v>
      </c>
      <c r="G524" s="14" t="str">
        <f t="shared" si="4"/>
        <v/>
      </c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>
      <c r="A525" s="8"/>
      <c r="B525" s="10"/>
      <c r="C525" s="11" t="s">
        <v>127</v>
      </c>
      <c r="D525" s="42" t="s">
        <v>128</v>
      </c>
      <c r="E525" s="13">
        <v>5200.0</v>
      </c>
      <c r="F525" s="13">
        <v>5200.0</v>
      </c>
      <c r="G525" s="14">
        <f t="shared" si="4"/>
        <v>0</v>
      </c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>
      <c r="A526" s="8"/>
      <c r="B526" s="10"/>
      <c r="C526" s="11" t="s">
        <v>129</v>
      </c>
      <c r="D526" s="42" t="s">
        <v>130</v>
      </c>
      <c r="E526" s="13">
        <v>35000.0</v>
      </c>
      <c r="F526" s="13">
        <v>35000.0</v>
      </c>
      <c r="G526" s="14">
        <f t="shared" si="4"/>
        <v>0</v>
      </c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>
      <c r="A527" s="8"/>
      <c r="B527" s="10"/>
      <c r="C527" s="11" t="s">
        <v>131</v>
      </c>
      <c r="D527" s="42" t="s">
        <v>132</v>
      </c>
      <c r="E527" s="13">
        <v>8500.0</v>
      </c>
      <c r="F527" s="13">
        <v>8500.0</v>
      </c>
      <c r="G527" s="14">
        <f t="shared" si="4"/>
        <v>0</v>
      </c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>
      <c r="A528" s="8"/>
      <c r="B528" s="10"/>
      <c r="C528" s="11" t="s">
        <v>133</v>
      </c>
      <c r="D528" s="42" t="s">
        <v>134</v>
      </c>
      <c r="E528" s="13">
        <v>3500.0</v>
      </c>
      <c r="F528" s="13">
        <v>3500.0</v>
      </c>
      <c r="G528" s="14">
        <f t="shared" si="4"/>
        <v>0</v>
      </c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>
      <c r="A529" s="8"/>
      <c r="B529" s="10"/>
      <c r="C529" s="11" t="s">
        <v>135</v>
      </c>
      <c r="D529" s="42" t="s">
        <v>136</v>
      </c>
      <c r="E529" s="13">
        <v>0.0</v>
      </c>
      <c r="F529" s="13">
        <v>0.0</v>
      </c>
      <c r="G529" s="14" t="str">
        <f t="shared" si="4"/>
        <v/>
      </c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>
      <c r="A530" s="8"/>
      <c r="B530" s="10"/>
      <c r="C530" s="11" t="s">
        <v>137</v>
      </c>
      <c r="D530" s="42" t="s">
        <v>138</v>
      </c>
      <c r="E530" s="13">
        <v>2600.0</v>
      </c>
      <c r="F530" s="13">
        <v>2600.0</v>
      </c>
      <c r="G530" s="14">
        <f t="shared" si="4"/>
        <v>0</v>
      </c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>
      <c r="A531" s="8"/>
      <c r="B531" s="10"/>
      <c r="C531" s="11" t="s">
        <v>139</v>
      </c>
      <c r="D531" s="42" t="s">
        <v>140</v>
      </c>
      <c r="E531" s="13">
        <v>100.0</v>
      </c>
      <c r="F531" s="13">
        <v>100.0</v>
      </c>
      <c r="G531" s="14">
        <f t="shared" si="4"/>
        <v>0</v>
      </c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>
      <c r="A532" s="8"/>
      <c r="B532" s="10"/>
      <c r="C532" s="11" t="s">
        <v>141</v>
      </c>
      <c r="D532" s="82" t="s">
        <v>142</v>
      </c>
      <c r="E532" s="13">
        <v>0.0</v>
      </c>
      <c r="F532" s="13">
        <v>0.0</v>
      </c>
      <c r="G532" s="14" t="str">
        <f t="shared" si="4"/>
        <v/>
      </c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>
      <c r="A533" s="8"/>
      <c r="B533" s="10"/>
      <c r="C533" s="11" t="s">
        <v>143</v>
      </c>
      <c r="D533" s="82" t="s">
        <v>144</v>
      </c>
      <c r="E533" s="13">
        <v>100.0</v>
      </c>
      <c r="F533" s="13">
        <v>100.0</v>
      </c>
      <c r="G533" s="14">
        <f t="shared" si="4"/>
        <v>0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>
      <c r="A534" s="8"/>
      <c r="B534" s="10"/>
      <c r="C534" s="11" t="s">
        <v>145</v>
      </c>
      <c r="D534" s="82" t="s">
        <v>146</v>
      </c>
      <c r="E534" s="13">
        <v>100.0</v>
      </c>
      <c r="F534" s="13">
        <v>100.0</v>
      </c>
      <c r="G534" s="14">
        <f t="shared" si="4"/>
        <v>0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>
      <c r="A535" s="8"/>
      <c r="B535" s="10"/>
      <c r="C535" s="11" t="s">
        <v>147</v>
      </c>
      <c r="D535" s="82" t="s">
        <v>148</v>
      </c>
      <c r="E535" s="13">
        <v>4500.0</v>
      </c>
      <c r="F535" s="13">
        <v>4500.0</v>
      </c>
      <c r="G535" s="14">
        <f t="shared" si="4"/>
        <v>0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>
      <c r="A536" s="8"/>
      <c r="B536" s="10"/>
      <c r="C536" s="11" t="s">
        <v>149</v>
      </c>
      <c r="D536" s="82" t="s">
        <v>150</v>
      </c>
      <c r="E536" s="13">
        <v>22000.0</v>
      </c>
      <c r="F536" s="13">
        <v>22000.0</v>
      </c>
      <c r="G536" s="14">
        <f t="shared" si="4"/>
        <v>0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>
      <c r="A537" s="8"/>
      <c r="B537" s="10"/>
      <c r="C537" s="11" t="s">
        <v>151</v>
      </c>
      <c r="D537" s="82" t="s">
        <v>152</v>
      </c>
      <c r="E537" s="13">
        <v>9000.0</v>
      </c>
      <c r="F537" s="13">
        <v>9000.0</v>
      </c>
      <c r="G537" s="14">
        <f t="shared" si="4"/>
        <v>0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>
      <c r="A538" s="8"/>
      <c r="B538" s="32">
        <v>1320.0</v>
      </c>
      <c r="E538" s="33">
        <v>246100.0</v>
      </c>
      <c r="F538" s="33">
        <f>SUM(F515:F537)</f>
        <v>244100</v>
      </c>
      <c r="G538" s="14">
        <f t="shared" si="4"/>
        <v>-0.008126777733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>
      <c r="A539" s="8"/>
      <c r="B539" s="32"/>
      <c r="C539" s="61"/>
      <c r="D539" s="12"/>
      <c r="E539" s="43"/>
      <c r="F539" s="43"/>
      <c r="G539" s="14" t="str">
        <f t="shared" si="4"/>
        <v/>
      </c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>
      <c r="A540" s="8"/>
      <c r="B540" s="44">
        <v>1330.0</v>
      </c>
      <c r="C540" s="45"/>
      <c r="D540" s="46" t="s">
        <v>153</v>
      </c>
      <c r="E540" s="47">
        <v>2025.0</v>
      </c>
      <c r="F540" s="48">
        <v>2026.0</v>
      </c>
      <c r="G540" s="14">
        <f t="shared" si="4"/>
        <v>0.0004938271605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>
      <c r="A541" s="8"/>
      <c r="B541" s="10"/>
      <c r="C541" s="83" t="s">
        <v>154</v>
      </c>
      <c r="D541" s="84" t="s">
        <v>155</v>
      </c>
      <c r="E541" s="60"/>
      <c r="F541" s="60">
        <v>5000.0</v>
      </c>
      <c r="G541" s="14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>
      <c r="A542" s="8"/>
      <c r="B542" s="10"/>
      <c r="C542" s="11" t="s">
        <v>111</v>
      </c>
      <c r="D542" s="82" t="s">
        <v>112</v>
      </c>
      <c r="E542" s="13">
        <v>0.0</v>
      </c>
      <c r="F542" s="13">
        <v>0.0</v>
      </c>
      <c r="G542" s="14" t="str">
        <f t="shared" ref="G542:G545" si="5">IFERROR(((F542-E542)/E542), "")</f>
        <v/>
      </c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>
      <c r="A543" s="8"/>
      <c r="B543" s="10"/>
      <c r="C543" s="11" t="s">
        <v>123</v>
      </c>
      <c r="D543" s="82" t="s">
        <v>124</v>
      </c>
      <c r="E543" s="13">
        <v>3300.0</v>
      </c>
      <c r="F543" s="13">
        <v>3300.0</v>
      </c>
      <c r="G543" s="14">
        <f t="shared" si="5"/>
        <v>0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>
      <c r="A544" s="8"/>
      <c r="B544" s="10"/>
      <c r="C544" s="11" t="s">
        <v>135</v>
      </c>
      <c r="D544" s="42" t="s">
        <v>136</v>
      </c>
      <c r="E544" s="13">
        <v>40000.0</v>
      </c>
      <c r="F544" s="13">
        <v>40000.0</v>
      </c>
      <c r="G544" s="14">
        <f t="shared" si="5"/>
        <v>0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>
      <c r="A545" s="8"/>
      <c r="B545" s="10"/>
      <c r="C545" s="11" t="s">
        <v>149</v>
      </c>
      <c r="D545" s="42" t="s">
        <v>156</v>
      </c>
      <c r="E545" s="13">
        <v>620000.0</v>
      </c>
      <c r="F545" s="60">
        <v>10000.0</v>
      </c>
      <c r="G545" s="14">
        <f t="shared" si="5"/>
        <v>-0.9838709677</v>
      </c>
      <c r="H545" s="49"/>
      <c r="I545" s="49"/>
      <c r="J545" s="49"/>
      <c r="K545" s="49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>
      <c r="A546" s="8"/>
      <c r="B546" s="10"/>
      <c r="C546" s="83" t="s">
        <v>157</v>
      </c>
      <c r="D546" s="85" t="s">
        <v>158</v>
      </c>
      <c r="E546" s="13"/>
      <c r="F546" s="60">
        <v>355000.0</v>
      </c>
      <c r="G546" s="14"/>
      <c r="H546" s="49"/>
      <c r="I546" s="49"/>
      <c r="J546" s="49"/>
      <c r="K546" s="49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>
      <c r="A547" s="8"/>
      <c r="B547" s="10"/>
      <c r="C547" s="83" t="s">
        <v>159</v>
      </c>
      <c r="D547" s="85" t="s">
        <v>160</v>
      </c>
      <c r="E547" s="13"/>
      <c r="F547" s="60">
        <v>255000.0</v>
      </c>
      <c r="G547" s="14"/>
      <c r="H547" s="49"/>
      <c r="I547" s="49"/>
      <c r="J547" s="49"/>
      <c r="K547" s="49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>
      <c r="A548" s="8"/>
      <c r="B548" s="32">
        <v>1330.0</v>
      </c>
      <c r="E548" s="33">
        <v>663300.0</v>
      </c>
      <c r="F548" s="33">
        <f>SUM(F541:F547)</f>
        <v>668300</v>
      </c>
      <c r="G548" s="14">
        <f t="shared" ref="G548:G550" si="6">IFERROR(((F548-E548)/E548), "")</f>
        <v>0.00753806724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>
      <c r="A549" s="8"/>
      <c r="B549" s="10"/>
      <c r="C549" s="11"/>
      <c r="D549" s="12"/>
      <c r="E549" s="13"/>
      <c r="F549" s="13"/>
      <c r="G549" s="14" t="str">
        <f t="shared" si="6"/>
        <v/>
      </c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>
      <c r="A550" s="8"/>
      <c r="B550" s="44">
        <v>1350.0</v>
      </c>
      <c r="C550" s="45"/>
      <c r="D550" s="46" t="s">
        <v>161</v>
      </c>
      <c r="E550" s="47">
        <v>2025.0</v>
      </c>
      <c r="F550" s="48">
        <v>2026.0</v>
      </c>
      <c r="G550" s="14">
        <f t="shared" si="6"/>
        <v>0.0004938271605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>
      <c r="A551" s="8"/>
      <c r="B551" s="10"/>
      <c r="C551" s="83" t="s">
        <v>162</v>
      </c>
      <c r="D551" s="82" t="s">
        <v>163</v>
      </c>
      <c r="E551" s="13"/>
      <c r="F551" s="60">
        <v>18000.0</v>
      </c>
      <c r="G551" s="8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>
      <c r="A552" s="8"/>
      <c r="B552" s="10"/>
      <c r="C552" s="11" t="s">
        <v>107</v>
      </c>
      <c r="D552" s="82" t="s">
        <v>108</v>
      </c>
      <c r="E552" s="13">
        <v>20000.0</v>
      </c>
      <c r="F552" s="60">
        <v>15000.0</v>
      </c>
      <c r="G552" s="14">
        <f t="shared" ref="G552:G573" si="7">IFERROR(((F552-E552)/E552), "")</f>
        <v>-0.25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>
      <c r="A553" s="8"/>
      <c r="B553" s="10"/>
      <c r="C553" s="11" t="s">
        <v>109</v>
      </c>
      <c r="D553" s="82" t="s">
        <v>110</v>
      </c>
      <c r="E553" s="13">
        <v>6000.0</v>
      </c>
      <c r="F553" s="60">
        <v>11000.0</v>
      </c>
      <c r="G553" s="14">
        <f t="shared" si="7"/>
        <v>0.8333333333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>
      <c r="A554" s="8"/>
      <c r="B554" s="10"/>
      <c r="C554" s="11" t="s">
        <v>111</v>
      </c>
      <c r="D554" s="82" t="s">
        <v>112</v>
      </c>
      <c r="E554" s="13">
        <v>3000.0</v>
      </c>
      <c r="F554" s="60">
        <v>3000.0</v>
      </c>
      <c r="G554" s="14">
        <f t="shared" si="7"/>
        <v>0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>
      <c r="A555" s="8"/>
      <c r="B555" s="10"/>
      <c r="C555" s="11" t="s">
        <v>113</v>
      </c>
      <c r="D555" s="82" t="s">
        <v>114</v>
      </c>
      <c r="E555" s="13">
        <v>5000.0</v>
      </c>
      <c r="F555" s="60">
        <v>5000.0</v>
      </c>
      <c r="G555" s="14">
        <f t="shared" si="7"/>
        <v>0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>
      <c r="A556" s="8"/>
      <c r="B556" s="10"/>
      <c r="C556" s="11" t="s">
        <v>121</v>
      </c>
      <c r="D556" s="42" t="s">
        <v>122</v>
      </c>
      <c r="E556" s="13">
        <v>1000.0</v>
      </c>
      <c r="F556" s="13">
        <v>1000.0</v>
      </c>
      <c r="G556" s="14">
        <f t="shared" si="7"/>
        <v>0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>
      <c r="A557" s="8"/>
      <c r="B557" s="10"/>
      <c r="C557" s="11" t="s">
        <v>123</v>
      </c>
      <c r="D557" s="82" t="s">
        <v>124</v>
      </c>
      <c r="E557" s="13">
        <v>2000.0</v>
      </c>
      <c r="F557" s="60">
        <v>3200.0</v>
      </c>
      <c r="G557" s="14">
        <f t="shared" si="7"/>
        <v>0.6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>
      <c r="A558" s="8"/>
      <c r="B558" s="10"/>
      <c r="C558" s="11" t="s">
        <v>127</v>
      </c>
      <c r="D558" s="42" t="s">
        <v>128</v>
      </c>
      <c r="E558" s="13">
        <v>4000.0</v>
      </c>
      <c r="F558" s="60">
        <v>6000.0</v>
      </c>
      <c r="G558" s="14">
        <f t="shared" si="7"/>
        <v>0.5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>
      <c r="A559" s="8"/>
      <c r="B559" s="10"/>
      <c r="C559" s="11" t="s">
        <v>129</v>
      </c>
      <c r="D559" s="82" t="s">
        <v>130</v>
      </c>
      <c r="E559" s="13">
        <v>24000.0</v>
      </c>
      <c r="F559" s="60">
        <v>18000.0</v>
      </c>
      <c r="G559" s="14">
        <f t="shared" si="7"/>
        <v>-0.25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>
      <c r="A560" s="8"/>
      <c r="B560" s="10"/>
      <c r="C560" s="11" t="s">
        <v>131</v>
      </c>
      <c r="D560" s="42" t="s">
        <v>132</v>
      </c>
      <c r="E560" s="13">
        <v>300.0</v>
      </c>
      <c r="F560" s="60">
        <v>5000.0</v>
      </c>
      <c r="G560" s="14">
        <f t="shared" si="7"/>
        <v>15.66666667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>
      <c r="A561" s="8"/>
      <c r="B561" s="10"/>
      <c r="C561" s="11" t="s">
        <v>133</v>
      </c>
      <c r="D561" s="42" t="s">
        <v>134</v>
      </c>
      <c r="E561" s="13">
        <v>600.0</v>
      </c>
      <c r="F561" s="60">
        <v>1000.0</v>
      </c>
      <c r="G561" s="14">
        <f t="shared" si="7"/>
        <v>0.6666666667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>
      <c r="A562" s="8"/>
      <c r="B562" s="10"/>
      <c r="C562" s="11" t="s">
        <v>137</v>
      </c>
      <c r="D562" s="82" t="s">
        <v>138</v>
      </c>
      <c r="E562" s="13">
        <v>6000.0</v>
      </c>
      <c r="F562" s="13">
        <v>6000.0</v>
      </c>
      <c r="G562" s="14">
        <f t="shared" si="7"/>
        <v>0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>
      <c r="A563" s="8"/>
      <c r="B563" s="10"/>
      <c r="C563" s="11" t="s">
        <v>141</v>
      </c>
      <c r="D563" s="82" t="s">
        <v>142</v>
      </c>
      <c r="E563" s="13">
        <v>500.0</v>
      </c>
      <c r="F563" s="60">
        <v>500.0</v>
      </c>
      <c r="G563" s="14">
        <f t="shared" si="7"/>
        <v>0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>
      <c r="A564" s="8"/>
      <c r="B564" s="10"/>
      <c r="C564" s="11" t="s">
        <v>143</v>
      </c>
      <c r="D564" s="82" t="s">
        <v>144</v>
      </c>
      <c r="E564" s="13">
        <v>100.0</v>
      </c>
      <c r="F564" s="13">
        <v>100.0</v>
      </c>
      <c r="G564" s="14">
        <f t="shared" si="7"/>
        <v>0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>
      <c r="A565" s="8"/>
      <c r="B565" s="10"/>
      <c r="C565" s="11" t="s">
        <v>147</v>
      </c>
      <c r="D565" s="82" t="s">
        <v>148</v>
      </c>
      <c r="E565" s="13">
        <v>5700.0</v>
      </c>
      <c r="F565" s="60">
        <v>6000.0</v>
      </c>
      <c r="G565" s="14">
        <f t="shared" si="7"/>
        <v>0.05263157895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>
      <c r="A566" s="8"/>
      <c r="B566" s="10"/>
      <c r="C566" s="11" t="s">
        <v>151</v>
      </c>
      <c r="D566" s="82" t="s">
        <v>152</v>
      </c>
      <c r="E566" s="13">
        <v>100.0</v>
      </c>
      <c r="F566" s="60">
        <v>200.0</v>
      </c>
      <c r="G566" s="14">
        <f t="shared" si="7"/>
        <v>1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>
      <c r="A567" s="8"/>
      <c r="B567" s="32">
        <v>1350.0</v>
      </c>
      <c r="E567" s="33">
        <v>78300.0</v>
      </c>
      <c r="F567" s="33">
        <f>SUM(F551:F566)</f>
        <v>99000</v>
      </c>
      <c r="G567" s="14">
        <f t="shared" si="7"/>
        <v>0.2643678161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>
      <c r="A568" s="8"/>
      <c r="B568" s="10"/>
      <c r="C568" s="11"/>
      <c r="D568" s="12"/>
      <c r="E568" s="13"/>
      <c r="F568" s="13"/>
      <c r="G568" s="14" t="str">
        <f t="shared" si="7"/>
        <v/>
      </c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>
      <c r="A569" s="8"/>
      <c r="B569" s="44">
        <v>1360.0</v>
      </c>
      <c r="C569" s="45"/>
      <c r="D569" s="46" t="s">
        <v>40</v>
      </c>
      <c r="E569" s="47">
        <v>2025.0</v>
      </c>
      <c r="F569" s="48">
        <v>2026.0</v>
      </c>
      <c r="G569" s="14">
        <f t="shared" si="7"/>
        <v>0.0004938271605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>
      <c r="A570" s="8"/>
      <c r="B570" s="10"/>
      <c r="C570" s="11" t="s">
        <v>107</v>
      </c>
      <c r="D570" s="82" t="s">
        <v>108</v>
      </c>
      <c r="E570" s="13">
        <v>300.0</v>
      </c>
      <c r="F570" s="13">
        <v>300.0</v>
      </c>
      <c r="G570" s="14">
        <f t="shared" si="7"/>
        <v>0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>
      <c r="A571" s="8"/>
      <c r="B571" s="10"/>
      <c r="C571" s="11" t="s">
        <v>109</v>
      </c>
      <c r="D571" s="82" t="s">
        <v>110</v>
      </c>
      <c r="E571" s="13">
        <v>72000.0</v>
      </c>
      <c r="F571" s="60">
        <v>64000.0</v>
      </c>
      <c r="G571" s="14">
        <f t="shared" si="7"/>
        <v>-0.1111111111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>
      <c r="A572" s="8"/>
      <c r="B572" s="10"/>
      <c r="C572" s="11" t="s">
        <v>111</v>
      </c>
      <c r="D572" s="82" t="s">
        <v>112</v>
      </c>
      <c r="E572" s="13">
        <v>40000.0</v>
      </c>
      <c r="F572" s="13">
        <v>40000.0</v>
      </c>
      <c r="G572" s="14">
        <f t="shared" si="7"/>
        <v>0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>
      <c r="A573" s="8"/>
      <c r="B573" s="10"/>
      <c r="C573" s="11" t="s">
        <v>113</v>
      </c>
      <c r="D573" s="82" t="s">
        <v>114</v>
      </c>
      <c r="E573" s="13">
        <v>20000.0</v>
      </c>
      <c r="F573" s="13">
        <v>20000.0</v>
      </c>
      <c r="G573" s="14">
        <f t="shared" si="7"/>
        <v>0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>
      <c r="A574" s="8"/>
      <c r="B574" s="10"/>
      <c r="C574" s="83" t="s">
        <v>117</v>
      </c>
      <c r="D574" s="82" t="s">
        <v>164</v>
      </c>
      <c r="E574" s="13"/>
      <c r="F574" s="60">
        <v>13000.0</v>
      </c>
      <c r="G574" s="14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>
      <c r="A575" s="8"/>
      <c r="B575" s="10"/>
      <c r="C575" s="11" t="s">
        <v>121</v>
      </c>
      <c r="D575" s="82" t="s">
        <v>122</v>
      </c>
      <c r="E575" s="13">
        <v>1500.0</v>
      </c>
      <c r="F575" s="13">
        <v>1500.0</v>
      </c>
      <c r="G575" s="14">
        <f t="shared" ref="G575:G677" si="8">IFERROR(((F575-E575)/E575), "")</f>
        <v>0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>
      <c r="A576" s="8"/>
      <c r="B576" s="10"/>
      <c r="C576" s="11" t="s">
        <v>123</v>
      </c>
      <c r="D576" s="87" t="s">
        <v>165</v>
      </c>
      <c r="E576" s="13">
        <v>14000.0</v>
      </c>
      <c r="F576" s="13">
        <v>14000.0</v>
      </c>
      <c r="G576" s="14">
        <f t="shared" si="8"/>
        <v>0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>
      <c r="A577" s="8"/>
      <c r="B577" s="10"/>
      <c r="C577" s="11" t="s">
        <v>125</v>
      </c>
      <c r="D577" s="82" t="s">
        <v>126</v>
      </c>
      <c r="E577" s="13">
        <v>12000.0</v>
      </c>
      <c r="F577" s="13">
        <v>12000.0</v>
      </c>
      <c r="G577" s="14">
        <f t="shared" si="8"/>
        <v>0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>
      <c r="A578" s="8"/>
      <c r="B578" s="10"/>
      <c r="C578" s="11" t="s">
        <v>127</v>
      </c>
      <c r="D578" s="42" t="s">
        <v>128</v>
      </c>
      <c r="E578" s="13">
        <v>12000.0</v>
      </c>
      <c r="F578" s="13">
        <v>12000.0</v>
      </c>
      <c r="G578" s="14">
        <f t="shared" si="8"/>
        <v>0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>
      <c r="A579" s="8"/>
      <c r="B579" s="10"/>
      <c r="C579" s="11" t="s">
        <v>129</v>
      </c>
      <c r="D579" s="82" t="s">
        <v>130</v>
      </c>
      <c r="E579" s="13">
        <v>22500.0</v>
      </c>
      <c r="F579" s="13">
        <v>22500.0</v>
      </c>
      <c r="G579" s="14">
        <f t="shared" si="8"/>
        <v>0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>
      <c r="A580" s="8"/>
      <c r="B580" s="10"/>
      <c r="C580" s="11" t="s">
        <v>131</v>
      </c>
      <c r="D580" s="82" t="s">
        <v>132</v>
      </c>
      <c r="E580" s="13">
        <v>5000.0</v>
      </c>
      <c r="F580" s="13">
        <v>5000.0</v>
      </c>
      <c r="G580" s="14">
        <f t="shared" si="8"/>
        <v>0</v>
      </c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>
      <c r="A581" s="8"/>
      <c r="B581" s="10"/>
      <c r="C581" s="11" t="s">
        <v>133</v>
      </c>
      <c r="D581" s="82" t="s">
        <v>134</v>
      </c>
      <c r="E581" s="13">
        <v>2000.0</v>
      </c>
      <c r="F581" s="13">
        <v>2000.0</v>
      </c>
      <c r="G581" s="14">
        <f t="shared" si="8"/>
        <v>0</v>
      </c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>
      <c r="A582" s="8"/>
      <c r="B582" s="10"/>
      <c r="C582" s="11" t="s">
        <v>137</v>
      </c>
      <c r="D582" s="82" t="s">
        <v>138</v>
      </c>
      <c r="E582" s="13">
        <v>15000.0</v>
      </c>
      <c r="F582" s="13">
        <v>15000.0</v>
      </c>
      <c r="G582" s="14">
        <f t="shared" si="8"/>
        <v>0</v>
      </c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>
      <c r="A583" s="8"/>
      <c r="B583" s="10"/>
      <c r="C583" s="11" t="s">
        <v>139</v>
      </c>
      <c r="D583" s="42" t="s">
        <v>140</v>
      </c>
      <c r="E583" s="13">
        <v>100.0</v>
      </c>
      <c r="F583" s="13">
        <v>100.0</v>
      </c>
      <c r="G583" s="14">
        <f t="shared" si="8"/>
        <v>0</v>
      </c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>
      <c r="A584" s="8"/>
      <c r="B584" s="10"/>
      <c r="C584" s="11" t="s">
        <v>141</v>
      </c>
      <c r="D584" s="82" t="s">
        <v>142</v>
      </c>
      <c r="E584" s="13">
        <v>1000.0</v>
      </c>
      <c r="F584" s="13">
        <v>1000.0</v>
      </c>
      <c r="G584" s="14">
        <f t="shared" si="8"/>
        <v>0</v>
      </c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>
      <c r="A585" s="8"/>
      <c r="B585" s="10"/>
      <c r="C585" s="11" t="s">
        <v>147</v>
      </c>
      <c r="D585" s="82" t="s">
        <v>148</v>
      </c>
      <c r="E585" s="13">
        <v>10000.0</v>
      </c>
      <c r="F585" s="13">
        <v>10000.0</v>
      </c>
      <c r="G585" s="14">
        <f t="shared" si="8"/>
        <v>0</v>
      </c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>
      <c r="A586" s="8"/>
      <c r="B586" s="10"/>
      <c r="C586" s="11" t="s">
        <v>149</v>
      </c>
      <c r="D586" s="82" t="s">
        <v>150</v>
      </c>
      <c r="E586" s="13">
        <v>1500.0</v>
      </c>
      <c r="F586" s="13">
        <v>1500.0</v>
      </c>
      <c r="G586" s="14">
        <f t="shared" si="8"/>
        <v>0</v>
      </c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>
      <c r="A587" s="8"/>
      <c r="B587" s="10"/>
      <c r="C587" s="11" t="s">
        <v>151</v>
      </c>
      <c r="D587" s="82" t="s">
        <v>152</v>
      </c>
      <c r="E587" s="13">
        <v>2500.0</v>
      </c>
      <c r="F587" s="13">
        <v>2500.0</v>
      </c>
      <c r="G587" s="14">
        <f t="shared" si="8"/>
        <v>0</v>
      </c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>
      <c r="A588" s="8"/>
      <c r="B588" s="32">
        <v>1360.0</v>
      </c>
      <c r="E588" s="33">
        <v>231400.0</v>
      </c>
      <c r="F588" s="33">
        <f>SUM(F570:F587)</f>
        <v>236400</v>
      </c>
      <c r="G588" s="14">
        <f t="shared" si="8"/>
        <v>0.02160760588</v>
      </c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>
      <c r="A589" s="8"/>
      <c r="B589" s="10"/>
      <c r="C589" s="11"/>
      <c r="D589" s="58"/>
      <c r="E589" s="43"/>
      <c r="F589" s="43"/>
      <c r="G589" s="14" t="str">
        <f t="shared" si="8"/>
        <v/>
      </c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>
      <c r="A590" s="8"/>
      <c r="B590" s="44">
        <v>1500.0</v>
      </c>
      <c r="C590" s="45"/>
      <c r="D590" s="46" t="s">
        <v>43</v>
      </c>
      <c r="E590" s="47">
        <v>2025.0</v>
      </c>
      <c r="F590" s="48">
        <v>2026.0</v>
      </c>
      <c r="G590" s="14">
        <f t="shared" si="8"/>
        <v>0.0004938271605</v>
      </c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>
      <c r="A591" s="8"/>
      <c r="B591" s="10"/>
      <c r="C591" s="11" t="s">
        <v>107</v>
      </c>
      <c r="D591" s="82" t="s">
        <v>108</v>
      </c>
      <c r="E591" s="13">
        <v>200.0</v>
      </c>
      <c r="F591" s="13">
        <v>200.0</v>
      </c>
      <c r="G591" s="14">
        <f t="shared" si="8"/>
        <v>0</v>
      </c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>
      <c r="A592" s="8"/>
      <c r="B592" s="10"/>
      <c r="C592" s="11" t="s">
        <v>109</v>
      </c>
      <c r="D592" s="82" t="s">
        <v>110</v>
      </c>
      <c r="E592" s="13">
        <v>73000.0</v>
      </c>
      <c r="F592" s="60">
        <v>64000.0</v>
      </c>
      <c r="G592" s="14">
        <f t="shared" si="8"/>
        <v>-0.1232876712</v>
      </c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>
      <c r="A593" s="8"/>
      <c r="B593" s="10"/>
      <c r="C593" s="11" t="s">
        <v>113</v>
      </c>
      <c r="D593" s="82" t="s">
        <v>114</v>
      </c>
      <c r="E593" s="13">
        <v>2000.0</v>
      </c>
      <c r="F593" s="13">
        <v>2000.0</v>
      </c>
      <c r="G593" s="14">
        <f t="shared" si="8"/>
        <v>0</v>
      </c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>
      <c r="A594" s="8"/>
      <c r="B594" s="10"/>
      <c r="C594" s="11" t="s">
        <v>117</v>
      </c>
      <c r="D594" s="82" t="s">
        <v>164</v>
      </c>
      <c r="E594" s="13">
        <v>12000.0</v>
      </c>
      <c r="F594" s="60">
        <v>25000.0</v>
      </c>
      <c r="G594" s="14">
        <f t="shared" si="8"/>
        <v>1.083333333</v>
      </c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>
      <c r="A595" s="8"/>
      <c r="B595" s="10"/>
      <c r="C595" s="11" t="s">
        <v>121</v>
      </c>
      <c r="D595" s="82" t="s">
        <v>122</v>
      </c>
      <c r="E595" s="13">
        <v>10000.0</v>
      </c>
      <c r="F595" s="13">
        <v>10000.0</v>
      </c>
      <c r="G595" s="14">
        <f t="shared" si="8"/>
        <v>0</v>
      </c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>
      <c r="A596" s="8"/>
      <c r="B596" s="10"/>
      <c r="C596" s="11" t="s">
        <v>166</v>
      </c>
      <c r="D596" s="82" t="s">
        <v>167</v>
      </c>
      <c r="E596" s="13">
        <v>800.0</v>
      </c>
      <c r="F596" s="13">
        <v>800.0</v>
      </c>
      <c r="G596" s="14">
        <f t="shared" si="8"/>
        <v>0</v>
      </c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>
      <c r="A597" s="8"/>
      <c r="B597" s="10"/>
      <c r="C597" s="11" t="s">
        <v>123</v>
      </c>
      <c r="D597" s="82" t="s">
        <v>124</v>
      </c>
      <c r="E597" s="13">
        <v>5100.0</v>
      </c>
      <c r="F597" s="13">
        <v>5100.0</v>
      </c>
      <c r="G597" s="14">
        <f t="shared" si="8"/>
        <v>0</v>
      </c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>
      <c r="A598" s="8"/>
      <c r="B598" s="10"/>
      <c r="C598" s="11" t="s">
        <v>125</v>
      </c>
      <c r="D598" s="82" t="s">
        <v>168</v>
      </c>
      <c r="E598" s="13">
        <v>16500.0</v>
      </c>
      <c r="F598" s="13">
        <v>16500.0</v>
      </c>
      <c r="G598" s="14">
        <f t="shared" si="8"/>
        <v>0</v>
      </c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>
      <c r="A599" s="8"/>
      <c r="B599" s="10"/>
      <c r="C599" s="11" t="s">
        <v>127</v>
      </c>
      <c r="D599" s="42" t="s">
        <v>128</v>
      </c>
      <c r="E599" s="13">
        <v>2000.0</v>
      </c>
      <c r="F599" s="13">
        <v>2000.0</v>
      </c>
      <c r="G599" s="14">
        <f t="shared" si="8"/>
        <v>0</v>
      </c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>
      <c r="A600" s="8"/>
      <c r="B600" s="10"/>
      <c r="C600" s="11" t="s">
        <v>129</v>
      </c>
      <c r="D600" s="82" t="s">
        <v>130</v>
      </c>
      <c r="E600" s="13">
        <v>2100.0</v>
      </c>
      <c r="F600" s="60">
        <v>2500.0</v>
      </c>
      <c r="G600" s="14">
        <f t="shared" si="8"/>
        <v>0.1904761905</v>
      </c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>
      <c r="A601" s="8"/>
      <c r="B601" s="10"/>
      <c r="C601" s="11" t="s">
        <v>131</v>
      </c>
      <c r="D601" s="82" t="s">
        <v>132</v>
      </c>
      <c r="E601" s="13">
        <v>2100.0</v>
      </c>
      <c r="F601" s="13">
        <v>2100.0</v>
      </c>
      <c r="G601" s="14">
        <f t="shared" si="8"/>
        <v>0</v>
      </c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>
      <c r="A602" s="8"/>
      <c r="B602" s="10"/>
      <c r="C602" s="11" t="s">
        <v>133</v>
      </c>
      <c r="D602" s="82" t="s">
        <v>134</v>
      </c>
      <c r="E602" s="13">
        <v>4500.0</v>
      </c>
      <c r="F602" s="13">
        <v>4500.0</v>
      </c>
      <c r="G602" s="14">
        <f t="shared" si="8"/>
        <v>0</v>
      </c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>
      <c r="A603" s="8"/>
      <c r="B603" s="10"/>
      <c r="C603" s="11" t="s">
        <v>137</v>
      </c>
      <c r="D603" s="82" t="s">
        <v>138</v>
      </c>
      <c r="E603" s="13">
        <v>1300.0</v>
      </c>
      <c r="F603" s="13">
        <v>1300.0</v>
      </c>
      <c r="G603" s="14">
        <f t="shared" si="8"/>
        <v>0</v>
      </c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>
      <c r="A604" s="8"/>
      <c r="B604" s="10"/>
      <c r="C604" s="11" t="s">
        <v>139</v>
      </c>
      <c r="D604" s="42" t="s">
        <v>140</v>
      </c>
      <c r="E604" s="13">
        <v>200.0</v>
      </c>
      <c r="F604" s="13">
        <v>200.0</v>
      </c>
      <c r="G604" s="14">
        <f t="shared" si="8"/>
        <v>0</v>
      </c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>
      <c r="A605" s="8"/>
      <c r="B605" s="32">
        <v>1500.0</v>
      </c>
      <c r="E605" s="33">
        <v>131800.0</v>
      </c>
      <c r="F605" s="33">
        <f>SUM(F591:F604)</f>
        <v>136200</v>
      </c>
      <c r="G605" s="14">
        <f t="shared" si="8"/>
        <v>0.03338391502</v>
      </c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>
      <c r="A606" s="8"/>
      <c r="B606" s="10"/>
      <c r="C606" s="11"/>
      <c r="D606" s="12"/>
      <c r="E606" s="13"/>
      <c r="F606" s="13"/>
      <c r="G606" s="14" t="str">
        <f t="shared" si="8"/>
        <v/>
      </c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>
      <c r="A607" s="8"/>
      <c r="B607" s="44">
        <v>1510.0</v>
      </c>
      <c r="C607" s="45"/>
      <c r="D607" s="46" t="s">
        <v>44</v>
      </c>
      <c r="E607" s="47">
        <v>2025.0</v>
      </c>
      <c r="F607" s="48">
        <v>2026.0</v>
      </c>
      <c r="G607" s="14">
        <f t="shared" si="8"/>
        <v>0.0004938271605</v>
      </c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>
      <c r="A608" s="8"/>
      <c r="B608" s="10"/>
      <c r="C608" s="11" t="s">
        <v>143</v>
      </c>
      <c r="D608" s="82" t="s">
        <v>144</v>
      </c>
      <c r="E608" s="13">
        <v>3000.0</v>
      </c>
      <c r="F608" s="13">
        <v>3000.0</v>
      </c>
      <c r="G608" s="14">
        <f t="shared" si="8"/>
        <v>0</v>
      </c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>
      <c r="A609" s="8"/>
      <c r="B609" s="10"/>
      <c r="C609" s="11" t="s">
        <v>145</v>
      </c>
      <c r="D609" s="82" t="s">
        <v>146</v>
      </c>
      <c r="E609" s="13">
        <v>400.0</v>
      </c>
      <c r="F609" s="13">
        <v>400.0</v>
      </c>
      <c r="G609" s="14">
        <f t="shared" si="8"/>
        <v>0</v>
      </c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>
      <c r="A610" s="8"/>
      <c r="B610" s="10"/>
      <c r="C610" s="11" t="s">
        <v>147</v>
      </c>
      <c r="D610" s="82" t="s">
        <v>148</v>
      </c>
      <c r="E610" s="13">
        <v>5000.0</v>
      </c>
      <c r="F610" s="13">
        <v>5000.0</v>
      </c>
      <c r="G610" s="14">
        <f t="shared" si="8"/>
        <v>0</v>
      </c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>
      <c r="A611" s="8"/>
      <c r="B611" s="10"/>
      <c r="C611" s="11" t="s">
        <v>169</v>
      </c>
      <c r="D611" s="82" t="s">
        <v>170</v>
      </c>
      <c r="E611" s="13">
        <v>13000.0</v>
      </c>
      <c r="F611" s="13">
        <v>13000.0</v>
      </c>
      <c r="G611" s="14">
        <f t="shared" si="8"/>
        <v>0</v>
      </c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>
      <c r="A612" s="8"/>
      <c r="B612" s="10"/>
      <c r="C612" s="11" t="s">
        <v>151</v>
      </c>
      <c r="D612" s="82" t="s">
        <v>152</v>
      </c>
      <c r="E612" s="13">
        <v>1500.0</v>
      </c>
      <c r="F612" s="13">
        <v>1500.0</v>
      </c>
      <c r="G612" s="14">
        <f t="shared" si="8"/>
        <v>0</v>
      </c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>
      <c r="A613" s="8"/>
      <c r="B613" s="10"/>
      <c r="C613" s="11" t="s">
        <v>171</v>
      </c>
      <c r="D613" s="82" t="s">
        <v>172</v>
      </c>
      <c r="E613" s="13">
        <v>1000.0</v>
      </c>
      <c r="F613" s="13">
        <v>1000.0</v>
      </c>
      <c r="G613" s="14">
        <f t="shared" si="8"/>
        <v>0</v>
      </c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>
      <c r="A614" s="8"/>
      <c r="B614" s="32">
        <v>1510.0</v>
      </c>
      <c r="E614" s="33">
        <v>23900.0</v>
      </c>
      <c r="F614" s="33">
        <f>SUM(F608:F613)</f>
        <v>23900</v>
      </c>
      <c r="G614" s="14">
        <f t="shared" si="8"/>
        <v>0</v>
      </c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>
      <c r="A615" s="8"/>
      <c r="B615" s="10"/>
      <c r="C615" s="11"/>
      <c r="D615" s="12"/>
      <c r="E615" s="13"/>
      <c r="F615" s="13"/>
      <c r="G615" s="14" t="str">
        <f t="shared" si="8"/>
        <v/>
      </c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>
      <c r="A616" s="8"/>
      <c r="B616" s="44">
        <v>1522.0</v>
      </c>
      <c r="C616" s="45"/>
      <c r="D616" s="46" t="s">
        <v>173</v>
      </c>
      <c r="E616" s="47">
        <v>2025.0</v>
      </c>
      <c r="F616" s="48">
        <v>2026.0</v>
      </c>
      <c r="G616" s="14">
        <f t="shared" si="8"/>
        <v>0.0004938271605</v>
      </c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>
      <c r="A617" s="8"/>
      <c r="B617" s="10"/>
      <c r="C617" s="11" t="s">
        <v>174</v>
      </c>
      <c r="D617" s="82" t="s">
        <v>175</v>
      </c>
      <c r="E617" s="13">
        <v>10000.0</v>
      </c>
      <c r="F617" s="13">
        <v>10000.0</v>
      </c>
      <c r="G617" s="14">
        <f t="shared" si="8"/>
        <v>0</v>
      </c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>
      <c r="A618" s="8"/>
      <c r="B618" s="10"/>
      <c r="C618" s="11" t="s">
        <v>169</v>
      </c>
      <c r="D618" s="82" t="s">
        <v>170</v>
      </c>
      <c r="E618" s="13">
        <v>15000.0</v>
      </c>
      <c r="F618" s="60">
        <v>0.0</v>
      </c>
      <c r="G618" s="14">
        <f t="shared" si="8"/>
        <v>-1</v>
      </c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>
      <c r="A619" s="49"/>
      <c r="B619" s="49"/>
      <c r="C619" s="88" t="s">
        <v>147</v>
      </c>
      <c r="D619" s="89" t="s">
        <v>148</v>
      </c>
      <c r="E619" s="90">
        <v>20000.0</v>
      </c>
      <c r="F619" s="91">
        <v>10000.0</v>
      </c>
      <c r="G619" s="14">
        <f t="shared" si="8"/>
        <v>-0.5</v>
      </c>
      <c r="H619" s="49"/>
      <c r="I619" s="49"/>
      <c r="J619" s="49"/>
      <c r="K619" s="49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>
      <c r="A620" s="8"/>
      <c r="B620" s="32">
        <v>1522.0</v>
      </c>
      <c r="E620" s="33">
        <v>45000.0</v>
      </c>
      <c r="F620" s="33">
        <f>SUM(F617:F619)</f>
        <v>20000</v>
      </c>
      <c r="G620" s="14">
        <f t="shared" si="8"/>
        <v>-0.5555555556</v>
      </c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>
      <c r="A621" s="8"/>
      <c r="B621" s="10"/>
      <c r="C621" s="11"/>
      <c r="D621" s="12"/>
      <c r="E621" s="13"/>
      <c r="F621" s="13"/>
      <c r="G621" s="14" t="str">
        <f t="shared" si="8"/>
        <v/>
      </c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>
      <c r="A622" s="8"/>
      <c r="B622" s="44">
        <v>1530.0</v>
      </c>
      <c r="C622" s="45"/>
      <c r="D622" s="46" t="s">
        <v>48</v>
      </c>
      <c r="E622" s="47">
        <v>2025.0</v>
      </c>
      <c r="F622" s="48">
        <v>2026.0</v>
      </c>
      <c r="G622" s="14">
        <f t="shared" si="8"/>
        <v>0.0004938271605</v>
      </c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>
      <c r="A623" s="8"/>
      <c r="B623" s="10"/>
      <c r="C623" s="11" t="s">
        <v>107</v>
      </c>
      <c r="D623" s="82" t="s">
        <v>108</v>
      </c>
      <c r="E623" s="13">
        <v>2000.0</v>
      </c>
      <c r="F623" s="13">
        <v>2000.0</v>
      </c>
      <c r="G623" s="14">
        <f t="shared" si="8"/>
        <v>0</v>
      </c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>
      <c r="A624" s="8"/>
      <c r="B624" s="10"/>
      <c r="C624" s="11" t="s">
        <v>176</v>
      </c>
      <c r="D624" s="42" t="s">
        <v>177</v>
      </c>
      <c r="E624" s="13">
        <v>5300.0</v>
      </c>
      <c r="F624" s="13">
        <v>5300.0</v>
      </c>
      <c r="G624" s="14">
        <f t="shared" si="8"/>
        <v>0</v>
      </c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>
      <c r="A625" s="8"/>
      <c r="B625" s="10"/>
      <c r="C625" s="11" t="s">
        <v>178</v>
      </c>
      <c r="D625" s="82" t="s">
        <v>179</v>
      </c>
      <c r="E625" s="13">
        <v>150000.0</v>
      </c>
      <c r="F625" s="60">
        <v>35000.0</v>
      </c>
      <c r="G625" s="14">
        <f t="shared" si="8"/>
        <v>-0.7666666667</v>
      </c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>
      <c r="A626" s="8"/>
      <c r="B626" s="10"/>
      <c r="C626" s="11" t="s">
        <v>109</v>
      </c>
      <c r="D626" s="82" t="s">
        <v>110</v>
      </c>
      <c r="E626" s="13">
        <v>7000.0</v>
      </c>
      <c r="F626" s="13">
        <v>7000.0</v>
      </c>
      <c r="G626" s="14">
        <f t="shared" si="8"/>
        <v>0</v>
      </c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>
      <c r="A627" s="8"/>
      <c r="B627" s="10"/>
      <c r="C627" s="11" t="s">
        <v>111</v>
      </c>
      <c r="D627" s="82" t="s">
        <v>112</v>
      </c>
      <c r="E627" s="13">
        <v>1000.0</v>
      </c>
      <c r="F627" s="13">
        <v>1000.0</v>
      </c>
      <c r="G627" s="14">
        <f t="shared" si="8"/>
        <v>0</v>
      </c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>
      <c r="A628" s="8"/>
      <c r="B628" s="10"/>
      <c r="C628" s="11" t="s">
        <v>113</v>
      </c>
      <c r="D628" s="82" t="s">
        <v>114</v>
      </c>
      <c r="E628" s="13">
        <v>5000.0</v>
      </c>
      <c r="F628" s="13">
        <v>5000.0</v>
      </c>
      <c r="G628" s="14">
        <f t="shared" si="8"/>
        <v>0</v>
      </c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>
      <c r="A629" s="8"/>
      <c r="B629" s="10"/>
      <c r="C629" s="11" t="s">
        <v>123</v>
      </c>
      <c r="D629" s="82" t="s">
        <v>124</v>
      </c>
      <c r="E629" s="13">
        <v>7000.0</v>
      </c>
      <c r="F629" s="13">
        <v>7000.0</v>
      </c>
      <c r="G629" s="14">
        <f t="shared" si="8"/>
        <v>0</v>
      </c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>
      <c r="A630" s="8"/>
      <c r="B630" s="10"/>
      <c r="C630" s="11" t="s">
        <v>127</v>
      </c>
      <c r="D630" s="42" t="s">
        <v>128</v>
      </c>
      <c r="E630" s="13">
        <v>8000.0</v>
      </c>
      <c r="F630" s="13">
        <v>8000.0</v>
      </c>
      <c r="G630" s="14">
        <f t="shared" si="8"/>
        <v>0</v>
      </c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>
      <c r="A631" s="8"/>
      <c r="B631" s="10"/>
      <c r="C631" s="11" t="s">
        <v>129</v>
      </c>
      <c r="D631" s="42" t="s">
        <v>130</v>
      </c>
      <c r="E631" s="13">
        <v>6000.0</v>
      </c>
      <c r="F631" s="13">
        <v>6000.0</v>
      </c>
      <c r="G631" s="14">
        <f t="shared" si="8"/>
        <v>0</v>
      </c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>
      <c r="A632" s="8"/>
      <c r="B632" s="10"/>
      <c r="C632" s="11" t="s">
        <v>131</v>
      </c>
      <c r="D632" s="42" t="s">
        <v>132</v>
      </c>
      <c r="E632" s="13">
        <v>25000.0</v>
      </c>
      <c r="F632" s="60">
        <v>21000.0</v>
      </c>
      <c r="G632" s="14">
        <f t="shared" si="8"/>
        <v>-0.16</v>
      </c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>
      <c r="A633" s="8"/>
      <c r="B633" s="10"/>
      <c r="C633" s="11" t="s">
        <v>133</v>
      </c>
      <c r="D633" s="42" t="s">
        <v>134</v>
      </c>
      <c r="E633" s="13">
        <v>1700.0</v>
      </c>
      <c r="F633" s="13">
        <v>1700.0</v>
      </c>
      <c r="G633" s="14">
        <f t="shared" si="8"/>
        <v>0</v>
      </c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>
      <c r="A634" s="8"/>
      <c r="B634" s="10"/>
      <c r="C634" s="11" t="s">
        <v>180</v>
      </c>
      <c r="D634" s="42" t="s">
        <v>181</v>
      </c>
      <c r="E634" s="13">
        <v>300.0</v>
      </c>
      <c r="F634" s="13">
        <v>300.0</v>
      </c>
      <c r="G634" s="14">
        <f t="shared" si="8"/>
        <v>0</v>
      </c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>
      <c r="A635" s="8"/>
      <c r="B635" s="10"/>
      <c r="C635" s="11" t="s">
        <v>137</v>
      </c>
      <c r="D635" s="42" t="s">
        <v>138</v>
      </c>
      <c r="E635" s="13">
        <v>5000.0</v>
      </c>
      <c r="F635" s="13">
        <v>5000.0</v>
      </c>
      <c r="G635" s="14">
        <f t="shared" si="8"/>
        <v>0</v>
      </c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>
      <c r="A636" s="8"/>
      <c r="B636" s="10"/>
      <c r="C636" s="11" t="s">
        <v>139</v>
      </c>
      <c r="D636" s="42" t="s">
        <v>140</v>
      </c>
      <c r="E636" s="13">
        <v>100.0</v>
      </c>
      <c r="F636" s="13">
        <v>100.0</v>
      </c>
      <c r="G636" s="14">
        <f t="shared" si="8"/>
        <v>0</v>
      </c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>
      <c r="A637" s="8"/>
      <c r="B637" s="10"/>
      <c r="C637" s="11" t="s">
        <v>143</v>
      </c>
      <c r="D637" s="82" t="s">
        <v>144</v>
      </c>
      <c r="E637" s="13">
        <v>100.0</v>
      </c>
      <c r="F637" s="13">
        <v>100.0</v>
      </c>
      <c r="G637" s="14">
        <f t="shared" si="8"/>
        <v>0</v>
      </c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>
      <c r="A638" s="8"/>
      <c r="B638" s="10"/>
      <c r="C638" s="11" t="s">
        <v>147</v>
      </c>
      <c r="D638" s="82" t="s">
        <v>148</v>
      </c>
      <c r="E638" s="13">
        <v>1300.0</v>
      </c>
      <c r="F638" s="13">
        <v>1300.0</v>
      </c>
      <c r="G638" s="14">
        <f t="shared" si="8"/>
        <v>0</v>
      </c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>
      <c r="A639" s="8"/>
      <c r="B639" s="10"/>
      <c r="C639" s="11" t="s">
        <v>169</v>
      </c>
      <c r="D639" s="82" t="s">
        <v>170</v>
      </c>
      <c r="E639" s="13">
        <v>15000.0</v>
      </c>
      <c r="F639" s="13">
        <v>15000.0</v>
      </c>
      <c r="G639" s="14">
        <f t="shared" si="8"/>
        <v>0</v>
      </c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>
      <c r="A640" s="8"/>
      <c r="B640" s="10"/>
      <c r="C640" s="11" t="s">
        <v>149</v>
      </c>
      <c r="D640" s="42" t="s">
        <v>150</v>
      </c>
      <c r="E640" s="13">
        <v>500.0</v>
      </c>
      <c r="F640" s="13">
        <v>500.0</v>
      </c>
      <c r="G640" s="14">
        <f t="shared" si="8"/>
        <v>0</v>
      </c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>
      <c r="A641" s="8"/>
      <c r="B641" s="10"/>
      <c r="C641" s="11" t="s">
        <v>151</v>
      </c>
      <c r="D641" s="42" t="s">
        <v>152</v>
      </c>
      <c r="E641" s="13">
        <v>200.0</v>
      </c>
      <c r="F641" s="13">
        <v>200.0</v>
      </c>
      <c r="G641" s="14">
        <f t="shared" si="8"/>
        <v>0</v>
      </c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>
      <c r="A642" s="8"/>
      <c r="B642" s="10"/>
      <c r="C642" s="11" t="s">
        <v>182</v>
      </c>
      <c r="D642" s="42" t="s">
        <v>183</v>
      </c>
      <c r="E642" s="13">
        <v>200.0</v>
      </c>
      <c r="F642" s="13">
        <v>200.0</v>
      </c>
      <c r="G642" s="14">
        <f t="shared" si="8"/>
        <v>0</v>
      </c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>
      <c r="A643" s="8"/>
      <c r="B643" s="32">
        <v>1530.0</v>
      </c>
      <c r="E643" s="33">
        <v>240700.0</v>
      </c>
      <c r="F643" s="33">
        <f>SUM(F623:F642)</f>
        <v>121700</v>
      </c>
      <c r="G643" s="14">
        <f t="shared" si="8"/>
        <v>-0.4943913585</v>
      </c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>
      <c r="A644" s="8"/>
      <c r="B644" s="10"/>
      <c r="C644" s="11"/>
      <c r="D644" s="12"/>
      <c r="E644" s="13"/>
      <c r="F644" s="13"/>
      <c r="G644" s="14" t="str">
        <f t="shared" si="8"/>
        <v/>
      </c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>
      <c r="A645" s="8"/>
      <c r="B645" s="44">
        <v>1600.0</v>
      </c>
      <c r="C645" s="45"/>
      <c r="D645" s="46" t="s">
        <v>184</v>
      </c>
      <c r="E645" s="47">
        <v>2025.0</v>
      </c>
      <c r="F645" s="48">
        <v>2026.0</v>
      </c>
      <c r="G645" s="14">
        <f t="shared" si="8"/>
        <v>0.0004938271605</v>
      </c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>
      <c r="A646" s="8"/>
      <c r="B646" s="10"/>
      <c r="C646" s="11" t="s">
        <v>107</v>
      </c>
      <c r="D646" s="42" t="s">
        <v>185</v>
      </c>
      <c r="E646" s="13">
        <v>100.0</v>
      </c>
      <c r="F646" s="13">
        <v>100.0</v>
      </c>
      <c r="G646" s="14">
        <f t="shared" si="8"/>
        <v>0</v>
      </c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>
      <c r="A647" s="8"/>
      <c r="B647" s="10"/>
      <c r="C647" s="11" t="s">
        <v>111</v>
      </c>
      <c r="D647" s="82" t="s">
        <v>112</v>
      </c>
      <c r="E647" s="13">
        <v>210000.0</v>
      </c>
      <c r="F647" s="13">
        <v>210000.0</v>
      </c>
      <c r="G647" s="14">
        <f t="shared" si="8"/>
        <v>0</v>
      </c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>
      <c r="A648" s="8"/>
      <c r="B648" s="10"/>
      <c r="C648" s="11" t="s">
        <v>131</v>
      </c>
      <c r="D648" s="42" t="s">
        <v>132</v>
      </c>
      <c r="E648" s="13">
        <v>15000.0</v>
      </c>
      <c r="F648" s="13">
        <v>15000.0</v>
      </c>
      <c r="G648" s="14">
        <f t="shared" si="8"/>
        <v>0</v>
      </c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>
      <c r="A649" s="8"/>
      <c r="B649" s="10"/>
      <c r="C649" s="11" t="s">
        <v>186</v>
      </c>
      <c r="D649" s="42" t="s">
        <v>187</v>
      </c>
      <c r="E649" s="13">
        <v>100.0</v>
      </c>
      <c r="F649" s="13">
        <v>100.0</v>
      </c>
      <c r="G649" s="14">
        <f t="shared" si="8"/>
        <v>0</v>
      </c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>
      <c r="A650" s="8"/>
      <c r="B650" s="10"/>
      <c r="C650" s="11" t="s">
        <v>139</v>
      </c>
      <c r="D650" s="42" t="s">
        <v>140</v>
      </c>
      <c r="E650" s="13">
        <v>100.0</v>
      </c>
      <c r="F650" s="13">
        <v>100.0</v>
      </c>
      <c r="G650" s="14">
        <f t="shared" si="8"/>
        <v>0</v>
      </c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>
      <c r="A651" s="8"/>
      <c r="B651" s="10"/>
      <c r="C651" s="11" t="s">
        <v>169</v>
      </c>
      <c r="D651" s="82" t="s">
        <v>170</v>
      </c>
      <c r="E651" s="13">
        <v>15000.0</v>
      </c>
      <c r="F651" s="13">
        <v>15000.0</v>
      </c>
      <c r="G651" s="14">
        <f t="shared" si="8"/>
        <v>0</v>
      </c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>
      <c r="A652" s="8"/>
      <c r="B652" s="10"/>
      <c r="C652" s="11" t="s">
        <v>149</v>
      </c>
      <c r="D652" s="82" t="s">
        <v>156</v>
      </c>
      <c r="E652" s="13">
        <v>100.0</v>
      </c>
      <c r="F652" s="13">
        <v>100.0</v>
      </c>
      <c r="G652" s="14">
        <f t="shared" si="8"/>
        <v>0</v>
      </c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>
      <c r="A653" s="8"/>
      <c r="B653" s="10"/>
      <c r="C653" s="11" t="s">
        <v>188</v>
      </c>
      <c r="D653" s="82" t="s">
        <v>189</v>
      </c>
      <c r="E653" s="13">
        <v>100.0</v>
      </c>
      <c r="F653" s="13">
        <v>100.0</v>
      </c>
      <c r="G653" s="14">
        <f t="shared" si="8"/>
        <v>0</v>
      </c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>
      <c r="A654" s="8"/>
      <c r="B654" s="32">
        <v>1600.0</v>
      </c>
      <c r="E654" s="33">
        <v>240500.0</v>
      </c>
      <c r="F654" s="33">
        <f>SUM(F646:F653)</f>
        <v>240500</v>
      </c>
      <c r="G654" s="14">
        <f t="shared" si="8"/>
        <v>0</v>
      </c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>
      <c r="A655" s="8"/>
      <c r="B655" s="10"/>
      <c r="C655" s="11"/>
      <c r="D655" s="58"/>
      <c r="E655" s="43"/>
      <c r="F655" s="43"/>
      <c r="G655" s="14" t="str">
        <f t="shared" si="8"/>
        <v/>
      </c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>
      <c r="A656" s="8"/>
      <c r="B656" s="44">
        <v>1610.0</v>
      </c>
      <c r="C656" s="45"/>
      <c r="D656" s="46" t="s">
        <v>53</v>
      </c>
      <c r="E656" s="47">
        <v>2025.0</v>
      </c>
      <c r="F656" s="48">
        <v>2026.0</v>
      </c>
      <c r="G656" s="14">
        <f t="shared" si="8"/>
        <v>0.0004938271605</v>
      </c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>
      <c r="A657" s="8"/>
      <c r="B657" s="10"/>
      <c r="C657" s="11" t="s">
        <v>107</v>
      </c>
      <c r="D657" s="42" t="s">
        <v>185</v>
      </c>
      <c r="E657" s="13">
        <v>4500.0</v>
      </c>
      <c r="F657" s="13">
        <v>4500.0</v>
      </c>
      <c r="G657" s="14">
        <f t="shared" si="8"/>
        <v>0</v>
      </c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>
      <c r="A658" s="8"/>
      <c r="B658" s="10"/>
      <c r="C658" s="11" t="s">
        <v>178</v>
      </c>
      <c r="D658" s="82" t="s">
        <v>190</v>
      </c>
      <c r="E658" s="13">
        <v>20000.0</v>
      </c>
      <c r="F658" s="13">
        <v>20000.0</v>
      </c>
      <c r="G658" s="14">
        <f t="shared" si="8"/>
        <v>0</v>
      </c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>
      <c r="A659" s="8"/>
      <c r="B659" s="10"/>
      <c r="C659" s="11" t="s">
        <v>109</v>
      </c>
      <c r="D659" s="82" t="s">
        <v>110</v>
      </c>
      <c r="E659" s="13">
        <v>12000.0</v>
      </c>
      <c r="F659" s="13">
        <v>12000.0</v>
      </c>
      <c r="G659" s="14">
        <f t="shared" si="8"/>
        <v>0</v>
      </c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>
      <c r="A660" s="8"/>
      <c r="B660" s="10"/>
      <c r="C660" s="11" t="s">
        <v>111</v>
      </c>
      <c r="D660" s="82" t="s">
        <v>112</v>
      </c>
      <c r="E660" s="13">
        <v>4000.0</v>
      </c>
      <c r="F660" s="13">
        <v>4000.0</v>
      </c>
      <c r="G660" s="14">
        <f t="shared" si="8"/>
        <v>0</v>
      </c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>
      <c r="A661" s="8"/>
      <c r="B661" s="10"/>
      <c r="C661" s="11" t="s">
        <v>113</v>
      </c>
      <c r="D661" s="82" t="s">
        <v>114</v>
      </c>
      <c r="E661" s="13">
        <v>8000.0</v>
      </c>
      <c r="F661" s="13">
        <v>8000.0</v>
      </c>
      <c r="G661" s="14">
        <f t="shared" si="8"/>
        <v>0</v>
      </c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>
      <c r="A662" s="8"/>
      <c r="B662" s="10"/>
      <c r="C662" s="11" t="s">
        <v>117</v>
      </c>
      <c r="D662" s="82" t="s">
        <v>164</v>
      </c>
      <c r="E662" s="13">
        <v>2500.0</v>
      </c>
      <c r="F662" s="60">
        <v>15500.0</v>
      </c>
      <c r="G662" s="14">
        <f t="shared" si="8"/>
        <v>5.2</v>
      </c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>
      <c r="A663" s="8"/>
      <c r="B663" s="10"/>
      <c r="C663" s="11" t="s">
        <v>121</v>
      </c>
      <c r="D663" s="42" t="s">
        <v>122</v>
      </c>
      <c r="E663" s="13">
        <v>2000.0</v>
      </c>
      <c r="F663" s="13">
        <v>2000.0</v>
      </c>
      <c r="G663" s="14">
        <f t="shared" si="8"/>
        <v>0</v>
      </c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>
      <c r="A664" s="8"/>
      <c r="B664" s="10"/>
      <c r="C664" s="11" t="s">
        <v>166</v>
      </c>
      <c r="D664" s="82" t="s">
        <v>167</v>
      </c>
      <c r="E664" s="13">
        <v>300.0</v>
      </c>
      <c r="F664" s="13">
        <v>300.0</v>
      </c>
      <c r="G664" s="14">
        <f t="shared" si="8"/>
        <v>0</v>
      </c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>
      <c r="A665" s="8"/>
      <c r="B665" s="10"/>
      <c r="C665" s="11" t="s">
        <v>123</v>
      </c>
      <c r="D665" s="82" t="s">
        <v>124</v>
      </c>
      <c r="E665" s="13">
        <v>179000.0</v>
      </c>
      <c r="F665" s="60">
        <v>199000.0</v>
      </c>
      <c r="G665" s="14">
        <f t="shared" si="8"/>
        <v>0.1117318436</v>
      </c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>
      <c r="A666" s="8"/>
      <c r="B666" s="10"/>
      <c r="C666" s="11" t="s">
        <v>127</v>
      </c>
      <c r="D666" s="42" t="s">
        <v>128</v>
      </c>
      <c r="E666" s="13">
        <v>5500.0</v>
      </c>
      <c r="F666" s="13">
        <v>5500.0</v>
      </c>
      <c r="G666" s="14">
        <f t="shared" si="8"/>
        <v>0</v>
      </c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>
      <c r="A667" s="8"/>
      <c r="B667" s="10"/>
      <c r="C667" s="11" t="s">
        <v>129</v>
      </c>
      <c r="D667" s="42" t="s">
        <v>130</v>
      </c>
      <c r="E667" s="13">
        <v>6500.0</v>
      </c>
      <c r="F667" s="13">
        <v>6500.0</v>
      </c>
      <c r="G667" s="14">
        <f t="shared" si="8"/>
        <v>0</v>
      </c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>
      <c r="A668" s="8"/>
      <c r="B668" s="10"/>
      <c r="C668" s="11" t="s">
        <v>131</v>
      </c>
      <c r="D668" s="42" t="s">
        <v>132</v>
      </c>
      <c r="E668" s="13">
        <v>25000.0</v>
      </c>
      <c r="F668" s="60">
        <v>15000.0</v>
      </c>
      <c r="G668" s="14">
        <f t="shared" si="8"/>
        <v>-0.4</v>
      </c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>
      <c r="A669" s="8"/>
      <c r="B669" s="10"/>
      <c r="C669" s="11" t="s">
        <v>133</v>
      </c>
      <c r="D669" s="42" t="s">
        <v>134</v>
      </c>
      <c r="E669" s="13">
        <v>7000.0</v>
      </c>
      <c r="F669" s="13">
        <v>7000.0</v>
      </c>
      <c r="G669" s="14">
        <f t="shared" si="8"/>
        <v>0</v>
      </c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>
      <c r="A670" s="8"/>
      <c r="B670" s="10"/>
      <c r="C670" s="11" t="s">
        <v>135</v>
      </c>
      <c r="D670" s="42" t="s">
        <v>136</v>
      </c>
      <c r="E670" s="13">
        <v>500.0</v>
      </c>
      <c r="F670" s="13">
        <v>500.0</v>
      </c>
      <c r="G670" s="14">
        <f t="shared" si="8"/>
        <v>0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>
      <c r="A671" s="8"/>
      <c r="B671" s="10"/>
      <c r="C671" s="11" t="s">
        <v>180</v>
      </c>
      <c r="D671" s="42" t="s">
        <v>181</v>
      </c>
      <c r="E671" s="13">
        <v>300.0</v>
      </c>
      <c r="F671" s="13">
        <v>300.0</v>
      </c>
      <c r="G671" s="14">
        <f t="shared" si="8"/>
        <v>0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>
      <c r="A672" s="8"/>
      <c r="B672" s="10"/>
      <c r="C672" s="11" t="s">
        <v>137</v>
      </c>
      <c r="D672" s="42" t="s">
        <v>138</v>
      </c>
      <c r="E672" s="13">
        <v>3700.0</v>
      </c>
      <c r="F672" s="13">
        <v>3700.0</v>
      </c>
      <c r="G672" s="14">
        <f t="shared" si="8"/>
        <v>0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>
      <c r="A673" s="8"/>
      <c r="B673" s="10"/>
      <c r="C673" s="11" t="s">
        <v>191</v>
      </c>
      <c r="D673" s="42" t="s">
        <v>192</v>
      </c>
      <c r="E673" s="13">
        <v>800.0</v>
      </c>
      <c r="F673" s="13">
        <v>800.0</v>
      </c>
      <c r="G673" s="14">
        <f t="shared" si="8"/>
        <v>0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>
      <c r="A674" s="8"/>
      <c r="B674" s="10"/>
      <c r="C674" s="11" t="s">
        <v>139</v>
      </c>
      <c r="D674" s="42" t="s">
        <v>140</v>
      </c>
      <c r="E674" s="13">
        <v>2000.0</v>
      </c>
      <c r="F674" s="13">
        <v>2000.0</v>
      </c>
      <c r="G674" s="14">
        <f t="shared" si="8"/>
        <v>0</v>
      </c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>
      <c r="A675" s="8"/>
      <c r="B675" s="10"/>
      <c r="C675" s="11" t="s">
        <v>147</v>
      </c>
      <c r="D675" s="82" t="s">
        <v>148</v>
      </c>
      <c r="E675" s="13">
        <v>1000.0</v>
      </c>
      <c r="F675" s="13">
        <v>1000.0</v>
      </c>
      <c r="G675" s="14">
        <f t="shared" si="8"/>
        <v>0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>
      <c r="A676" s="8"/>
      <c r="B676" s="10"/>
      <c r="C676" s="11" t="s">
        <v>169</v>
      </c>
      <c r="D676" s="82" t="s">
        <v>170</v>
      </c>
      <c r="E676" s="13">
        <v>35000.0</v>
      </c>
      <c r="F676" s="60">
        <v>5000.0</v>
      </c>
      <c r="G676" s="14">
        <f t="shared" si="8"/>
        <v>-0.8571428571</v>
      </c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>
      <c r="A677" s="8"/>
      <c r="B677" s="10"/>
      <c r="C677" s="11" t="s">
        <v>149</v>
      </c>
      <c r="D677" s="82" t="s">
        <v>150</v>
      </c>
      <c r="E677" s="13">
        <v>0.0</v>
      </c>
      <c r="F677" s="60">
        <v>100.0</v>
      </c>
      <c r="G677" s="14" t="str">
        <f t="shared" si="8"/>
        <v/>
      </c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>
      <c r="A678" s="8"/>
      <c r="B678" s="10"/>
      <c r="C678" s="83" t="s">
        <v>157</v>
      </c>
      <c r="D678" s="84" t="s">
        <v>193</v>
      </c>
      <c r="E678" s="13"/>
      <c r="F678" s="60">
        <v>96000.0</v>
      </c>
      <c r="G678" s="14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>
      <c r="A679" s="8"/>
      <c r="B679" s="32">
        <v>1610.0</v>
      </c>
      <c r="E679" s="33">
        <v>319600.0</v>
      </c>
      <c r="F679" s="33">
        <f>SUM(F657:F678)</f>
        <v>408700</v>
      </c>
      <c r="G679" s="14">
        <f t="shared" ref="G679:G701" si="9">IFERROR(((F679-E679)/E679), "")</f>
        <v>0.2787859825</v>
      </c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>
      <c r="A680" s="8"/>
      <c r="B680" s="10"/>
      <c r="C680" s="11"/>
      <c r="D680" s="58"/>
      <c r="E680" s="43"/>
      <c r="F680" s="43"/>
      <c r="G680" s="14" t="str">
        <f t="shared" si="9"/>
        <v/>
      </c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>
      <c r="A681" s="8"/>
      <c r="B681" s="44">
        <v>1621.0</v>
      </c>
      <c r="C681" s="45"/>
      <c r="D681" s="46" t="s">
        <v>194</v>
      </c>
      <c r="E681" s="47">
        <v>2025.0</v>
      </c>
      <c r="F681" s="48">
        <v>2026.0</v>
      </c>
      <c r="G681" s="14">
        <f t="shared" si="9"/>
        <v>0.0004938271605</v>
      </c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>
      <c r="A682" s="8"/>
      <c r="B682" s="10"/>
      <c r="C682" s="11" t="s">
        <v>169</v>
      </c>
      <c r="D682" s="82" t="s">
        <v>170</v>
      </c>
      <c r="E682" s="13">
        <v>15000.0</v>
      </c>
      <c r="F682" s="13">
        <v>15000.0</v>
      </c>
      <c r="G682" s="14">
        <f t="shared" si="9"/>
        <v>0</v>
      </c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>
      <c r="A683" s="8"/>
      <c r="B683" s="10"/>
      <c r="C683" s="11" t="s">
        <v>195</v>
      </c>
      <c r="D683" s="82" t="s">
        <v>196</v>
      </c>
      <c r="E683" s="13">
        <v>1600000.0</v>
      </c>
      <c r="F683" s="60">
        <v>1755000.0</v>
      </c>
      <c r="G683" s="14">
        <f t="shared" si="9"/>
        <v>0.096875</v>
      </c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>
      <c r="A684" s="8"/>
      <c r="B684" s="32">
        <v>1621.0</v>
      </c>
      <c r="E684" s="33">
        <v>1615000.0</v>
      </c>
      <c r="F684" s="33">
        <f>SUM(F682,F683)</f>
        <v>1770000</v>
      </c>
      <c r="G684" s="14">
        <f t="shared" si="9"/>
        <v>0.0959752322</v>
      </c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>
      <c r="A685" s="8"/>
      <c r="B685" s="10"/>
      <c r="C685" s="11"/>
      <c r="D685" s="58"/>
      <c r="E685" s="43"/>
      <c r="F685" s="43"/>
      <c r="G685" s="14" t="str">
        <f t="shared" si="9"/>
        <v/>
      </c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>
      <c r="A686" s="8"/>
      <c r="B686" s="44">
        <v>1623.0</v>
      </c>
      <c r="C686" s="45"/>
      <c r="D686" s="46" t="s">
        <v>197</v>
      </c>
      <c r="E686" s="47">
        <v>2025.0</v>
      </c>
      <c r="F686" s="48">
        <v>2026.0</v>
      </c>
      <c r="G686" s="14">
        <f t="shared" si="9"/>
        <v>0.0004938271605</v>
      </c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>
      <c r="A687" s="8"/>
      <c r="B687" s="10"/>
      <c r="C687" s="11" t="s">
        <v>111</v>
      </c>
      <c r="D687" s="82" t="s">
        <v>112</v>
      </c>
      <c r="E687" s="13">
        <v>650000.0</v>
      </c>
      <c r="F687" s="13">
        <v>650000.0</v>
      </c>
      <c r="G687" s="14">
        <f t="shared" si="9"/>
        <v>0</v>
      </c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>
      <c r="A688" s="8"/>
      <c r="B688" s="10"/>
      <c r="C688" s="11" t="s">
        <v>123</v>
      </c>
      <c r="D688" s="82" t="s">
        <v>124</v>
      </c>
      <c r="E688" s="13">
        <v>140000.0</v>
      </c>
      <c r="F688" s="13">
        <v>140000.0</v>
      </c>
      <c r="G688" s="14">
        <f t="shared" si="9"/>
        <v>0</v>
      </c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>
      <c r="A689" s="8"/>
      <c r="B689" s="10"/>
      <c r="C689" s="11" t="s">
        <v>191</v>
      </c>
      <c r="D689" s="42" t="s">
        <v>192</v>
      </c>
      <c r="E689" s="13">
        <v>80000.0</v>
      </c>
      <c r="F689" s="13">
        <v>80000.0</v>
      </c>
      <c r="G689" s="14">
        <f t="shared" si="9"/>
        <v>0</v>
      </c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>
      <c r="A690" s="8"/>
      <c r="B690" s="10"/>
      <c r="C690" s="11" t="s">
        <v>139</v>
      </c>
      <c r="D690" s="42" t="s">
        <v>140</v>
      </c>
      <c r="E690" s="13">
        <v>5000.0</v>
      </c>
      <c r="F690" s="13">
        <v>5000.0</v>
      </c>
      <c r="G690" s="14">
        <f t="shared" si="9"/>
        <v>0</v>
      </c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>
      <c r="A691" s="8"/>
      <c r="B691" s="10"/>
      <c r="C691" s="11" t="s">
        <v>149</v>
      </c>
      <c r="D691" s="82" t="s">
        <v>150</v>
      </c>
      <c r="E691" s="13">
        <v>10000.0</v>
      </c>
      <c r="F691" s="13">
        <v>10000.0</v>
      </c>
      <c r="G691" s="14">
        <f t="shared" si="9"/>
        <v>0</v>
      </c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>
      <c r="A692" s="8"/>
      <c r="B692" s="32">
        <v>1623.0</v>
      </c>
      <c r="E692" s="33">
        <v>885000.0</v>
      </c>
      <c r="F692" s="33">
        <f>SUM(F687:F691)</f>
        <v>885000</v>
      </c>
      <c r="G692" s="14">
        <f t="shared" si="9"/>
        <v>0</v>
      </c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>
      <c r="A693" s="8"/>
      <c r="B693" s="10"/>
      <c r="C693" s="11"/>
      <c r="D693" s="12"/>
      <c r="E693" s="59"/>
      <c r="F693" s="59"/>
      <c r="G693" s="14" t="str">
        <f t="shared" si="9"/>
        <v/>
      </c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>
      <c r="A694" s="8"/>
      <c r="B694" s="44">
        <v>1630.0</v>
      </c>
      <c r="C694" s="45"/>
      <c r="D694" s="46" t="s">
        <v>54</v>
      </c>
      <c r="E694" s="47">
        <v>2025.0</v>
      </c>
      <c r="F694" s="48">
        <v>2026.0</v>
      </c>
      <c r="G694" s="14">
        <f t="shared" si="9"/>
        <v>0.0004938271605</v>
      </c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>
      <c r="A695" s="8"/>
      <c r="B695" s="10"/>
      <c r="C695" s="11" t="s">
        <v>195</v>
      </c>
      <c r="D695" s="82" t="s">
        <v>196</v>
      </c>
      <c r="E695" s="13">
        <v>2040000.0</v>
      </c>
      <c r="F695" s="60">
        <v>2360000.0</v>
      </c>
      <c r="G695" s="14">
        <f t="shared" si="9"/>
        <v>0.1568627451</v>
      </c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>
      <c r="A696" s="8"/>
      <c r="B696" s="32">
        <v>1630.0</v>
      </c>
      <c r="E696" s="33">
        <v>2040000.0</v>
      </c>
      <c r="F696" s="33">
        <f>SUM(F695)</f>
        <v>2360000</v>
      </c>
      <c r="G696" s="14">
        <f t="shared" si="9"/>
        <v>0.1568627451</v>
      </c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>
      <c r="A697" s="8"/>
      <c r="B697" s="10"/>
      <c r="C697" s="11"/>
      <c r="D697" s="12"/>
      <c r="E697" s="13"/>
      <c r="F697" s="13"/>
      <c r="G697" s="14" t="str">
        <f t="shared" si="9"/>
        <v/>
      </c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>
      <c r="A698" s="8"/>
      <c r="B698" s="44">
        <v>1640.0</v>
      </c>
      <c r="C698" s="45"/>
      <c r="D698" s="46" t="s">
        <v>57</v>
      </c>
      <c r="E698" s="47">
        <v>2025.0</v>
      </c>
      <c r="F698" s="48">
        <v>2026.0</v>
      </c>
      <c r="G698" s="14">
        <f t="shared" si="9"/>
        <v>0.0004938271605</v>
      </c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>
      <c r="A699" s="8"/>
      <c r="B699" s="10"/>
      <c r="C699" s="11" t="s">
        <v>107</v>
      </c>
      <c r="D699" s="42" t="s">
        <v>185</v>
      </c>
      <c r="E699" s="13">
        <v>500.0</v>
      </c>
      <c r="F699" s="13">
        <v>500.0</v>
      </c>
      <c r="G699" s="14">
        <f t="shared" si="9"/>
        <v>0</v>
      </c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>
      <c r="A700" s="8"/>
      <c r="B700" s="10"/>
      <c r="C700" s="11" t="s">
        <v>109</v>
      </c>
      <c r="D700" s="82" t="s">
        <v>110</v>
      </c>
      <c r="E700" s="13">
        <v>7000.0</v>
      </c>
      <c r="F700" s="13">
        <v>7000.0</v>
      </c>
      <c r="G700" s="14">
        <f t="shared" si="9"/>
        <v>0</v>
      </c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>
      <c r="A701" s="8"/>
      <c r="B701" s="10"/>
      <c r="C701" s="11" t="s">
        <v>111</v>
      </c>
      <c r="D701" s="82" t="s">
        <v>112</v>
      </c>
      <c r="E701" s="13">
        <v>2000.0</v>
      </c>
      <c r="F701" s="13">
        <v>2000.0</v>
      </c>
      <c r="G701" s="14">
        <f t="shared" si="9"/>
        <v>0</v>
      </c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>
      <c r="A702" s="8"/>
      <c r="B702" s="10"/>
      <c r="C702" s="11" t="s">
        <v>117</v>
      </c>
      <c r="D702" s="82" t="s">
        <v>164</v>
      </c>
      <c r="E702" s="60">
        <v>0.0</v>
      </c>
      <c r="F702" s="60">
        <v>5000.0</v>
      </c>
      <c r="G702" s="14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>
      <c r="A703" s="8"/>
      <c r="B703" s="10"/>
      <c r="C703" s="11" t="s">
        <v>123</v>
      </c>
      <c r="D703" s="82" t="s">
        <v>124</v>
      </c>
      <c r="E703" s="13">
        <v>12000.0</v>
      </c>
      <c r="F703" s="13">
        <v>12000.0</v>
      </c>
      <c r="G703" s="14">
        <f t="shared" ref="G703:G757" si="10">IFERROR(((F703-E703)/E703), "")</f>
        <v>0</v>
      </c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>
      <c r="A704" s="8"/>
      <c r="B704" s="10"/>
      <c r="C704" s="11" t="s">
        <v>127</v>
      </c>
      <c r="D704" s="42" t="s">
        <v>128</v>
      </c>
      <c r="E704" s="13">
        <v>50.0</v>
      </c>
      <c r="F704" s="13">
        <v>50.0</v>
      </c>
      <c r="G704" s="14">
        <f t="shared" si="10"/>
        <v>0</v>
      </c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>
      <c r="A705" s="8"/>
      <c r="B705" s="10"/>
      <c r="C705" s="11" t="s">
        <v>129</v>
      </c>
      <c r="D705" s="42" t="s">
        <v>130</v>
      </c>
      <c r="E705" s="13">
        <v>2000.0</v>
      </c>
      <c r="F705" s="13">
        <v>2000.0</v>
      </c>
      <c r="G705" s="14">
        <f t="shared" si="10"/>
        <v>0</v>
      </c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>
      <c r="A706" s="8"/>
      <c r="B706" s="10"/>
      <c r="C706" s="11" t="s">
        <v>131</v>
      </c>
      <c r="D706" s="82" t="s">
        <v>132</v>
      </c>
      <c r="E706" s="13">
        <v>3000.0</v>
      </c>
      <c r="F706" s="13">
        <v>3000.0</v>
      </c>
      <c r="G706" s="14">
        <f t="shared" si="10"/>
        <v>0</v>
      </c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>
      <c r="A707" s="8"/>
      <c r="B707" s="10"/>
      <c r="C707" s="11" t="s">
        <v>133</v>
      </c>
      <c r="D707" s="42" t="s">
        <v>134</v>
      </c>
      <c r="E707" s="13">
        <v>200.0</v>
      </c>
      <c r="F707" s="13">
        <v>200.0</v>
      </c>
      <c r="G707" s="14">
        <f t="shared" si="10"/>
        <v>0</v>
      </c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>
      <c r="A708" s="8"/>
      <c r="B708" s="10"/>
      <c r="C708" s="11" t="s">
        <v>139</v>
      </c>
      <c r="D708" s="42" t="s">
        <v>140</v>
      </c>
      <c r="E708" s="13">
        <v>100.0</v>
      </c>
      <c r="F708" s="13">
        <v>100.0</v>
      </c>
      <c r="G708" s="14">
        <f t="shared" si="10"/>
        <v>0</v>
      </c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>
      <c r="A709" s="8"/>
      <c r="B709" s="10"/>
      <c r="C709" s="11" t="s">
        <v>147</v>
      </c>
      <c r="D709" s="82" t="s">
        <v>148</v>
      </c>
      <c r="E709" s="13">
        <v>100.0</v>
      </c>
      <c r="F709" s="13">
        <v>100.0</v>
      </c>
      <c r="G709" s="14">
        <f t="shared" si="10"/>
        <v>0</v>
      </c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>
      <c r="A710" s="8"/>
      <c r="B710" s="10"/>
      <c r="C710" s="11" t="s">
        <v>149</v>
      </c>
      <c r="D710" s="82" t="s">
        <v>156</v>
      </c>
      <c r="E710" s="13">
        <v>9000.0</v>
      </c>
      <c r="F710" s="13">
        <v>9000.0</v>
      </c>
      <c r="G710" s="14">
        <f t="shared" si="10"/>
        <v>0</v>
      </c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>
      <c r="A711" s="8"/>
      <c r="B711" s="32">
        <v>1640.0</v>
      </c>
      <c r="E711" s="33">
        <v>35950.0</v>
      </c>
      <c r="F711" s="33">
        <f>SUM(F699:F710)</f>
        <v>40950</v>
      </c>
      <c r="G711" s="14">
        <f t="shared" si="10"/>
        <v>0.1390820584</v>
      </c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>
      <c r="A712" s="8"/>
      <c r="B712" s="10"/>
      <c r="C712" s="11"/>
      <c r="D712" s="12"/>
      <c r="E712" s="13"/>
      <c r="F712" s="13"/>
      <c r="G712" s="14" t="str">
        <f t="shared" si="10"/>
        <v/>
      </c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>
      <c r="A713" s="8"/>
      <c r="B713" s="44">
        <v>1650.0</v>
      </c>
      <c r="C713" s="45"/>
      <c r="D713" s="46" t="s">
        <v>58</v>
      </c>
      <c r="E713" s="47">
        <v>2025.0</v>
      </c>
      <c r="F713" s="48">
        <v>2026.0</v>
      </c>
      <c r="G713" s="14">
        <f t="shared" si="10"/>
        <v>0.0004938271605</v>
      </c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>
      <c r="A714" s="8"/>
      <c r="B714" s="10"/>
      <c r="C714" s="11" t="s">
        <v>176</v>
      </c>
      <c r="D714" s="42" t="s">
        <v>177</v>
      </c>
      <c r="E714" s="13">
        <v>500.0</v>
      </c>
      <c r="F714" s="13">
        <v>500.0</v>
      </c>
      <c r="G714" s="14">
        <f t="shared" si="10"/>
        <v>0</v>
      </c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>
      <c r="A715" s="8"/>
      <c r="B715" s="10"/>
      <c r="C715" s="11" t="s">
        <v>178</v>
      </c>
      <c r="D715" s="82" t="s">
        <v>190</v>
      </c>
      <c r="E715" s="13">
        <v>30000.0</v>
      </c>
      <c r="F715" s="13">
        <v>30000.0</v>
      </c>
      <c r="G715" s="14">
        <f t="shared" si="10"/>
        <v>0</v>
      </c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>
      <c r="A716" s="8"/>
      <c r="B716" s="10"/>
      <c r="C716" s="11" t="s">
        <v>109</v>
      </c>
      <c r="D716" s="82" t="s">
        <v>110</v>
      </c>
      <c r="E716" s="13">
        <v>2500.0</v>
      </c>
      <c r="F716" s="13">
        <v>2500.0</v>
      </c>
      <c r="G716" s="14">
        <f t="shared" si="10"/>
        <v>0</v>
      </c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>
      <c r="A717" s="8"/>
      <c r="B717" s="10"/>
      <c r="C717" s="11" t="s">
        <v>111</v>
      </c>
      <c r="D717" s="82" t="s">
        <v>112</v>
      </c>
      <c r="E717" s="13">
        <v>3000.0</v>
      </c>
      <c r="F717" s="13">
        <v>3000.0</v>
      </c>
      <c r="G717" s="14">
        <f t="shared" si="10"/>
        <v>0</v>
      </c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>
      <c r="A718" s="8"/>
      <c r="B718" s="10"/>
      <c r="C718" s="11" t="s">
        <v>113</v>
      </c>
      <c r="D718" s="82" t="s">
        <v>114</v>
      </c>
      <c r="E718" s="13">
        <v>8000.0</v>
      </c>
      <c r="F718" s="13">
        <v>8000.0</v>
      </c>
      <c r="G718" s="14">
        <f t="shared" si="10"/>
        <v>0</v>
      </c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>
      <c r="A719" s="8"/>
      <c r="B719" s="10"/>
      <c r="C719" s="11" t="s">
        <v>121</v>
      </c>
      <c r="D719" s="82" t="s">
        <v>122</v>
      </c>
      <c r="E719" s="13">
        <v>500.0</v>
      </c>
      <c r="F719" s="13">
        <v>500.0</v>
      </c>
      <c r="G719" s="14">
        <f t="shared" si="10"/>
        <v>0</v>
      </c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>
      <c r="A720" s="8"/>
      <c r="B720" s="10"/>
      <c r="C720" s="11" t="s">
        <v>198</v>
      </c>
      <c r="D720" s="82" t="s">
        <v>199</v>
      </c>
      <c r="E720" s="13">
        <v>500.0</v>
      </c>
      <c r="F720" s="13">
        <v>500.0</v>
      </c>
      <c r="G720" s="14">
        <f t="shared" si="10"/>
        <v>0</v>
      </c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>
      <c r="A721" s="8"/>
      <c r="B721" s="10"/>
      <c r="C721" s="11" t="s">
        <v>123</v>
      </c>
      <c r="D721" s="82" t="s">
        <v>124</v>
      </c>
      <c r="E721" s="13">
        <v>405000.0</v>
      </c>
      <c r="F721" s="60">
        <v>405000.0</v>
      </c>
      <c r="G721" s="14">
        <f t="shared" si="10"/>
        <v>0</v>
      </c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>
      <c r="A722" s="8"/>
      <c r="B722" s="10"/>
      <c r="C722" s="11" t="s">
        <v>127</v>
      </c>
      <c r="D722" s="42" t="s">
        <v>128</v>
      </c>
      <c r="E722" s="13">
        <v>3500.0</v>
      </c>
      <c r="F722" s="13">
        <v>3500.0</v>
      </c>
      <c r="G722" s="14">
        <f t="shared" si="10"/>
        <v>0</v>
      </c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>
      <c r="A723" s="8"/>
      <c r="B723" s="10"/>
      <c r="C723" s="11" t="s">
        <v>129</v>
      </c>
      <c r="D723" s="82" t="s">
        <v>130</v>
      </c>
      <c r="E723" s="13">
        <v>2000.0</v>
      </c>
      <c r="F723" s="13">
        <v>2000.0</v>
      </c>
      <c r="G723" s="14">
        <f t="shared" si="10"/>
        <v>0</v>
      </c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>
      <c r="A724" s="8"/>
      <c r="B724" s="10"/>
      <c r="C724" s="11" t="s">
        <v>200</v>
      </c>
      <c r="D724" s="42" t="s">
        <v>201</v>
      </c>
      <c r="E724" s="13">
        <v>15000.0</v>
      </c>
      <c r="F724" s="13">
        <v>15000.0</v>
      </c>
      <c r="G724" s="14">
        <f t="shared" si="10"/>
        <v>0</v>
      </c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>
      <c r="A725" s="8"/>
      <c r="B725" s="10"/>
      <c r="C725" s="11" t="s">
        <v>131</v>
      </c>
      <c r="D725" s="42" t="s">
        <v>202</v>
      </c>
      <c r="E725" s="13">
        <v>40000.0</v>
      </c>
      <c r="F725" s="13">
        <v>40000.0</v>
      </c>
      <c r="G725" s="14">
        <f t="shared" si="10"/>
        <v>0</v>
      </c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>
      <c r="A726" s="8"/>
      <c r="B726" s="10"/>
      <c r="C726" s="11" t="s">
        <v>133</v>
      </c>
      <c r="D726" s="82" t="s">
        <v>134</v>
      </c>
      <c r="E726" s="13">
        <v>1500.0</v>
      </c>
      <c r="F726" s="13">
        <v>1500.0</v>
      </c>
      <c r="G726" s="14">
        <f t="shared" si="10"/>
        <v>0</v>
      </c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>
      <c r="A727" s="8"/>
      <c r="B727" s="10"/>
      <c r="C727" s="11" t="s">
        <v>137</v>
      </c>
      <c r="D727" s="42" t="s">
        <v>138</v>
      </c>
      <c r="E727" s="13">
        <v>3500.0</v>
      </c>
      <c r="F727" s="13">
        <v>3500.0</v>
      </c>
      <c r="G727" s="14">
        <f t="shared" si="10"/>
        <v>0</v>
      </c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>
      <c r="A728" s="8"/>
      <c r="B728" s="10"/>
      <c r="C728" s="11" t="s">
        <v>139</v>
      </c>
      <c r="D728" s="42" t="s">
        <v>140</v>
      </c>
      <c r="E728" s="13">
        <v>200.0</v>
      </c>
      <c r="F728" s="13">
        <v>200.0</v>
      </c>
      <c r="G728" s="14">
        <f t="shared" si="10"/>
        <v>0</v>
      </c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>
      <c r="A729" s="8"/>
      <c r="B729" s="10"/>
      <c r="C729" s="11" t="s">
        <v>147</v>
      </c>
      <c r="D729" s="82" t="s">
        <v>148</v>
      </c>
      <c r="E729" s="13">
        <v>1500.0</v>
      </c>
      <c r="F729" s="13">
        <v>1500.0</v>
      </c>
      <c r="G729" s="14">
        <f t="shared" si="10"/>
        <v>0</v>
      </c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>
      <c r="A730" s="8"/>
      <c r="B730" s="10"/>
      <c r="C730" s="11" t="s">
        <v>169</v>
      </c>
      <c r="D730" s="82" t="s">
        <v>170</v>
      </c>
      <c r="E730" s="13">
        <v>20000.0</v>
      </c>
      <c r="F730" s="13">
        <v>20000.0</v>
      </c>
      <c r="G730" s="14">
        <f t="shared" si="10"/>
        <v>0</v>
      </c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>
      <c r="A731" s="8"/>
      <c r="B731" s="10"/>
      <c r="C731" s="11" t="s">
        <v>149</v>
      </c>
      <c r="D731" s="82" t="s">
        <v>150</v>
      </c>
      <c r="E731" s="13">
        <v>12000.0</v>
      </c>
      <c r="F731" s="13">
        <v>12000.0</v>
      </c>
      <c r="G731" s="14">
        <f t="shared" si="10"/>
        <v>0</v>
      </c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>
      <c r="A732" s="8"/>
      <c r="B732" s="32">
        <v>1650.0</v>
      </c>
      <c r="E732" s="33">
        <v>549200.0</v>
      </c>
      <c r="F732" s="33">
        <f>SUM(F714:F731)</f>
        <v>549200</v>
      </c>
      <c r="G732" s="14">
        <f t="shared" si="10"/>
        <v>0</v>
      </c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>
      <c r="A733" s="8"/>
      <c r="B733" s="10"/>
      <c r="C733" s="11"/>
      <c r="D733" s="12"/>
      <c r="E733" s="13"/>
      <c r="F733" s="13"/>
      <c r="G733" s="14" t="str">
        <f t="shared" si="10"/>
        <v/>
      </c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>
      <c r="A734" s="8"/>
      <c r="B734" s="44">
        <v>1700.0</v>
      </c>
      <c r="C734" s="45"/>
      <c r="D734" s="46" t="s">
        <v>203</v>
      </c>
      <c r="E734" s="47">
        <v>2025.0</v>
      </c>
      <c r="F734" s="48">
        <v>2026.0</v>
      </c>
      <c r="G734" s="14">
        <f t="shared" si="10"/>
        <v>0.0004938271605</v>
      </c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>
      <c r="A735" s="8"/>
      <c r="B735" s="10"/>
      <c r="C735" s="11" t="s">
        <v>107</v>
      </c>
      <c r="D735" s="42" t="s">
        <v>185</v>
      </c>
      <c r="E735" s="13">
        <v>1000.0</v>
      </c>
      <c r="F735" s="13">
        <v>1000.0</v>
      </c>
      <c r="G735" s="14">
        <f t="shared" si="10"/>
        <v>0</v>
      </c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>
      <c r="A736" s="8"/>
      <c r="B736" s="10"/>
      <c r="C736" s="11" t="s">
        <v>178</v>
      </c>
      <c r="D736" s="82" t="s">
        <v>190</v>
      </c>
      <c r="E736" s="13">
        <v>1000.0</v>
      </c>
      <c r="F736" s="13">
        <v>1000.0</v>
      </c>
      <c r="G736" s="14">
        <f t="shared" si="10"/>
        <v>0</v>
      </c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>
      <c r="A737" s="8"/>
      <c r="B737" s="10"/>
      <c r="C737" s="11" t="s">
        <v>109</v>
      </c>
      <c r="D737" s="82" t="s">
        <v>110</v>
      </c>
      <c r="E737" s="13">
        <v>2150.0</v>
      </c>
      <c r="F737" s="13">
        <v>2150.0</v>
      </c>
      <c r="G737" s="14">
        <f t="shared" si="10"/>
        <v>0</v>
      </c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>
      <c r="A738" s="8"/>
      <c r="B738" s="10"/>
      <c r="C738" s="11" t="s">
        <v>111</v>
      </c>
      <c r="D738" s="82" t="s">
        <v>112</v>
      </c>
      <c r="E738" s="13">
        <v>1300.0</v>
      </c>
      <c r="F738" s="13">
        <v>1300.0</v>
      </c>
      <c r="G738" s="14">
        <f t="shared" si="10"/>
        <v>0</v>
      </c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>
      <c r="A739" s="8"/>
      <c r="B739" s="10"/>
      <c r="C739" s="11" t="s">
        <v>117</v>
      </c>
      <c r="D739" s="82" t="s">
        <v>164</v>
      </c>
      <c r="E739" s="13">
        <v>2500.0</v>
      </c>
      <c r="F739" s="13">
        <v>2500.0</v>
      </c>
      <c r="G739" s="14">
        <f t="shared" si="10"/>
        <v>0</v>
      </c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>
      <c r="A740" s="8"/>
      <c r="B740" s="10"/>
      <c r="C740" s="11" t="s">
        <v>121</v>
      </c>
      <c r="D740" s="82" t="s">
        <v>122</v>
      </c>
      <c r="E740" s="13">
        <v>1800.0</v>
      </c>
      <c r="F740" s="13">
        <v>1800.0</v>
      </c>
      <c r="G740" s="14">
        <f t="shared" si="10"/>
        <v>0</v>
      </c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>
      <c r="A741" s="8"/>
      <c r="B741" s="10"/>
      <c r="C741" s="11" t="s">
        <v>123</v>
      </c>
      <c r="D741" s="82" t="s">
        <v>204</v>
      </c>
      <c r="E741" s="13">
        <v>5000.0</v>
      </c>
      <c r="F741" s="13">
        <v>5000.0</v>
      </c>
      <c r="G741" s="14">
        <f t="shared" si="10"/>
        <v>0</v>
      </c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>
      <c r="A742" s="8"/>
      <c r="B742" s="10"/>
      <c r="C742" s="11" t="s">
        <v>127</v>
      </c>
      <c r="D742" s="82" t="s">
        <v>128</v>
      </c>
      <c r="E742" s="13">
        <v>1000.0</v>
      </c>
      <c r="F742" s="13">
        <v>1000.0</v>
      </c>
      <c r="G742" s="14">
        <f t="shared" si="10"/>
        <v>0</v>
      </c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>
      <c r="A743" s="8"/>
      <c r="B743" s="10"/>
      <c r="C743" s="11" t="s">
        <v>129</v>
      </c>
      <c r="D743" s="82" t="s">
        <v>130</v>
      </c>
      <c r="E743" s="13">
        <v>2200.0</v>
      </c>
      <c r="F743" s="13">
        <v>2200.0</v>
      </c>
      <c r="G743" s="14">
        <f t="shared" si="10"/>
        <v>0</v>
      </c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>
      <c r="A744" s="8"/>
      <c r="B744" s="10"/>
      <c r="C744" s="11" t="s">
        <v>131</v>
      </c>
      <c r="D744" s="82" t="s">
        <v>132</v>
      </c>
      <c r="E744" s="13">
        <v>1000.0</v>
      </c>
      <c r="F744" s="13">
        <v>1000.0</v>
      </c>
      <c r="G744" s="14">
        <f t="shared" si="10"/>
        <v>0</v>
      </c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>
      <c r="A745" s="8"/>
      <c r="B745" s="10"/>
      <c r="C745" s="11" t="s">
        <v>133</v>
      </c>
      <c r="D745" s="82" t="s">
        <v>134</v>
      </c>
      <c r="E745" s="13">
        <v>1000.0</v>
      </c>
      <c r="F745" s="13">
        <v>1000.0</v>
      </c>
      <c r="G745" s="14">
        <f t="shared" si="10"/>
        <v>0</v>
      </c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>
      <c r="A746" s="8"/>
      <c r="B746" s="10"/>
      <c r="C746" s="11" t="s">
        <v>139</v>
      </c>
      <c r="D746" s="42" t="s">
        <v>140</v>
      </c>
      <c r="E746" s="13">
        <v>900.0</v>
      </c>
      <c r="F746" s="13">
        <v>900.0</v>
      </c>
      <c r="G746" s="14">
        <f t="shared" si="10"/>
        <v>0</v>
      </c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>
      <c r="A747" s="8"/>
      <c r="B747" s="10"/>
      <c r="C747" s="11" t="s">
        <v>143</v>
      </c>
      <c r="D747" s="82" t="s">
        <v>144</v>
      </c>
      <c r="E747" s="13">
        <v>8500.0</v>
      </c>
      <c r="F747" s="13">
        <v>8500.0</v>
      </c>
      <c r="G747" s="14">
        <f t="shared" si="10"/>
        <v>0</v>
      </c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>
      <c r="A748" s="8"/>
      <c r="B748" s="10"/>
      <c r="C748" s="11" t="s">
        <v>147</v>
      </c>
      <c r="D748" s="82" t="s">
        <v>148</v>
      </c>
      <c r="E748" s="13">
        <v>50000.0</v>
      </c>
      <c r="F748" s="13">
        <v>50000.0</v>
      </c>
      <c r="G748" s="14">
        <f t="shared" si="10"/>
        <v>0</v>
      </c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>
      <c r="A749" s="8"/>
      <c r="B749" s="10"/>
      <c r="C749" s="11" t="s">
        <v>149</v>
      </c>
      <c r="D749" s="82" t="s">
        <v>150</v>
      </c>
      <c r="E749" s="13">
        <v>10000.0</v>
      </c>
      <c r="F749" s="13">
        <v>10000.0</v>
      </c>
      <c r="G749" s="14">
        <f t="shared" si="10"/>
        <v>0</v>
      </c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>
      <c r="A750" s="8"/>
      <c r="B750" s="10"/>
      <c r="C750" s="11" t="s">
        <v>151</v>
      </c>
      <c r="D750" s="82" t="s">
        <v>152</v>
      </c>
      <c r="E750" s="13">
        <v>100.0</v>
      </c>
      <c r="F750" s="13">
        <v>100.0</v>
      </c>
      <c r="G750" s="14">
        <f t="shared" si="10"/>
        <v>0</v>
      </c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>
      <c r="A751" s="8"/>
      <c r="B751" s="32">
        <v>1700.0</v>
      </c>
      <c r="E751" s="33">
        <v>89450.0</v>
      </c>
      <c r="F751" s="33">
        <f>SUM(F735:F750)</f>
        <v>89450</v>
      </c>
      <c r="G751" s="14">
        <f t="shared" si="10"/>
        <v>0</v>
      </c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>
      <c r="A752" s="8"/>
      <c r="B752" s="32"/>
      <c r="C752" s="61"/>
      <c r="D752" s="12"/>
      <c r="E752" s="43"/>
      <c r="F752" s="43"/>
      <c r="G752" s="14" t="str">
        <f t="shared" si="10"/>
        <v/>
      </c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>
      <c r="A753" s="8"/>
      <c r="B753" s="44">
        <v>1710.0</v>
      </c>
      <c r="C753" s="45"/>
      <c r="D753" s="46" t="s">
        <v>60</v>
      </c>
      <c r="E753" s="47">
        <v>2025.0</v>
      </c>
      <c r="F753" s="48">
        <v>2026.0</v>
      </c>
      <c r="G753" s="14">
        <f t="shared" si="10"/>
        <v>0.0004938271605</v>
      </c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>
      <c r="A754" s="8"/>
      <c r="B754" s="10"/>
      <c r="C754" s="11" t="s">
        <v>107</v>
      </c>
      <c r="D754" s="42" t="s">
        <v>185</v>
      </c>
      <c r="E754" s="13">
        <v>1000.0</v>
      </c>
      <c r="F754" s="13">
        <v>1000.0</v>
      </c>
      <c r="G754" s="14">
        <f t="shared" si="10"/>
        <v>0</v>
      </c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>
      <c r="A755" s="8"/>
      <c r="B755" s="10"/>
      <c r="C755" s="11" t="s">
        <v>123</v>
      </c>
      <c r="D755" s="82" t="s">
        <v>204</v>
      </c>
      <c r="E755" s="13">
        <v>21000.0</v>
      </c>
      <c r="F755" s="13">
        <v>21000.0</v>
      </c>
      <c r="G755" s="14">
        <f t="shared" si="10"/>
        <v>0</v>
      </c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>
      <c r="A756" s="8"/>
      <c r="B756" s="10"/>
      <c r="C756" s="11" t="s">
        <v>205</v>
      </c>
      <c r="D756" s="82" t="s">
        <v>206</v>
      </c>
      <c r="E756" s="13">
        <v>40000.0</v>
      </c>
      <c r="F756" s="13">
        <v>40000.0</v>
      </c>
      <c r="G756" s="14">
        <f t="shared" si="10"/>
        <v>0</v>
      </c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>
      <c r="A757" s="8"/>
      <c r="B757" s="10"/>
      <c r="C757" s="11" t="s">
        <v>149</v>
      </c>
      <c r="D757" s="82" t="s">
        <v>150</v>
      </c>
      <c r="E757" s="13">
        <v>1500000.0</v>
      </c>
      <c r="F757" s="60">
        <v>48000.0</v>
      </c>
      <c r="G757" s="14">
        <f t="shared" si="10"/>
        <v>-0.968</v>
      </c>
      <c r="H757" s="49"/>
      <c r="I757" s="49"/>
      <c r="J757" s="49"/>
      <c r="K757" s="49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>
      <c r="A758" s="8"/>
      <c r="B758" s="10"/>
      <c r="C758" s="83" t="s">
        <v>157</v>
      </c>
      <c r="D758" s="84" t="s">
        <v>207</v>
      </c>
      <c r="E758" s="13"/>
      <c r="F758" s="60">
        <v>1452000.0</v>
      </c>
      <c r="G758" s="14"/>
      <c r="H758" s="49"/>
      <c r="I758" s="49"/>
      <c r="J758" s="49"/>
      <c r="K758" s="49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>
      <c r="A759" s="8"/>
      <c r="B759" s="32">
        <v>1710.0</v>
      </c>
      <c r="E759" s="33">
        <v>1562000.0</v>
      </c>
      <c r="F759" s="33">
        <f>SUM(F754:F758)</f>
        <v>1562000</v>
      </c>
      <c r="G759" s="14">
        <f t="shared" ref="G759:G836" si="11">IFERROR(((F759-E759)/E759), "")</f>
        <v>0</v>
      </c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>
      <c r="A760" s="8"/>
      <c r="B760" s="10"/>
      <c r="C760" s="11"/>
      <c r="D760" s="12"/>
      <c r="E760" s="13"/>
      <c r="F760" s="13"/>
      <c r="G760" s="14" t="str">
        <f t="shared" si="11"/>
        <v/>
      </c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>
      <c r="A761" s="8"/>
      <c r="B761" s="44">
        <v>1721.0</v>
      </c>
      <c r="C761" s="45"/>
      <c r="D761" s="46" t="s">
        <v>208</v>
      </c>
      <c r="E761" s="47">
        <v>2025.0</v>
      </c>
      <c r="F761" s="48">
        <v>2026.0</v>
      </c>
      <c r="G761" s="14">
        <f t="shared" si="11"/>
        <v>0.0004938271605</v>
      </c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>
      <c r="A762" s="8"/>
      <c r="B762" s="10"/>
      <c r="C762" s="11" t="s">
        <v>169</v>
      </c>
      <c r="D762" s="82" t="s">
        <v>209</v>
      </c>
      <c r="E762" s="13">
        <v>50000.0</v>
      </c>
      <c r="F762" s="60">
        <v>18200.0</v>
      </c>
      <c r="G762" s="14">
        <f t="shared" si="11"/>
        <v>-0.636</v>
      </c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>
      <c r="A763" s="8"/>
      <c r="B763" s="32">
        <v>1721.0</v>
      </c>
      <c r="E763" s="33">
        <v>50000.0</v>
      </c>
      <c r="F763" s="33">
        <f>SUM(F762)</f>
        <v>18200</v>
      </c>
      <c r="G763" s="14">
        <f t="shared" si="11"/>
        <v>-0.636</v>
      </c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>
      <c r="A764" s="8"/>
      <c r="B764" s="10"/>
      <c r="C764" s="11"/>
      <c r="D764" s="12"/>
      <c r="E764" s="13"/>
      <c r="F764" s="13"/>
      <c r="G764" s="14" t="str">
        <f t="shared" si="11"/>
        <v/>
      </c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>
      <c r="A765" s="8"/>
      <c r="B765" s="44">
        <v>2310.0</v>
      </c>
      <c r="C765" s="45"/>
      <c r="D765" s="46" t="s">
        <v>74</v>
      </c>
      <c r="E765" s="47">
        <v>2025.0</v>
      </c>
      <c r="F765" s="48">
        <v>2026.0</v>
      </c>
      <c r="G765" s="14">
        <f t="shared" si="11"/>
        <v>0.0004938271605</v>
      </c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>
      <c r="A766" s="8"/>
      <c r="B766" s="10"/>
      <c r="C766" s="11" t="s">
        <v>107</v>
      </c>
      <c r="D766" s="42" t="s">
        <v>185</v>
      </c>
      <c r="E766" s="13">
        <v>500.0</v>
      </c>
      <c r="F766" s="13">
        <v>500.0</v>
      </c>
      <c r="G766" s="14">
        <f t="shared" si="11"/>
        <v>0</v>
      </c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>
      <c r="A767" s="8"/>
      <c r="B767" s="10"/>
      <c r="C767" s="11" t="s">
        <v>109</v>
      </c>
      <c r="D767" s="82" t="s">
        <v>110</v>
      </c>
      <c r="E767" s="13">
        <v>72000.0</v>
      </c>
      <c r="F767" s="60">
        <v>64000.0</v>
      </c>
      <c r="G767" s="14">
        <f t="shared" si="11"/>
        <v>-0.1111111111</v>
      </c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>
      <c r="A768" s="8"/>
      <c r="B768" s="10"/>
      <c r="C768" s="11" t="s">
        <v>111</v>
      </c>
      <c r="D768" s="82" t="s">
        <v>112</v>
      </c>
      <c r="E768" s="13">
        <v>500.0</v>
      </c>
      <c r="F768" s="13">
        <v>500.0</v>
      </c>
      <c r="G768" s="14">
        <f t="shared" si="11"/>
        <v>0</v>
      </c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>
      <c r="A769" s="8"/>
      <c r="B769" s="10"/>
      <c r="C769" s="11" t="s">
        <v>115</v>
      </c>
      <c r="D769" s="82" t="s">
        <v>116</v>
      </c>
      <c r="E769" s="13">
        <v>500.0</v>
      </c>
      <c r="F769" s="13">
        <v>500.0</v>
      </c>
      <c r="G769" s="14">
        <f t="shared" si="11"/>
        <v>0</v>
      </c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>
      <c r="A770" s="8"/>
      <c r="B770" s="10"/>
      <c r="C770" s="11" t="s">
        <v>121</v>
      </c>
      <c r="D770" s="82" t="s">
        <v>122</v>
      </c>
      <c r="E770" s="13">
        <v>5000.0</v>
      </c>
      <c r="F770" s="13">
        <v>5000.0</v>
      </c>
      <c r="G770" s="14">
        <f t="shared" si="11"/>
        <v>0</v>
      </c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>
      <c r="A771" s="8"/>
      <c r="B771" s="10"/>
      <c r="C771" s="11" t="s">
        <v>166</v>
      </c>
      <c r="D771" s="82" t="s">
        <v>167</v>
      </c>
      <c r="E771" s="13">
        <v>1000.0</v>
      </c>
      <c r="F771" s="13">
        <v>1000.0</v>
      </c>
      <c r="G771" s="14">
        <f t="shared" si="11"/>
        <v>0</v>
      </c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>
      <c r="A772" s="8"/>
      <c r="B772" s="10"/>
      <c r="C772" s="11" t="s">
        <v>198</v>
      </c>
      <c r="D772" s="82" t="s">
        <v>199</v>
      </c>
      <c r="E772" s="13">
        <v>500.0</v>
      </c>
      <c r="F772" s="13">
        <v>500.0</v>
      </c>
      <c r="G772" s="14">
        <f t="shared" si="11"/>
        <v>0</v>
      </c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>
      <c r="A773" s="8"/>
      <c r="B773" s="10"/>
      <c r="C773" s="11" t="s">
        <v>123</v>
      </c>
      <c r="D773" s="82" t="s">
        <v>165</v>
      </c>
      <c r="E773" s="13">
        <v>12000.0</v>
      </c>
      <c r="F773" s="13">
        <v>12000.0</v>
      </c>
      <c r="G773" s="14">
        <f t="shared" si="11"/>
        <v>0</v>
      </c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>
      <c r="A774" s="8"/>
      <c r="B774" s="10"/>
      <c r="C774" s="11" t="s">
        <v>125</v>
      </c>
      <c r="D774" s="82" t="s">
        <v>126</v>
      </c>
      <c r="E774" s="13">
        <v>40000.0</v>
      </c>
      <c r="F774" s="60">
        <v>35000.0</v>
      </c>
      <c r="G774" s="14">
        <f t="shared" si="11"/>
        <v>-0.125</v>
      </c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>
      <c r="A775" s="49"/>
      <c r="B775" s="49"/>
      <c r="C775" s="88" t="s">
        <v>129</v>
      </c>
      <c r="D775" s="89" t="s">
        <v>130</v>
      </c>
      <c r="E775" s="92">
        <v>2000.0</v>
      </c>
      <c r="F775" s="92">
        <v>2000.0</v>
      </c>
      <c r="G775" s="14">
        <f t="shared" si="11"/>
        <v>0</v>
      </c>
      <c r="H775" s="49"/>
      <c r="I775" s="49"/>
      <c r="J775" s="49"/>
      <c r="K775" s="49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>
      <c r="A776" s="49"/>
      <c r="B776" s="49"/>
      <c r="C776" s="88" t="s">
        <v>166</v>
      </c>
      <c r="D776" s="89" t="s">
        <v>210</v>
      </c>
      <c r="E776" s="92">
        <v>3000.0</v>
      </c>
      <c r="F776" s="92">
        <v>3000.0</v>
      </c>
      <c r="G776" s="14">
        <f t="shared" si="11"/>
        <v>0</v>
      </c>
      <c r="H776" s="49"/>
      <c r="I776" s="49"/>
      <c r="J776" s="49"/>
      <c r="K776" s="49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>
      <c r="A777" s="8"/>
      <c r="B777" s="10"/>
      <c r="C777" s="11" t="s">
        <v>131</v>
      </c>
      <c r="D777" s="82" t="s">
        <v>132</v>
      </c>
      <c r="E777" s="13">
        <v>3500.0</v>
      </c>
      <c r="F777" s="13">
        <v>3500.0</v>
      </c>
      <c r="G777" s="14">
        <f t="shared" si="11"/>
        <v>0</v>
      </c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>
      <c r="A778" s="8"/>
      <c r="B778" s="10"/>
      <c r="C778" s="11" t="s">
        <v>133</v>
      </c>
      <c r="D778" s="82" t="s">
        <v>134</v>
      </c>
      <c r="E778" s="13">
        <v>8000.0</v>
      </c>
      <c r="F778" s="13">
        <v>8000.0</v>
      </c>
      <c r="G778" s="14">
        <f t="shared" si="11"/>
        <v>0</v>
      </c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>
      <c r="A779" s="8"/>
      <c r="B779" s="10"/>
      <c r="C779" s="11" t="s">
        <v>139</v>
      </c>
      <c r="D779" s="42" t="s">
        <v>140</v>
      </c>
      <c r="E779" s="13">
        <v>200.0</v>
      </c>
      <c r="F779" s="13">
        <v>200.0</v>
      </c>
      <c r="G779" s="14">
        <f t="shared" si="11"/>
        <v>0</v>
      </c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>
      <c r="A780" s="8"/>
      <c r="B780" s="10"/>
      <c r="C780" s="11" t="s">
        <v>143</v>
      </c>
      <c r="D780" s="82" t="s">
        <v>144</v>
      </c>
      <c r="E780" s="13">
        <v>5000.0</v>
      </c>
      <c r="F780" s="13">
        <v>5000.0</v>
      </c>
      <c r="G780" s="14">
        <f t="shared" si="11"/>
        <v>0</v>
      </c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>
      <c r="A781" s="8"/>
      <c r="B781" s="10"/>
      <c r="C781" s="11" t="s">
        <v>147</v>
      </c>
      <c r="D781" s="82" t="s">
        <v>148</v>
      </c>
      <c r="E781" s="13">
        <v>1500.0</v>
      </c>
      <c r="F781" s="13">
        <v>1500.0</v>
      </c>
      <c r="G781" s="14">
        <f t="shared" si="11"/>
        <v>0</v>
      </c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>
      <c r="A782" s="8"/>
      <c r="B782" s="10"/>
      <c r="C782" s="11" t="s">
        <v>151</v>
      </c>
      <c r="D782" s="82" t="s">
        <v>152</v>
      </c>
      <c r="E782" s="13">
        <v>1000.0</v>
      </c>
      <c r="F782" s="13">
        <v>1000.0</v>
      </c>
      <c r="G782" s="14">
        <f t="shared" si="11"/>
        <v>0</v>
      </c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>
      <c r="A783" s="8"/>
      <c r="B783" s="32">
        <v>2310.0</v>
      </c>
      <c r="E783" s="33">
        <v>156200.0</v>
      </c>
      <c r="F783" s="33">
        <f>SUM(F766:F782)</f>
        <v>143200</v>
      </c>
      <c r="G783" s="14">
        <f t="shared" si="11"/>
        <v>-0.08322663252</v>
      </c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>
      <c r="A784" s="8"/>
      <c r="B784" s="10"/>
      <c r="C784" s="11"/>
      <c r="D784" s="58"/>
      <c r="E784" s="43"/>
      <c r="F784" s="43"/>
      <c r="G784" s="14" t="str">
        <f t="shared" si="11"/>
        <v/>
      </c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>
      <c r="A785" s="8"/>
      <c r="B785" s="44">
        <v>2311.0</v>
      </c>
      <c r="C785" s="45"/>
      <c r="D785" s="46" t="s">
        <v>75</v>
      </c>
      <c r="E785" s="47">
        <v>2025.0</v>
      </c>
      <c r="F785" s="48">
        <v>2026.0</v>
      </c>
      <c r="G785" s="14">
        <f t="shared" si="11"/>
        <v>0.0004938271605</v>
      </c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>
      <c r="A786" s="8"/>
      <c r="B786" s="10"/>
      <c r="C786" s="11" t="s">
        <v>166</v>
      </c>
      <c r="D786" s="82" t="s">
        <v>167</v>
      </c>
      <c r="E786" s="13">
        <v>800.0</v>
      </c>
      <c r="F786" s="13">
        <v>800.0</v>
      </c>
      <c r="G786" s="14">
        <f t="shared" si="11"/>
        <v>0</v>
      </c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>
      <c r="A787" s="8"/>
      <c r="B787" s="10"/>
      <c r="C787" s="11" t="s">
        <v>143</v>
      </c>
      <c r="D787" s="82" t="s">
        <v>144</v>
      </c>
      <c r="E787" s="13">
        <v>13000.0</v>
      </c>
      <c r="F787" s="13">
        <v>13000.0</v>
      </c>
      <c r="G787" s="14">
        <f t="shared" si="11"/>
        <v>0</v>
      </c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>
      <c r="A788" s="8"/>
      <c r="B788" s="10"/>
      <c r="C788" s="11" t="s">
        <v>211</v>
      </c>
      <c r="D788" s="42" t="s">
        <v>212</v>
      </c>
      <c r="E788" s="13">
        <v>37500.0</v>
      </c>
      <c r="F788" s="13">
        <v>37500.0</v>
      </c>
      <c r="G788" s="14">
        <f t="shared" si="11"/>
        <v>0</v>
      </c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>
      <c r="A789" s="8"/>
      <c r="B789" s="10"/>
      <c r="C789" s="11" t="s">
        <v>147</v>
      </c>
      <c r="D789" s="82" t="s">
        <v>148</v>
      </c>
      <c r="E789" s="13">
        <v>10000.0</v>
      </c>
      <c r="F789" s="13">
        <v>10000.0</v>
      </c>
      <c r="G789" s="14">
        <f t="shared" si="11"/>
        <v>0</v>
      </c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>
      <c r="A790" s="8"/>
      <c r="B790" s="10"/>
      <c r="C790" s="11" t="s">
        <v>151</v>
      </c>
      <c r="D790" s="82" t="s">
        <v>152</v>
      </c>
      <c r="E790" s="13">
        <v>2000.0</v>
      </c>
      <c r="F790" s="13">
        <v>2000.0</v>
      </c>
      <c r="G790" s="14">
        <f t="shared" si="11"/>
        <v>0</v>
      </c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>
      <c r="A791" s="8"/>
      <c r="B791" s="32">
        <v>2311.0</v>
      </c>
      <c r="E791" s="33">
        <v>63300.0</v>
      </c>
      <c r="F791" s="33">
        <f>SUM(F786:F790)</f>
        <v>63300</v>
      </c>
      <c r="G791" s="14">
        <f t="shared" si="11"/>
        <v>0</v>
      </c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>
      <c r="A792" s="8"/>
      <c r="B792" s="10"/>
      <c r="C792" s="41"/>
      <c r="D792" s="42"/>
      <c r="E792" s="43"/>
      <c r="F792" s="43"/>
      <c r="G792" s="14" t="str">
        <f t="shared" si="11"/>
        <v/>
      </c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>
      <c r="A793" s="8"/>
      <c r="B793" s="44">
        <v>2312.0</v>
      </c>
      <c r="C793" s="45"/>
      <c r="D793" s="46" t="s">
        <v>213</v>
      </c>
      <c r="E793" s="47">
        <v>2025.0</v>
      </c>
      <c r="F793" s="48">
        <v>2026.0</v>
      </c>
      <c r="G793" s="14">
        <f t="shared" si="11"/>
        <v>0.0004938271605</v>
      </c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>
      <c r="A794" s="8"/>
      <c r="B794" s="10"/>
      <c r="C794" s="11" t="s">
        <v>107</v>
      </c>
      <c r="D794" s="42" t="s">
        <v>185</v>
      </c>
      <c r="E794" s="13">
        <v>400.0</v>
      </c>
      <c r="F794" s="13">
        <v>400.0</v>
      </c>
      <c r="G794" s="14">
        <f t="shared" si="11"/>
        <v>0</v>
      </c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>
      <c r="A795" s="8"/>
      <c r="B795" s="10"/>
      <c r="C795" s="11" t="s">
        <v>109</v>
      </c>
      <c r="D795" s="82" t="s">
        <v>110</v>
      </c>
      <c r="E795" s="13">
        <v>48000.0</v>
      </c>
      <c r="F795" s="13">
        <v>48000.0</v>
      </c>
      <c r="G795" s="14">
        <f t="shared" si="11"/>
        <v>0</v>
      </c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>
      <c r="A796" s="8"/>
      <c r="B796" s="10"/>
      <c r="C796" s="11" t="s">
        <v>115</v>
      </c>
      <c r="D796" s="82" t="s">
        <v>116</v>
      </c>
      <c r="E796" s="13">
        <v>100.0</v>
      </c>
      <c r="F796" s="13">
        <v>100.0</v>
      </c>
      <c r="G796" s="14">
        <f t="shared" si="11"/>
        <v>0</v>
      </c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>
      <c r="A797" s="8"/>
      <c r="B797" s="10"/>
      <c r="C797" s="11" t="s">
        <v>121</v>
      </c>
      <c r="D797" s="82" t="s">
        <v>122</v>
      </c>
      <c r="E797" s="13">
        <v>5000.0</v>
      </c>
      <c r="F797" s="13">
        <v>5000.0</v>
      </c>
      <c r="G797" s="14">
        <f t="shared" si="11"/>
        <v>0</v>
      </c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>
      <c r="A798" s="8"/>
      <c r="B798" s="10"/>
      <c r="C798" s="11" t="s">
        <v>123</v>
      </c>
      <c r="D798" s="82" t="s">
        <v>165</v>
      </c>
      <c r="E798" s="13">
        <v>5000.0</v>
      </c>
      <c r="F798" s="13">
        <v>5000.0</v>
      </c>
      <c r="G798" s="14">
        <f t="shared" si="11"/>
        <v>0</v>
      </c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>
      <c r="A799" s="8"/>
      <c r="B799" s="10"/>
      <c r="C799" s="11" t="s">
        <v>125</v>
      </c>
      <c r="D799" s="82" t="s">
        <v>126</v>
      </c>
      <c r="E799" s="13">
        <v>3000.0</v>
      </c>
      <c r="F799" s="13">
        <v>3000.0</v>
      </c>
      <c r="G799" s="14">
        <f t="shared" si="11"/>
        <v>0</v>
      </c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>
      <c r="A800" s="8"/>
      <c r="B800" s="10"/>
      <c r="C800" s="11" t="s">
        <v>131</v>
      </c>
      <c r="D800" s="82" t="s">
        <v>132</v>
      </c>
      <c r="E800" s="13">
        <v>2000.0</v>
      </c>
      <c r="F800" s="13">
        <v>2000.0</v>
      </c>
      <c r="G800" s="14">
        <f t="shared" si="11"/>
        <v>0</v>
      </c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>
      <c r="A801" s="8"/>
      <c r="B801" s="10"/>
      <c r="C801" s="11" t="s">
        <v>133</v>
      </c>
      <c r="D801" s="82" t="s">
        <v>134</v>
      </c>
      <c r="E801" s="13">
        <v>1500.0</v>
      </c>
      <c r="F801" s="13">
        <v>1500.0</v>
      </c>
      <c r="G801" s="14">
        <f t="shared" si="11"/>
        <v>0</v>
      </c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>
      <c r="A802" s="8"/>
      <c r="B802" s="10"/>
      <c r="C802" s="11" t="s">
        <v>137</v>
      </c>
      <c r="D802" s="42" t="s">
        <v>138</v>
      </c>
      <c r="E802" s="13">
        <v>150.0</v>
      </c>
      <c r="F802" s="13">
        <v>150.0</v>
      </c>
      <c r="G802" s="14">
        <f t="shared" si="11"/>
        <v>0</v>
      </c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>
      <c r="A803" s="8"/>
      <c r="B803" s="10"/>
      <c r="C803" s="11" t="s">
        <v>139</v>
      </c>
      <c r="D803" s="42" t="s">
        <v>140</v>
      </c>
      <c r="E803" s="13">
        <v>400.0</v>
      </c>
      <c r="F803" s="13">
        <v>400.0</v>
      </c>
      <c r="G803" s="14">
        <f t="shared" si="11"/>
        <v>0</v>
      </c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>
      <c r="A804" s="8"/>
      <c r="B804" s="10"/>
      <c r="C804" s="11" t="s">
        <v>143</v>
      </c>
      <c r="D804" s="82" t="s">
        <v>144</v>
      </c>
      <c r="E804" s="13">
        <v>4000.0</v>
      </c>
      <c r="F804" s="13">
        <v>4000.0</v>
      </c>
      <c r="G804" s="14">
        <f t="shared" si="11"/>
        <v>0</v>
      </c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>
      <c r="A805" s="8"/>
      <c r="B805" s="10"/>
      <c r="C805" s="11" t="s">
        <v>211</v>
      </c>
      <c r="D805" s="42" t="s">
        <v>212</v>
      </c>
      <c r="E805" s="13">
        <v>10000.0</v>
      </c>
      <c r="F805" s="13">
        <v>10000.0</v>
      </c>
      <c r="G805" s="14">
        <f t="shared" si="11"/>
        <v>0</v>
      </c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>
      <c r="A806" s="8"/>
      <c r="B806" s="10"/>
      <c r="C806" s="11" t="s">
        <v>147</v>
      </c>
      <c r="D806" s="42" t="s">
        <v>148</v>
      </c>
      <c r="E806" s="13">
        <v>35250.0</v>
      </c>
      <c r="F806" s="13">
        <v>35250.0</v>
      </c>
      <c r="G806" s="14">
        <f t="shared" si="11"/>
        <v>0</v>
      </c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>
      <c r="A807" s="8"/>
      <c r="B807" s="10"/>
      <c r="C807" s="11" t="s">
        <v>149</v>
      </c>
      <c r="D807" s="42" t="s">
        <v>150</v>
      </c>
      <c r="E807" s="13">
        <v>33500.0</v>
      </c>
      <c r="F807" s="13">
        <v>33500.0</v>
      </c>
      <c r="G807" s="14">
        <f t="shared" si="11"/>
        <v>0</v>
      </c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>
      <c r="A808" s="8"/>
      <c r="B808" s="32">
        <v>2312.0</v>
      </c>
      <c r="E808" s="33">
        <v>148300.0</v>
      </c>
      <c r="F808" s="33">
        <f>SUM(F794:F807)</f>
        <v>148300</v>
      </c>
      <c r="G808" s="14">
        <f t="shared" si="11"/>
        <v>0</v>
      </c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>
      <c r="A809" s="8"/>
      <c r="B809" s="10"/>
      <c r="C809" s="11"/>
      <c r="D809" s="58"/>
      <c r="E809" s="43"/>
      <c r="F809" s="43"/>
      <c r="G809" s="14" t="str">
        <f t="shared" si="11"/>
        <v/>
      </c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>
      <c r="A810" s="8"/>
      <c r="B810" s="44">
        <v>2313.0</v>
      </c>
      <c r="C810" s="45"/>
      <c r="D810" s="46" t="s">
        <v>214</v>
      </c>
      <c r="E810" s="47">
        <v>2025.0</v>
      </c>
      <c r="F810" s="48">
        <v>2026.0</v>
      </c>
      <c r="G810" s="14">
        <f t="shared" si="11"/>
        <v>0.0004938271605</v>
      </c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>
      <c r="A811" s="8"/>
      <c r="B811" s="10"/>
      <c r="C811" s="11" t="s">
        <v>107</v>
      </c>
      <c r="D811" s="42" t="s">
        <v>185</v>
      </c>
      <c r="E811" s="13">
        <v>600.0</v>
      </c>
      <c r="F811" s="13">
        <v>600.0</v>
      </c>
      <c r="G811" s="14">
        <f t="shared" si="11"/>
        <v>0</v>
      </c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>
      <c r="A812" s="8"/>
      <c r="B812" s="10"/>
      <c r="C812" s="11" t="s">
        <v>121</v>
      </c>
      <c r="D812" s="82" t="s">
        <v>122</v>
      </c>
      <c r="E812" s="13">
        <v>300.0</v>
      </c>
      <c r="F812" s="13">
        <v>300.0</v>
      </c>
      <c r="G812" s="14">
        <f t="shared" si="11"/>
        <v>0</v>
      </c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>
      <c r="A813" s="8"/>
      <c r="B813" s="10"/>
      <c r="C813" s="11" t="s">
        <v>123</v>
      </c>
      <c r="D813" s="82" t="s">
        <v>165</v>
      </c>
      <c r="E813" s="13">
        <v>2100.0</v>
      </c>
      <c r="F813" s="13">
        <v>2100.0</v>
      </c>
      <c r="G813" s="14">
        <f t="shared" si="11"/>
        <v>0</v>
      </c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>
      <c r="A814" s="8"/>
      <c r="B814" s="10"/>
      <c r="C814" s="11" t="s">
        <v>125</v>
      </c>
      <c r="D814" s="82" t="s">
        <v>126</v>
      </c>
      <c r="E814" s="13">
        <v>400.0</v>
      </c>
      <c r="F814" s="13">
        <v>400.0</v>
      </c>
      <c r="G814" s="14">
        <f t="shared" si="11"/>
        <v>0</v>
      </c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>
      <c r="A815" s="8"/>
      <c r="B815" s="10"/>
      <c r="C815" s="11" t="s">
        <v>133</v>
      </c>
      <c r="D815" s="82" t="s">
        <v>134</v>
      </c>
      <c r="E815" s="13">
        <v>200.0</v>
      </c>
      <c r="F815" s="13">
        <v>200.0</v>
      </c>
      <c r="G815" s="14">
        <f t="shared" si="11"/>
        <v>0</v>
      </c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>
      <c r="A816" s="8"/>
      <c r="B816" s="10"/>
      <c r="C816" s="11" t="s">
        <v>135</v>
      </c>
      <c r="D816" s="82" t="s">
        <v>136</v>
      </c>
      <c r="E816" s="13">
        <v>200.0</v>
      </c>
      <c r="F816" s="13">
        <v>200.0</v>
      </c>
      <c r="G816" s="14">
        <f t="shared" si="11"/>
        <v>0</v>
      </c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>
      <c r="A817" s="8"/>
      <c r="B817" s="10"/>
      <c r="C817" s="11" t="s">
        <v>143</v>
      </c>
      <c r="D817" s="82" t="s">
        <v>144</v>
      </c>
      <c r="E817" s="13">
        <v>4000.0</v>
      </c>
      <c r="F817" s="13">
        <v>4000.0</v>
      </c>
      <c r="G817" s="14">
        <f t="shared" si="11"/>
        <v>0</v>
      </c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>
      <c r="A818" s="8"/>
      <c r="B818" s="10"/>
      <c r="C818" s="11" t="s">
        <v>211</v>
      </c>
      <c r="D818" s="42" t="s">
        <v>212</v>
      </c>
      <c r="E818" s="13">
        <v>15000.0</v>
      </c>
      <c r="F818" s="13">
        <v>15000.0</v>
      </c>
      <c r="G818" s="14">
        <f t="shared" si="11"/>
        <v>0</v>
      </c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>
      <c r="A819" s="8"/>
      <c r="B819" s="10"/>
      <c r="C819" s="11" t="s">
        <v>147</v>
      </c>
      <c r="D819" s="42" t="s">
        <v>148</v>
      </c>
      <c r="E819" s="13">
        <v>23000.0</v>
      </c>
      <c r="F819" s="13">
        <v>23000.0</v>
      </c>
      <c r="G819" s="14">
        <f t="shared" si="11"/>
        <v>0</v>
      </c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>
      <c r="A820" s="8"/>
      <c r="B820" s="32">
        <v>2313.0</v>
      </c>
      <c r="E820" s="33">
        <v>45800.0</v>
      </c>
      <c r="F820" s="33">
        <f>SUM(F811:F819)</f>
        <v>45800</v>
      </c>
      <c r="G820" s="14">
        <f t="shared" si="11"/>
        <v>0</v>
      </c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>
      <c r="A821" s="8"/>
      <c r="B821" s="10"/>
      <c r="C821" s="11"/>
      <c r="D821" s="58"/>
      <c r="E821" s="43"/>
      <c r="F821" s="43"/>
      <c r="G821" s="14" t="str">
        <f t="shared" si="11"/>
        <v/>
      </c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>
      <c r="A822" s="8"/>
      <c r="B822" s="44">
        <v>2314.0</v>
      </c>
      <c r="C822" s="45"/>
      <c r="D822" s="46" t="s">
        <v>215</v>
      </c>
      <c r="E822" s="47">
        <v>2025.0</v>
      </c>
      <c r="F822" s="48">
        <v>2026.0</v>
      </c>
      <c r="G822" s="14">
        <f t="shared" si="11"/>
        <v>0.0004938271605</v>
      </c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>
      <c r="A823" s="8"/>
      <c r="B823" s="10"/>
      <c r="C823" s="11" t="s">
        <v>162</v>
      </c>
      <c r="D823" s="82" t="s">
        <v>163</v>
      </c>
      <c r="E823" s="13">
        <v>8000.0</v>
      </c>
      <c r="F823" s="13">
        <v>8000.0</v>
      </c>
      <c r="G823" s="14">
        <f t="shared" si="11"/>
        <v>0</v>
      </c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>
      <c r="A824" s="8"/>
      <c r="B824" s="10"/>
      <c r="C824" s="11" t="s">
        <v>109</v>
      </c>
      <c r="D824" s="82" t="s">
        <v>110</v>
      </c>
      <c r="E824" s="13">
        <v>50000.0</v>
      </c>
      <c r="F824" s="60">
        <v>45000.0</v>
      </c>
      <c r="G824" s="14">
        <f t="shared" si="11"/>
        <v>-0.1</v>
      </c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>
      <c r="A825" s="8"/>
      <c r="B825" s="10"/>
      <c r="C825" s="11" t="s">
        <v>111</v>
      </c>
      <c r="D825" s="82" t="s">
        <v>112</v>
      </c>
      <c r="E825" s="13">
        <v>1000.0</v>
      </c>
      <c r="F825" s="13">
        <v>1000.0</v>
      </c>
      <c r="G825" s="14">
        <f t="shared" si="11"/>
        <v>0</v>
      </c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>
      <c r="A826" s="8"/>
      <c r="B826" s="10"/>
      <c r="C826" s="11" t="s">
        <v>121</v>
      </c>
      <c r="D826" s="82" t="s">
        <v>122</v>
      </c>
      <c r="E826" s="13">
        <v>2000.0</v>
      </c>
      <c r="F826" s="13">
        <v>2000.0</v>
      </c>
      <c r="G826" s="14">
        <f t="shared" si="11"/>
        <v>0</v>
      </c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>
      <c r="A827" s="8"/>
      <c r="B827" s="10"/>
      <c r="C827" s="11" t="s">
        <v>166</v>
      </c>
      <c r="D827" s="82" t="s">
        <v>167</v>
      </c>
      <c r="E827" s="13">
        <v>2900.0</v>
      </c>
      <c r="F827" s="13">
        <v>2900.0</v>
      </c>
      <c r="G827" s="14">
        <f t="shared" si="11"/>
        <v>0</v>
      </c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>
      <c r="A828" s="8"/>
      <c r="B828" s="10"/>
      <c r="C828" s="11" t="s">
        <v>123</v>
      </c>
      <c r="D828" s="84" t="s">
        <v>124</v>
      </c>
      <c r="E828" s="13">
        <v>15000.0</v>
      </c>
      <c r="F828" s="13">
        <v>15000.0</v>
      </c>
      <c r="G828" s="14">
        <f t="shared" si="11"/>
        <v>0</v>
      </c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>
      <c r="A829" s="8"/>
      <c r="B829" s="10"/>
      <c r="C829" s="11" t="s">
        <v>125</v>
      </c>
      <c r="D829" s="82" t="s">
        <v>126</v>
      </c>
      <c r="E829" s="13">
        <v>2400.0</v>
      </c>
      <c r="F829" s="13">
        <v>2400.0</v>
      </c>
      <c r="G829" s="14">
        <f t="shared" si="11"/>
        <v>0</v>
      </c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>
      <c r="A830" s="8"/>
      <c r="B830" s="10"/>
      <c r="C830" s="11" t="s">
        <v>131</v>
      </c>
      <c r="D830" s="82" t="s">
        <v>132</v>
      </c>
      <c r="E830" s="13">
        <v>30.0</v>
      </c>
      <c r="F830" s="13">
        <v>30.0</v>
      </c>
      <c r="G830" s="14">
        <f t="shared" si="11"/>
        <v>0</v>
      </c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>
      <c r="A831" s="8"/>
      <c r="B831" s="10"/>
      <c r="C831" s="11" t="s">
        <v>133</v>
      </c>
      <c r="D831" s="82" t="s">
        <v>134</v>
      </c>
      <c r="E831" s="13">
        <v>1000.0</v>
      </c>
      <c r="F831" s="13">
        <v>1000.0</v>
      </c>
      <c r="G831" s="14">
        <f t="shared" si="11"/>
        <v>0</v>
      </c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>
      <c r="A832" s="8"/>
      <c r="B832" s="10"/>
      <c r="C832" s="11" t="s">
        <v>139</v>
      </c>
      <c r="D832" s="42" t="s">
        <v>140</v>
      </c>
      <c r="E832" s="13">
        <v>800.0</v>
      </c>
      <c r="F832" s="13">
        <v>800.0</v>
      </c>
      <c r="G832" s="14">
        <f t="shared" si="11"/>
        <v>0</v>
      </c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8"/>
      <c r="B833" s="10"/>
      <c r="C833" s="11" t="s">
        <v>143</v>
      </c>
      <c r="D833" s="82" t="s">
        <v>144</v>
      </c>
      <c r="E833" s="13">
        <v>3000.0</v>
      </c>
      <c r="F833" s="13">
        <v>3000.0</v>
      </c>
      <c r="G833" s="14">
        <f t="shared" si="11"/>
        <v>0</v>
      </c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>
      <c r="A834" s="8"/>
      <c r="B834" s="10"/>
      <c r="C834" s="11" t="s">
        <v>211</v>
      </c>
      <c r="D834" s="42" t="s">
        <v>212</v>
      </c>
      <c r="E834" s="13">
        <v>6000.0</v>
      </c>
      <c r="F834" s="13">
        <v>6000.0</v>
      </c>
      <c r="G834" s="14">
        <f t="shared" si="11"/>
        <v>0</v>
      </c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>
      <c r="A835" s="8"/>
      <c r="B835" s="10"/>
      <c r="C835" s="11" t="s">
        <v>147</v>
      </c>
      <c r="D835" s="42" t="s">
        <v>148</v>
      </c>
      <c r="E835" s="13">
        <v>10000.0</v>
      </c>
      <c r="F835" s="13">
        <v>10000.0</v>
      </c>
      <c r="G835" s="14">
        <f t="shared" si="11"/>
        <v>0</v>
      </c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>
      <c r="A836" s="8"/>
      <c r="B836" s="10"/>
      <c r="C836" s="11" t="s">
        <v>149</v>
      </c>
      <c r="D836" s="42" t="s">
        <v>156</v>
      </c>
      <c r="E836" s="13">
        <v>1700000.0</v>
      </c>
      <c r="F836" s="60">
        <v>100.0</v>
      </c>
      <c r="G836" s="14">
        <f t="shared" si="11"/>
        <v>-0.9999411765</v>
      </c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>
      <c r="A837" s="8"/>
      <c r="B837" s="10"/>
      <c r="C837" s="83" t="s">
        <v>157</v>
      </c>
      <c r="D837" s="85" t="s">
        <v>216</v>
      </c>
      <c r="E837" s="13"/>
      <c r="F837" s="60">
        <v>355000.0</v>
      </c>
      <c r="G837" s="14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>
      <c r="A838" s="8"/>
      <c r="B838" s="10"/>
      <c r="C838" s="83" t="s">
        <v>159</v>
      </c>
      <c r="D838" s="85" t="s">
        <v>217</v>
      </c>
      <c r="E838" s="13"/>
      <c r="F838" s="60">
        <v>1280000.0</v>
      </c>
      <c r="G838" s="14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>
      <c r="A839" s="8"/>
      <c r="B839" s="10"/>
      <c r="C839" s="83" t="s">
        <v>218</v>
      </c>
      <c r="D839" s="85" t="s">
        <v>219</v>
      </c>
      <c r="E839" s="13"/>
      <c r="F839" s="60">
        <v>405000.0</v>
      </c>
      <c r="G839" s="14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>
      <c r="A840" s="8"/>
      <c r="B840" s="10"/>
      <c r="C840" s="83" t="s">
        <v>220</v>
      </c>
      <c r="D840" s="85" t="s">
        <v>221</v>
      </c>
      <c r="E840" s="13"/>
      <c r="F840" s="60">
        <v>55000.0</v>
      </c>
      <c r="G840" s="14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>
      <c r="A841" s="8"/>
      <c r="B841" s="32">
        <v>2314.0</v>
      </c>
      <c r="E841" s="33">
        <v>1802130.0</v>
      </c>
      <c r="F841" s="33">
        <f>SUM(F823:F840)</f>
        <v>2192230</v>
      </c>
      <c r="G841" s="14">
        <f t="shared" ref="G841:G850" si="12">IFERROR(((F841-E841)/E841), "")</f>
        <v>0.2164660707</v>
      </c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>
      <c r="A842" s="8"/>
      <c r="B842" s="10"/>
      <c r="C842" s="11"/>
      <c r="D842" s="12"/>
      <c r="E842" s="13"/>
      <c r="F842" s="13"/>
      <c r="G842" s="14" t="str">
        <f t="shared" si="12"/>
        <v/>
      </c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>
      <c r="A843" s="8"/>
      <c r="B843" s="44">
        <v>2411.0</v>
      </c>
      <c r="C843" s="45"/>
      <c r="D843" s="46" t="s">
        <v>222</v>
      </c>
      <c r="E843" s="47">
        <v>2025.0</v>
      </c>
      <c r="F843" s="48">
        <v>2026.0</v>
      </c>
      <c r="G843" s="14">
        <f t="shared" si="12"/>
        <v>0.0004938271605</v>
      </c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>
      <c r="A844" s="8"/>
      <c r="B844" s="10"/>
      <c r="C844" s="11" t="s">
        <v>147</v>
      </c>
      <c r="D844" s="42" t="s">
        <v>148</v>
      </c>
      <c r="E844" s="13">
        <v>20000.0</v>
      </c>
      <c r="F844" s="13">
        <v>20000.0</v>
      </c>
      <c r="G844" s="14">
        <f t="shared" si="12"/>
        <v>0</v>
      </c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>
      <c r="A845" s="8"/>
      <c r="B845" s="32">
        <v>2411.0</v>
      </c>
      <c r="E845" s="33">
        <v>20000.0</v>
      </c>
      <c r="F845" s="33">
        <f>SUM(F844)</f>
        <v>20000</v>
      </c>
      <c r="G845" s="14">
        <f t="shared" si="12"/>
        <v>0</v>
      </c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>
      <c r="A846" s="8"/>
      <c r="B846" s="10"/>
      <c r="C846" s="11"/>
      <c r="D846" s="12"/>
      <c r="E846" s="13"/>
      <c r="F846" s="13"/>
      <c r="G846" s="14" t="str">
        <f t="shared" si="12"/>
        <v/>
      </c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>
      <c r="A847" s="8"/>
      <c r="B847" s="44">
        <v>3110.0</v>
      </c>
      <c r="C847" s="45"/>
      <c r="D847" s="46" t="s">
        <v>223</v>
      </c>
      <c r="E847" s="47">
        <v>2025.0</v>
      </c>
      <c r="F847" s="48">
        <v>2026.0</v>
      </c>
      <c r="G847" s="14">
        <f t="shared" si="12"/>
        <v>0.0004938271605</v>
      </c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>
      <c r="A848" s="8"/>
      <c r="B848" s="10"/>
      <c r="C848" s="11" t="s">
        <v>131</v>
      </c>
      <c r="D848" s="82" t="s">
        <v>132</v>
      </c>
      <c r="E848" s="13">
        <v>6500.0</v>
      </c>
      <c r="F848" s="13">
        <v>6500.0</v>
      </c>
      <c r="G848" s="14">
        <f t="shared" si="12"/>
        <v>0</v>
      </c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>
      <c r="A849" s="8"/>
      <c r="B849" s="10"/>
      <c r="C849" s="11" t="s">
        <v>195</v>
      </c>
      <c r="D849" s="82" t="s">
        <v>196</v>
      </c>
      <c r="E849" s="13">
        <v>14000.0</v>
      </c>
      <c r="F849" s="13">
        <v>14000.0</v>
      </c>
      <c r="G849" s="14">
        <f t="shared" si="12"/>
        <v>0</v>
      </c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>
      <c r="A850" s="8"/>
      <c r="B850" s="10"/>
      <c r="C850" s="11" t="s">
        <v>149</v>
      </c>
      <c r="D850" s="42" t="s">
        <v>150</v>
      </c>
      <c r="E850" s="13">
        <v>86110.0</v>
      </c>
      <c r="F850" s="60">
        <v>1000.0</v>
      </c>
      <c r="G850" s="14">
        <f t="shared" si="12"/>
        <v>-0.9883869469</v>
      </c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>
      <c r="A851" s="8"/>
      <c r="B851" s="10"/>
      <c r="C851" s="83" t="s">
        <v>157</v>
      </c>
      <c r="D851" s="85" t="s">
        <v>224</v>
      </c>
      <c r="E851" s="13"/>
      <c r="F851" s="60">
        <v>225000.0</v>
      </c>
      <c r="G851" s="14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>
      <c r="A852" s="8"/>
      <c r="B852" s="32">
        <v>3110.0</v>
      </c>
      <c r="E852" s="33">
        <v>106610.0</v>
      </c>
      <c r="F852" s="33">
        <f>SUM(F848:F851)</f>
        <v>246500</v>
      </c>
      <c r="G852" s="14">
        <f t="shared" ref="G852:G863" si="13">IFERROR(((F852-E852)/E852), "")</f>
        <v>1.312165838</v>
      </c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>
      <c r="A853" s="8"/>
      <c r="B853" s="10"/>
      <c r="C853" s="11"/>
      <c r="D853" s="58"/>
      <c r="E853" s="43"/>
      <c r="F853" s="43"/>
      <c r="G853" s="14" t="str">
        <f t="shared" si="13"/>
        <v/>
      </c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>
      <c r="A854" s="8"/>
      <c r="B854" s="44">
        <v>3230.0</v>
      </c>
      <c r="C854" s="45"/>
      <c r="D854" s="46" t="s">
        <v>225</v>
      </c>
      <c r="E854" s="47">
        <v>2025.0</v>
      </c>
      <c r="F854" s="48">
        <v>2026.0</v>
      </c>
      <c r="G854" s="14">
        <f t="shared" si="13"/>
        <v>0.0004938271605</v>
      </c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>
      <c r="A855" s="8"/>
      <c r="B855" s="71"/>
      <c r="C855" s="11" t="s">
        <v>109</v>
      </c>
      <c r="D855" s="82" t="s">
        <v>110</v>
      </c>
      <c r="E855" s="13">
        <v>433000.0</v>
      </c>
      <c r="F855" s="60">
        <v>433000.0</v>
      </c>
      <c r="G855" s="14">
        <f t="shared" si="13"/>
        <v>0</v>
      </c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>
      <c r="A856" s="8"/>
      <c r="B856" s="71"/>
      <c r="C856" s="11" t="s">
        <v>123</v>
      </c>
      <c r="D856" s="82" t="s">
        <v>124</v>
      </c>
      <c r="E856" s="13">
        <v>50000.0</v>
      </c>
      <c r="F856" s="13">
        <v>50000.0</v>
      </c>
      <c r="G856" s="14">
        <f t="shared" si="13"/>
        <v>0</v>
      </c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>
      <c r="A857" s="8"/>
      <c r="B857" s="71"/>
      <c r="C857" s="11" t="s">
        <v>125</v>
      </c>
      <c r="D857" s="42" t="s">
        <v>126</v>
      </c>
      <c r="E857" s="13">
        <v>150000.0</v>
      </c>
      <c r="F857" s="13">
        <v>150000.0</v>
      </c>
      <c r="G857" s="14">
        <f t="shared" si="13"/>
        <v>0</v>
      </c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>
      <c r="A858" s="8"/>
      <c r="B858" s="71"/>
      <c r="C858" s="11" t="s">
        <v>226</v>
      </c>
      <c r="D858" s="42" t="s">
        <v>227</v>
      </c>
      <c r="E858" s="13">
        <v>60000.0</v>
      </c>
      <c r="F858" s="13">
        <v>60000.0</v>
      </c>
      <c r="G858" s="14">
        <f t="shared" si="13"/>
        <v>0</v>
      </c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>
      <c r="A859" s="8"/>
      <c r="B859" s="71"/>
      <c r="C859" s="11" t="s">
        <v>131</v>
      </c>
      <c r="D859" s="42" t="s">
        <v>132</v>
      </c>
      <c r="E859" s="13">
        <v>12500.0</v>
      </c>
      <c r="F859" s="13">
        <v>12500.0</v>
      </c>
      <c r="G859" s="14">
        <f t="shared" si="13"/>
        <v>0</v>
      </c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>
      <c r="A860" s="8"/>
      <c r="B860" s="71"/>
      <c r="C860" s="11" t="s">
        <v>133</v>
      </c>
      <c r="D860" s="82" t="s">
        <v>134</v>
      </c>
      <c r="E860" s="13">
        <v>200.0</v>
      </c>
      <c r="F860" s="13">
        <v>200.0</v>
      </c>
      <c r="G860" s="14">
        <f t="shared" si="13"/>
        <v>0</v>
      </c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>
      <c r="A861" s="8"/>
      <c r="B861" s="71"/>
      <c r="C861" s="11" t="s">
        <v>139</v>
      </c>
      <c r="D861" s="42" t="s">
        <v>140</v>
      </c>
      <c r="E861" s="13">
        <v>500.0</v>
      </c>
      <c r="F861" s="13">
        <v>500.0</v>
      </c>
      <c r="G861" s="14">
        <f t="shared" si="13"/>
        <v>0</v>
      </c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>
      <c r="A862" s="8"/>
      <c r="B862" s="71"/>
      <c r="C862" s="11" t="s">
        <v>147</v>
      </c>
      <c r="D862" s="42" t="s">
        <v>148</v>
      </c>
      <c r="E862" s="13">
        <v>200.0</v>
      </c>
      <c r="F862" s="13">
        <v>200.0</v>
      </c>
      <c r="G862" s="14">
        <f t="shared" si="13"/>
        <v>0</v>
      </c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>
      <c r="A863" s="8"/>
      <c r="B863" s="71"/>
      <c r="C863" s="11" t="s">
        <v>149</v>
      </c>
      <c r="D863" s="42" t="s">
        <v>150</v>
      </c>
      <c r="E863" s="13">
        <v>489000.0</v>
      </c>
      <c r="F863" s="60">
        <v>100.0</v>
      </c>
      <c r="G863" s="14">
        <f t="shared" si="13"/>
        <v>-0.999795501</v>
      </c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>
      <c r="A864" s="8"/>
      <c r="B864" s="71"/>
      <c r="C864" s="83" t="s">
        <v>157</v>
      </c>
      <c r="D864" s="85" t="s">
        <v>228</v>
      </c>
      <c r="E864" s="13"/>
      <c r="F864" s="60">
        <v>489000.0</v>
      </c>
      <c r="G864" s="14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>
      <c r="A865" s="8"/>
      <c r="B865" s="32">
        <v>3230.0</v>
      </c>
      <c r="E865" s="33">
        <v>1195400.0</v>
      </c>
      <c r="F865" s="33">
        <f>SUM(F855:F864)</f>
        <v>1195500</v>
      </c>
      <c r="G865" s="14">
        <f t="shared" ref="G865:G876" si="14">IFERROR(((F865-E865)/E865), "")</f>
        <v>0.00008365400703</v>
      </c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>
      <c r="A866" s="8"/>
      <c r="B866" s="71"/>
      <c r="C866" s="41"/>
      <c r="D866" s="58"/>
      <c r="E866" s="43"/>
      <c r="F866" s="43"/>
      <c r="G866" s="14" t="str">
        <f t="shared" si="14"/>
        <v/>
      </c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>
      <c r="A867" s="8"/>
      <c r="B867" s="44">
        <v>3260.0</v>
      </c>
      <c r="C867" s="45"/>
      <c r="D867" s="46" t="s">
        <v>229</v>
      </c>
      <c r="E867" s="47">
        <v>2025.0</v>
      </c>
      <c r="F867" s="48">
        <v>2026.0</v>
      </c>
      <c r="G867" s="14">
        <f t="shared" si="14"/>
        <v>0.0004938271605</v>
      </c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>
      <c r="A868" s="8"/>
      <c r="B868" s="10"/>
      <c r="C868" s="11" t="s">
        <v>162</v>
      </c>
      <c r="D868" s="82" t="s">
        <v>163</v>
      </c>
      <c r="E868" s="13">
        <v>12000.0</v>
      </c>
      <c r="F868" s="13">
        <v>12000.0</v>
      </c>
      <c r="G868" s="14">
        <f t="shared" si="14"/>
        <v>0</v>
      </c>
      <c r="H868" s="49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>
      <c r="A869" s="8"/>
      <c r="B869" s="10"/>
      <c r="C869" s="11" t="s">
        <v>123</v>
      </c>
      <c r="D869" s="82" t="s">
        <v>124</v>
      </c>
      <c r="E869" s="13">
        <v>2000.0</v>
      </c>
      <c r="F869" s="13">
        <v>2000.0</v>
      </c>
      <c r="G869" s="14">
        <f t="shared" si="14"/>
        <v>0</v>
      </c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>
      <c r="A870" s="8"/>
      <c r="B870" s="10"/>
      <c r="C870" s="11" t="s">
        <v>133</v>
      </c>
      <c r="D870" s="82" t="s">
        <v>134</v>
      </c>
      <c r="E870" s="13">
        <v>200.0</v>
      </c>
      <c r="F870" s="13">
        <v>200.0</v>
      </c>
      <c r="G870" s="14">
        <f t="shared" si="14"/>
        <v>0</v>
      </c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>
      <c r="A871" s="8"/>
      <c r="B871" s="10"/>
      <c r="C871" s="11" t="s">
        <v>135</v>
      </c>
      <c r="D871" s="82" t="s">
        <v>136</v>
      </c>
      <c r="E871" s="13">
        <v>500.0</v>
      </c>
      <c r="F871" s="13">
        <v>500.0</v>
      </c>
      <c r="G871" s="14">
        <f t="shared" si="14"/>
        <v>0</v>
      </c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>
      <c r="A872" s="8"/>
      <c r="B872" s="10"/>
      <c r="C872" s="11" t="s">
        <v>141</v>
      </c>
      <c r="D872" s="82" t="s">
        <v>230</v>
      </c>
      <c r="E872" s="13">
        <v>2500.0</v>
      </c>
      <c r="F872" s="13">
        <v>2500.0</v>
      </c>
      <c r="G872" s="14">
        <f t="shared" si="14"/>
        <v>0</v>
      </c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>
      <c r="A873" s="8"/>
      <c r="B873" s="10"/>
      <c r="C873" s="11" t="s">
        <v>143</v>
      </c>
      <c r="D873" s="82" t="s">
        <v>144</v>
      </c>
      <c r="E873" s="13">
        <v>5000.0</v>
      </c>
      <c r="F873" s="13">
        <v>5000.0</v>
      </c>
      <c r="G873" s="14">
        <f t="shared" si="14"/>
        <v>0</v>
      </c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>
      <c r="A874" s="8"/>
      <c r="B874" s="10"/>
      <c r="C874" s="11" t="s">
        <v>211</v>
      </c>
      <c r="D874" s="42" t="s">
        <v>231</v>
      </c>
      <c r="E874" s="13">
        <v>30000.0</v>
      </c>
      <c r="F874" s="13">
        <v>30000.0</v>
      </c>
      <c r="G874" s="14">
        <f t="shared" si="14"/>
        <v>0</v>
      </c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>
      <c r="A875" s="8"/>
      <c r="B875" s="10"/>
      <c r="C875" s="11" t="s">
        <v>147</v>
      </c>
      <c r="D875" s="82" t="s">
        <v>148</v>
      </c>
      <c r="E875" s="13">
        <v>10000.0</v>
      </c>
      <c r="F875" s="13">
        <v>10000.0</v>
      </c>
      <c r="G875" s="14">
        <f t="shared" si="14"/>
        <v>0</v>
      </c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>
      <c r="A876" s="8"/>
      <c r="B876" s="10"/>
      <c r="C876" s="11" t="s">
        <v>149</v>
      </c>
      <c r="D876" s="42" t="s">
        <v>150</v>
      </c>
      <c r="E876" s="13">
        <v>49000.0</v>
      </c>
      <c r="F876" s="60">
        <v>11000.0</v>
      </c>
      <c r="G876" s="14">
        <f t="shared" si="14"/>
        <v>-0.7755102041</v>
      </c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>
      <c r="A877" s="8"/>
      <c r="B877" s="10"/>
      <c r="C877" s="83" t="s">
        <v>157</v>
      </c>
      <c r="D877" s="85" t="s">
        <v>232</v>
      </c>
      <c r="E877" s="13"/>
      <c r="F877" s="60">
        <v>38000.0</v>
      </c>
      <c r="G877" s="14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>
      <c r="A878" s="8"/>
      <c r="B878" s="32">
        <v>3260.0</v>
      </c>
      <c r="E878" s="33">
        <v>111200.0</v>
      </c>
      <c r="F878" s="33">
        <f>SUM(F868:F877)</f>
        <v>111200</v>
      </c>
      <c r="G878" s="14">
        <f t="shared" ref="G878:G895" si="15">IFERROR(((F878-E878)/E878), "")</f>
        <v>0</v>
      </c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>
      <c r="A879" s="8"/>
      <c r="B879" s="10"/>
      <c r="C879" s="11"/>
      <c r="D879" s="58"/>
      <c r="E879" s="43"/>
      <c r="F879" s="43"/>
      <c r="G879" s="14" t="str">
        <f t="shared" si="15"/>
        <v/>
      </c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>
      <c r="A880" s="8"/>
      <c r="B880" s="44">
        <v>3261.0</v>
      </c>
      <c r="C880" s="45"/>
      <c r="D880" s="46" t="s">
        <v>78</v>
      </c>
      <c r="E880" s="47">
        <v>2025.0</v>
      </c>
      <c r="F880" s="48">
        <v>2026.0</v>
      </c>
      <c r="G880" s="14">
        <f t="shared" si="15"/>
        <v>0.0004938271605</v>
      </c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>
      <c r="A881" s="8"/>
      <c r="B881" s="10"/>
      <c r="C881" s="11" t="s">
        <v>107</v>
      </c>
      <c r="D881" s="82" t="s">
        <v>108</v>
      </c>
      <c r="E881" s="13">
        <v>22000.0</v>
      </c>
      <c r="F881" s="13">
        <v>22000.0</v>
      </c>
      <c r="G881" s="14">
        <f t="shared" si="15"/>
        <v>0</v>
      </c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>
      <c r="A882" s="8"/>
      <c r="B882" s="10"/>
      <c r="C882" s="11" t="s">
        <v>233</v>
      </c>
      <c r="D882" s="42" t="s">
        <v>234</v>
      </c>
      <c r="E882" s="13">
        <v>2500.0</v>
      </c>
      <c r="F882" s="13">
        <v>2500.0</v>
      </c>
      <c r="G882" s="14">
        <f t="shared" si="15"/>
        <v>0</v>
      </c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>
      <c r="A883" s="8"/>
      <c r="B883" s="10"/>
      <c r="C883" s="11" t="s">
        <v>109</v>
      </c>
      <c r="D883" s="82" t="s">
        <v>110</v>
      </c>
      <c r="E883" s="13">
        <v>17500.0</v>
      </c>
      <c r="F883" s="60">
        <v>14500.0</v>
      </c>
      <c r="G883" s="14">
        <f t="shared" si="15"/>
        <v>-0.1714285714</v>
      </c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>
      <c r="A884" s="8"/>
      <c r="B884" s="10"/>
      <c r="C884" s="11" t="s">
        <v>111</v>
      </c>
      <c r="D884" s="82" t="s">
        <v>112</v>
      </c>
      <c r="E884" s="13">
        <v>3000.0</v>
      </c>
      <c r="F884" s="13">
        <v>3000.0</v>
      </c>
      <c r="G884" s="14">
        <f t="shared" si="15"/>
        <v>0</v>
      </c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>
      <c r="A885" s="8"/>
      <c r="B885" s="10"/>
      <c r="C885" s="11" t="s">
        <v>121</v>
      </c>
      <c r="D885" s="42" t="s">
        <v>122</v>
      </c>
      <c r="E885" s="13">
        <v>7000.0</v>
      </c>
      <c r="F885" s="13">
        <v>7000.0</v>
      </c>
      <c r="G885" s="14">
        <f t="shared" si="15"/>
        <v>0</v>
      </c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>
      <c r="A886" s="8"/>
      <c r="B886" s="10"/>
      <c r="C886" s="11" t="s">
        <v>166</v>
      </c>
      <c r="D886" s="42" t="s">
        <v>235</v>
      </c>
      <c r="E886" s="13">
        <v>200.0</v>
      </c>
      <c r="F886" s="13">
        <v>200.0</v>
      </c>
      <c r="G886" s="14">
        <f t="shared" si="15"/>
        <v>0</v>
      </c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>
      <c r="A887" s="8"/>
      <c r="B887" s="10"/>
      <c r="C887" s="11" t="s">
        <v>123</v>
      </c>
      <c r="D887" s="82" t="s">
        <v>124</v>
      </c>
      <c r="E887" s="13">
        <v>1000.0</v>
      </c>
      <c r="F887" s="13">
        <v>1000.0</v>
      </c>
      <c r="G887" s="14">
        <f t="shared" si="15"/>
        <v>0</v>
      </c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>
      <c r="A888" s="8"/>
      <c r="B888" s="10"/>
      <c r="C888" s="11" t="s">
        <v>131</v>
      </c>
      <c r="D888" s="82" t="s">
        <v>132</v>
      </c>
      <c r="E888" s="13">
        <v>2500.0</v>
      </c>
      <c r="F888" s="13">
        <v>2500.0</v>
      </c>
      <c r="G888" s="14">
        <f t="shared" si="15"/>
        <v>0</v>
      </c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>
      <c r="A889" s="8"/>
      <c r="B889" s="10"/>
      <c r="C889" s="11" t="s">
        <v>133</v>
      </c>
      <c r="D889" s="42" t="s">
        <v>134</v>
      </c>
      <c r="E889" s="13">
        <v>1000.0</v>
      </c>
      <c r="F889" s="13">
        <v>1000.0</v>
      </c>
      <c r="G889" s="14">
        <f t="shared" si="15"/>
        <v>0</v>
      </c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>
      <c r="A890" s="8"/>
      <c r="B890" s="10"/>
      <c r="C890" s="11" t="s">
        <v>135</v>
      </c>
      <c r="D890" s="82" t="s">
        <v>136</v>
      </c>
      <c r="E890" s="13">
        <v>500.0</v>
      </c>
      <c r="F890" s="13">
        <v>500.0</v>
      </c>
      <c r="G890" s="14">
        <f t="shared" si="15"/>
        <v>0</v>
      </c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>
      <c r="A891" s="8"/>
      <c r="B891" s="10"/>
      <c r="C891" s="11" t="s">
        <v>137</v>
      </c>
      <c r="D891" s="82" t="s">
        <v>138</v>
      </c>
      <c r="E891" s="13">
        <v>2500.0</v>
      </c>
      <c r="F891" s="13">
        <v>2500.0</v>
      </c>
      <c r="G891" s="14">
        <f t="shared" si="15"/>
        <v>0</v>
      </c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>
      <c r="A892" s="8"/>
      <c r="B892" s="10"/>
      <c r="C892" s="11" t="s">
        <v>141</v>
      </c>
      <c r="D892" s="82" t="s">
        <v>142</v>
      </c>
      <c r="E892" s="13">
        <v>2500.0</v>
      </c>
      <c r="F892" s="13">
        <v>2500.0</v>
      </c>
      <c r="G892" s="14">
        <f t="shared" si="15"/>
        <v>0</v>
      </c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>
      <c r="A893" s="8"/>
      <c r="B893" s="10"/>
      <c r="C893" s="11" t="s">
        <v>143</v>
      </c>
      <c r="D893" s="82" t="s">
        <v>144</v>
      </c>
      <c r="E893" s="13">
        <v>7000.0</v>
      </c>
      <c r="F893" s="13">
        <v>7000.0</v>
      </c>
      <c r="G893" s="14">
        <f t="shared" si="15"/>
        <v>0</v>
      </c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>
      <c r="A894" s="8"/>
      <c r="B894" s="10"/>
      <c r="C894" s="11" t="s">
        <v>236</v>
      </c>
      <c r="D894" s="42" t="s">
        <v>237</v>
      </c>
      <c r="E894" s="13">
        <v>1000.0</v>
      </c>
      <c r="F894" s="13">
        <v>1000.0</v>
      </c>
      <c r="G894" s="14">
        <f t="shared" si="15"/>
        <v>0</v>
      </c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>
      <c r="A895" s="8"/>
      <c r="B895" s="10"/>
      <c r="C895" s="11" t="s">
        <v>211</v>
      </c>
      <c r="D895" s="42" t="s">
        <v>231</v>
      </c>
      <c r="E895" s="13">
        <v>65000.0</v>
      </c>
      <c r="F895" s="60">
        <v>10000.0</v>
      </c>
      <c r="G895" s="14">
        <f t="shared" si="15"/>
        <v>-0.8461538462</v>
      </c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>
      <c r="A896" s="8"/>
      <c r="B896" s="10"/>
      <c r="C896" s="83" t="s">
        <v>238</v>
      </c>
      <c r="D896" s="85" t="s">
        <v>239</v>
      </c>
      <c r="E896" s="13"/>
      <c r="F896" s="60">
        <v>80000.0</v>
      </c>
      <c r="G896" s="14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>
      <c r="A897" s="8"/>
      <c r="B897" s="10"/>
      <c r="C897" s="11" t="s">
        <v>147</v>
      </c>
      <c r="D897" s="82" t="s">
        <v>148</v>
      </c>
      <c r="E897" s="13">
        <v>18000.0</v>
      </c>
      <c r="F897" s="13">
        <v>18000.0</v>
      </c>
      <c r="G897" s="14">
        <f t="shared" ref="G897:G959" si="16">IFERROR(((F897-E897)/E897), "")</f>
        <v>0</v>
      </c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>
      <c r="A898" s="8"/>
      <c r="B898" s="10"/>
      <c r="C898" s="11" t="s">
        <v>149</v>
      </c>
      <c r="D898" s="82" t="s">
        <v>150</v>
      </c>
      <c r="E898" s="13">
        <v>18000.0</v>
      </c>
      <c r="F898" s="60">
        <v>2000.0</v>
      </c>
      <c r="G898" s="14">
        <f t="shared" si="16"/>
        <v>-0.8888888889</v>
      </c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>
      <c r="A899" s="8"/>
      <c r="B899" s="10"/>
      <c r="C899" s="11" t="s">
        <v>151</v>
      </c>
      <c r="D899" s="82" t="s">
        <v>152</v>
      </c>
      <c r="E899" s="13">
        <v>1000.0</v>
      </c>
      <c r="F899" s="13">
        <v>1000.0</v>
      </c>
      <c r="G899" s="14">
        <f t="shared" si="16"/>
        <v>0</v>
      </c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>
      <c r="A900" s="8"/>
      <c r="B900" s="32">
        <v>3261.0</v>
      </c>
      <c r="E900" s="33">
        <v>172200.0</v>
      </c>
      <c r="F900" s="33">
        <f>SUM(F881:F899)</f>
        <v>178200</v>
      </c>
      <c r="G900" s="14">
        <f t="shared" si="16"/>
        <v>0.03484320557</v>
      </c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>
      <c r="A901" s="8"/>
      <c r="B901" s="10"/>
      <c r="C901" s="11"/>
      <c r="D901" s="58"/>
      <c r="E901" s="43"/>
      <c r="F901" s="43"/>
      <c r="G901" s="14" t="str">
        <f t="shared" si="16"/>
        <v/>
      </c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>
      <c r="A902" s="8"/>
      <c r="B902" s="44">
        <v>3262.0</v>
      </c>
      <c r="C902" s="45"/>
      <c r="D902" s="46" t="s">
        <v>240</v>
      </c>
      <c r="E902" s="47">
        <v>2025.0</v>
      </c>
      <c r="F902" s="48">
        <v>2026.0</v>
      </c>
      <c r="G902" s="14">
        <f t="shared" si="16"/>
        <v>0.0004938271605</v>
      </c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>
      <c r="A903" s="8"/>
      <c r="B903" s="10"/>
      <c r="C903" s="11" t="s">
        <v>162</v>
      </c>
      <c r="D903" s="82" t="s">
        <v>163</v>
      </c>
      <c r="E903" s="13">
        <v>500.0</v>
      </c>
      <c r="F903" s="13">
        <v>500.0</v>
      </c>
      <c r="G903" s="14">
        <f t="shared" si="16"/>
        <v>0</v>
      </c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>
      <c r="A904" s="8"/>
      <c r="B904" s="10"/>
      <c r="C904" s="11" t="s">
        <v>107</v>
      </c>
      <c r="D904" s="82" t="s">
        <v>108</v>
      </c>
      <c r="E904" s="13">
        <v>3000.0</v>
      </c>
      <c r="F904" s="13">
        <v>3000.0</v>
      </c>
      <c r="G904" s="14">
        <f t="shared" si="16"/>
        <v>0</v>
      </c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>
      <c r="A905" s="8"/>
      <c r="B905" s="10"/>
      <c r="C905" s="11" t="s">
        <v>109</v>
      </c>
      <c r="D905" s="82" t="s">
        <v>110</v>
      </c>
      <c r="E905" s="13">
        <v>13300.0</v>
      </c>
      <c r="F905" s="13">
        <v>13300.0</v>
      </c>
      <c r="G905" s="14">
        <f t="shared" si="16"/>
        <v>0</v>
      </c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>
      <c r="A906" s="8"/>
      <c r="B906" s="10"/>
      <c r="C906" s="11" t="s">
        <v>115</v>
      </c>
      <c r="D906" s="82" t="s">
        <v>116</v>
      </c>
      <c r="E906" s="13">
        <v>200.0</v>
      </c>
      <c r="F906" s="13">
        <v>200.0</v>
      </c>
      <c r="G906" s="14">
        <f t="shared" si="16"/>
        <v>0</v>
      </c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>
      <c r="A907" s="8"/>
      <c r="B907" s="10"/>
      <c r="C907" s="11" t="s">
        <v>117</v>
      </c>
      <c r="D907" s="82" t="s">
        <v>164</v>
      </c>
      <c r="E907" s="13">
        <v>200.0</v>
      </c>
      <c r="F907" s="13">
        <v>200.0</v>
      </c>
      <c r="G907" s="14">
        <f t="shared" si="16"/>
        <v>0</v>
      </c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>
      <c r="A908" s="8"/>
      <c r="B908" s="10"/>
      <c r="C908" s="11" t="s">
        <v>121</v>
      </c>
      <c r="D908" s="82" t="s">
        <v>122</v>
      </c>
      <c r="E908" s="13">
        <v>1500.0</v>
      </c>
      <c r="F908" s="13">
        <v>1500.0</v>
      </c>
      <c r="G908" s="14">
        <f t="shared" si="16"/>
        <v>0</v>
      </c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>
      <c r="A909" s="8"/>
      <c r="B909" s="10"/>
      <c r="C909" s="11" t="s">
        <v>129</v>
      </c>
      <c r="D909" s="82" t="s">
        <v>130</v>
      </c>
      <c r="E909" s="13">
        <v>1300.0</v>
      </c>
      <c r="F909" s="13">
        <v>1300.0</v>
      </c>
      <c r="G909" s="14">
        <f t="shared" si="16"/>
        <v>0</v>
      </c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>
      <c r="A910" s="8"/>
      <c r="B910" s="10"/>
      <c r="C910" s="11" t="s">
        <v>131</v>
      </c>
      <c r="D910" s="82" t="s">
        <v>132</v>
      </c>
      <c r="E910" s="13">
        <v>800.0</v>
      </c>
      <c r="F910" s="13">
        <v>800.0</v>
      </c>
      <c r="G910" s="14">
        <f t="shared" si="16"/>
        <v>0</v>
      </c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>
      <c r="A911" s="8"/>
      <c r="B911" s="17"/>
      <c r="C911" s="11" t="s">
        <v>133</v>
      </c>
      <c r="D911" s="82" t="s">
        <v>134</v>
      </c>
      <c r="E911" s="13">
        <v>900.0</v>
      </c>
      <c r="F911" s="13">
        <v>900.0</v>
      </c>
      <c r="G911" s="14">
        <f t="shared" si="16"/>
        <v>0</v>
      </c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>
      <c r="A912" s="8"/>
      <c r="B912" s="10"/>
      <c r="C912" s="11" t="s">
        <v>143</v>
      </c>
      <c r="D912" s="82" t="s">
        <v>144</v>
      </c>
      <c r="E912" s="13">
        <v>500.0</v>
      </c>
      <c r="F912" s="13">
        <v>500.0</v>
      </c>
      <c r="G912" s="14">
        <f t="shared" si="16"/>
        <v>0</v>
      </c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>
      <c r="A913" s="8"/>
      <c r="B913" s="10"/>
      <c r="C913" s="11" t="s">
        <v>211</v>
      </c>
      <c r="D913" s="42" t="s">
        <v>212</v>
      </c>
      <c r="E913" s="13">
        <v>5000.0</v>
      </c>
      <c r="F913" s="13">
        <v>5000.0</v>
      </c>
      <c r="G913" s="14">
        <f t="shared" si="16"/>
        <v>0</v>
      </c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>
      <c r="A914" s="8"/>
      <c r="B914" s="10"/>
      <c r="C914" s="11" t="s">
        <v>147</v>
      </c>
      <c r="D914" s="82" t="s">
        <v>148</v>
      </c>
      <c r="E914" s="13">
        <v>20100.0</v>
      </c>
      <c r="F914" s="60">
        <v>16100.0</v>
      </c>
      <c r="G914" s="14">
        <f t="shared" si="16"/>
        <v>-0.1990049751</v>
      </c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>
      <c r="A915" s="8"/>
      <c r="B915" s="10"/>
      <c r="C915" s="11" t="s">
        <v>149</v>
      </c>
      <c r="D915" s="82" t="s">
        <v>150</v>
      </c>
      <c r="E915" s="13">
        <v>0.0</v>
      </c>
      <c r="F915" s="60">
        <v>3500.0</v>
      </c>
      <c r="G915" s="14" t="str">
        <f t="shared" si="16"/>
        <v/>
      </c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>
      <c r="A916" s="8"/>
      <c r="B916" s="10"/>
      <c r="C916" s="11" t="s">
        <v>151</v>
      </c>
      <c r="D916" s="82" t="s">
        <v>152</v>
      </c>
      <c r="E916" s="13">
        <v>100.0</v>
      </c>
      <c r="F916" s="13">
        <v>100.0</v>
      </c>
      <c r="G916" s="14">
        <f t="shared" si="16"/>
        <v>0</v>
      </c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>
      <c r="A917" s="8"/>
      <c r="B917" s="32">
        <v>3262.0</v>
      </c>
      <c r="E917" s="33">
        <v>47400.0</v>
      </c>
      <c r="F917" s="33">
        <f>SUM(F903:F916)</f>
        <v>46900</v>
      </c>
      <c r="G917" s="14">
        <f t="shared" si="16"/>
        <v>-0.01054852321</v>
      </c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>
      <c r="A918" s="8"/>
      <c r="B918" s="10"/>
      <c r="C918" s="11"/>
      <c r="D918" s="58"/>
      <c r="E918" s="43"/>
      <c r="F918" s="43"/>
      <c r="G918" s="14" t="str">
        <f t="shared" si="16"/>
        <v/>
      </c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>
      <c r="A919" s="8"/>
      <c r="B919" s="44">
        <v>3300.0</v>
      </c>
      <c r="C919" s="45"/>
      <c r="D919" s="46" t="s">
        <v>80</v>
      </c>
      <c r="E919" s="47">
        <v>2025.0</v>
      </c>
      <c r="F919" s="48">
        <v>2026.0</v>
      </c>
      <c r="G919" s="14">
        <f t="shared" si="16"/>
        <v>0.0004938271605</v>
      </c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>
      <c r="A920" s="8"/>
      <c r="B920" s="10"/>
      <c r="C920" s="11" t="s">
        <v>107</v>
      </c>
      <c r="D920" s="82" t="s">
        <v>108</v>
      </c>
      <c r="E920" s="13">
        <v>2500.0</v>
      </c>
      <c r="F920" s="13">
        <v>2500.0</v>
      </c>
      <c r="G920" s="14">
        <f t="shared" si="16"/>
        <v>0</v>
      </c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>
      <c r="A921" s="8"/>
      <c r="B921" s="10"/>
      <c r="C921" s="11" t="s">
        <v>109</v>
      </c>
      <c r="D921" s="82" t="s">
        <v>110</v>
      </c>
      <c r="E921" s="13">
        <v>70500.0</v>
      </c>
      <c r="F921" s="60">
        <v>62000.0</v>
      </c>
      <c r="G921" s="14">
        <f t="shared" si="16"/>
        <v>-0.1205673759</v>
      </c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>
      <c r="A922" s="8"/>
      <c r="B922" s="10"/>
      <c r="C922" s="11" t="s">
        <v>111</v>
      </c>
      <c r="D922" s="82" t="s">
        <v>112</v>
      </c>
      <c r="E922" s="13">
        <v>100.0</v>
      </c>
      <c r="F922" s="13">
        <v>100.0</v>
      </c>
      <c r="G922" s="14">
        <f t="shared" si="16"/>
        <v>0</v>
      </c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>
      <c r="A923" s="8"/>
      <c r="B923" s="10"/>
      <c r="C923" s="11" t="s">
        <v>117</v>
      </c>
      <c r="D923" s="82" t="s">
        <v>164</v>
      </c>
      <c r="E923" s="13">
        <v>500.0</v>
      </c>
      <c r="F923" s="13">
        <v>500.0</v>
      </c>
      <c r="G923" s="14">
        <f t="shared" si="16"/>
        <v>0</v>
      </c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>
      <c r="A924" s="8"/>
      <c r="B924" s="10"/>
      <c r="C924" s="11" t="s">
        <v>121</v>
      </c>
      <c r="D924" s="82" t="s">
        <v>122</v>
      </c>
      <c r="E924" s="13">
        <v>3800.0</v>
      </c>
      <c r="F924" s="13">
        <v>3800.0</v>
      </c>
      <c r="G924" s="14">
        <f t="shared" si="16"/>
        <v>0</v>
      </c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>
      <c r="A925" s="8"/>
      <c r="B925" s="10"/>
      <c r="C925" s="11" t="s">
        <v>123</v>
      </c>
      <c r="D925" s="82" t="s">
        <v>165</v>
      </c>
      <c r="E925" s="13">
        <v>5000.0</v>
      </c>
      <c r="F925" s="13">
        <v>5000.0</v>
      </c>
      <c r="G925" s="14">
        <f t="shared" si="16"/>
        <v>0</v>
      </c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>
      <c r="A926" s="8"/>
      <c r="B926" s="10"/>
      <c r="C926" s="11" t="s">
        <v>125</v>
      </c>
      <c r="D926" s="82" t="s">
        <v>126</v>
      </c>
      <c r="E926" s="13">
        <v>96000.0</v>
      </c>
      <c r="F926" s="13">
        <v>96000.0</v>
      </c>
      <c r="G926" s="14">
        <f t="shared" si="16"/>
        <v>0</v>
      </c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>
      <c r="A927" s="8"/>
      <c r="B927" s="10"/>
      <c r="C927" s="11" t="s">
        <v>129</v>
      </c>
      <c r="D927" s="82" t="s">
        <v>130</v>
      </c>
      <c r="E927" s="13">
        <v>800.0</v>
      </c>
      <c r="F927" s="13">
        <v>800.0</v>
      </c>
      <c r="G927" s="14">
        <f t="shared" si="16"/>
        <v>0</v>
      </c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>
      <c r="A928" s="8"/>
      <c r="B928" s="10"/>
      <c r="C928" s="11" t="s">
        <v>131</v>
      </c>
      <c r="D928" s="82" t="s">
        <v>132</v>
      </c>
      <c r="E928" s="13">
        <v>5000.0</v>
      </c>
      <c r="F928" s="13">
        <v>5000.0</v>
      </c>
      <c r="G928" s="14">
        <f t="shared" si="16"/>
        <v>0</v>
      </c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>
      <c r="A929" s="8"/>
      <c r="B929" s="10"/>
      <c r="C929" s="11" t="s">
        <v>133</v>
      </c>
      <c r="D929" s="82" t="s">
        <v>134</v>
      </c>
      <c r="E929" s="13">
        <v>7000.0</v>
      </c>
      <c r="F929" s="13">
        <v>7000.0</v>
      </c>
      <c r="G929" s="14">
        <f t="shared" si="16"/>
        <v>0</v>
      </c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>
      <c r="A930" s="8"/>
      <c r="B930" s="10"/>
      <c r="C930" s="11" t="s">
        <v>139</v>
      </c>
      <c r="D930" s="42" t="s">
        <v>140</v>
      </c>
      <c r="E930" s="13">
        <v>50.0</v>
      </c>
      <c r="F930" s="13">
        <v>50.0</v>
      </c>
      <c r="G930" s="14">
        <f t="shared" si="16"/>
        <v>0</v>
      </c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>
      <c r="A931" s="8"/>
      <c r="B931" s="10"/>
      <c r="C931" s="11" t="s">
        <v>147</v>
      </c>
      <c r="D931" s="82" t="s">
        <v>148</v>
      </c>
      <c r="E931" s="13">
        <v>500.0</v>
      </c>
      <c r="F931" s="13">
        <v>500.0</v>
      </c>
      <c r="G931" s="14">
        <f t="shared" si="16"/>
        <v>0</v>
      </c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>
      <c r="A932" s="8"/>
      <c r="B932" s="10"/>
      <c r="C932" s="11" t="s">
        <v>149</v>
      </c>
      <c r="D932" s="82" t="s">
        <v>150</v>
      </c>
      <c r="E932" s="13">
        <v>2000.0</v>
      </c>
      <c r="F932" s="13">
        <v>2000.0</v>
      </c>
      <c r="G932" s="14">
        <f t="shared" si="16"/>
        <v>0</v>
      </c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>
      <c r="A933" s="8"/>
      <c r="B933" s="10"/>
      <c r="C933" s="11" t="s">
        <v>151</v>
      </c>
      <c r="D933" s="82" t="s">
        <v>152</v>
      </c>
      <c r="E933" s="13">
        <v>1000.0</v>
      </c>
      <c r="F933" s="13">
        <v>1000.0</v>
      </c>
      <c r="G933" s="14">
        <f t="shared" si="16"/>
        <v>0</v>
      </c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>
      <c r="A934" s="8"/>
      <c r="B934" s="32">
        <v>3300.0</v>
      </c>
      <c r="E934" s="33">
        <v>194750.0</v>
      </c>
      <c r="F934" s="33">
        <f>SUM(F920:F933)</f>
        <v>186250</v>
      </c>
      <c r="G934" s="14">
        <f t="shared" si="16"/>
        <v>-0.04364569961</v>
      </c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>
      <c r="A935" s="8"/>
      <c r="B935" s="10"/>
      <c r="C935" s="11"/>
      <c r="D935" s="58"/>
      <c r="E935" s="43"/>
      <c r="F935" s="43"/>
      <c r="G935" s="14" t="str">
        <f t="shared" si="16"/>
        <v/>
      </c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>
      <c r="A936" s="8"/>
      <c r="B936" s="44">
        <v>3321.0</v>
      </c>
      <c r="C936" s="45"/>
      <c r="D936" s="46" t="s">
        <v>81</v>
      </c>
      <c r="E936" s="47">
        <v>2025.0</v>
      </c>
      <c r="F936" s="48">
        <v>2026.0</v>
      </c>
      <c r="G936" s="14">
        <f t="shared" si="16"/>
        <v>0.0004938271605</v>
      </c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>
      <c r="A937" s="8"/>
      <c r="B937" s="10"/>
      <c r="C937" s="11" t="s">
        <v>233</v>
      </c>
      <c r="D937" s="82" t="s">
        <v>234</v>
      </c>
      <c r="E937" s="13">
        <v>1800.0</v>
      </c>
      <c r="F937" s="13">
        <v>1800.0</v>
      </c>
      <c r="G937" s="14">
        <f t="shared" si="16"/>
        <v>0</v>
      </c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>
      <c r="A938" s="8"/>
      <c r="B938" s="10"/>
      <c r="C938" s="11" t="s">
        <v>121</v>
      </c>
      <c r="D938" s="82" t="s">
        <v>122</v>
      </c>
      <c r="E938" s="13">
        <v>5000.0</v>
      </c>
      <c r="F938" s="13">
        <v>5000.0</v>
      </c>
      <c r="G938" s="14">
        <f t="shared" si="16"/>
        <v>0</v>
      </c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>
      <c r="A939" s="8"/>
      <c r="B939" s="10"/>
      <c r="C939" s="11" t="s">
        <v>166</v>
      </c>
      <c r="D939" s="42" t="s">
        <v>210</v>
      </c>
      <c r="E939" s="13">
        <v>38000.0</v>
      </c>
      <c r="F939" s="13">
        <v>38000.0</v>
      </c>
      <c r="G939" s="14">
        <f t="shared" si="16"/>
        <v>0</v>
      </c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>
      <c r="A940" s="8"/>
      <c r="B940" s="10"/>
      <c r="C940" s="11" t="s">
        <v>131</v>
      </c>
      <c r="D940" s="82" t="s">
        <v>132</v>
      </c>
      <c r="E940" s="13">
        <v>1500.0</v>
      </c>
      <c r="F940" s="13">
        <v>1500.0</v>
      </c>
      <c r="G940" s="14">
        <f t="shared" si="16"/>
        <v>0</v>
      </c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>
      <c r="A941" s="8"/>
      <c r="B941" s="10"/>
      <c r="C941" s="11" t="s">
        <v>133</v>
      </c>
      <c r="D941" s="42" t="s">
        <v>134</v>
      </c>
      <c r="E941" s="13">
        <v>2000.0</v>
      </c>
      <c r="F941" s="13">
        <v>2000.0</v>
      </c>
      <c r="G941" s="14">
        <f t="shared" si="16"/>
        <v>0</v>
      </c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>
      <c r="A942" s="8"/>
      <c r="B942" s="10"/>
      <c r="C942" s="11" t="s">
        <v>135</v>
      </c>
      <c r="D942" s="42" t="s">
        <v>136</v>
      </c>
      <c r="E942" s="13">
        <v>900.0</v>
      </c>
      <c r="F942" s="60">
        <v>4000.0</v>
      </c>
      <c r="G942" s="14">
        <f t="shared" si="16"/>
        <v>3.444444444</v>
      </c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>
      <c r="A943" s="8"/>
      <c r="B943" s="10"/>
      <c r="C943" s="11" t="s">
        <v>180</v>
      </c>
      <c r="D943" s="42" t="s">
        <v>181</v>
      </c>
      <c r="E943" s="13">
        <v>500.0</v>
      </c>
      <c r="F943" s="13">
        <v>500.0</v>
      </c>
      <c r="G943" s="14">
        <f t="shared" si="16"/>
        <v>0</v>
      </c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>
      <c r="A944" s="8"/>
      <c r="B944" s="10"/>
      <c r="C944" s="11" t="s">
        <v>141</v>
      </c>
      <c r="D944" s="82" t="s">
        <v>142</v>
      </c>
      <c r="E944" s="13">
        <v>200.0</v>
      </c>
      <c r="F944" s="13">
        <v>200.0</v>
      </c>
      <c r="G944" s="14">
        <f t="shared" si="16"/>
        <v>0</v>
      </c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>
      <c r="A945" s="8"/>
      <c r="B945" s="10"/>
      <c r="C945" s="11" t="s">
        <v>143</v>
      </c>
      <c r="D945" s="82" t="s">
        <v>144</v>
      </c>
      <c r="E945" s="13">
        <v>4000.0</v>
      </c>
      <c r="F945" s="13">
        <v>4000.0</v>
      </c>
      <c r="G945" s="14">
        <f t="shared" si="16"/>
        <v>0</v>
      </c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>
      <c r="A946" s="8"/>
      <c r="B946" s="10"/>
      <c r="C946" s="11" t="s">
        <v>211</v>
      </c>
      <c r="D946" s="42" t="s">
        <v>212</v>
      </c>
      <c r="E946" s="13">
        <v>2000.0</v>
      </c>
      <c r="F946" s="13">
        <v>2000.0</v>
      </c>
      <c r="G946" s="14">
        <f t="shared" si="16"/>
        <v>0</v>
      </c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>
      <c r="A947" s="8"/>
      <c r="B947" s="10"/>
      <c r="C947" s="11" t="s">
        <v>147</v>
      </c>
      <c r="D947" s="82" t="s">
        <v>148</v>
      </c>
      <c r="E947" s="13">
        <v>4000.0</v>
      </c>
      <c r="F947" s="13">
        <v>4000.0</v>
      </c>
      <c r="G947" s="14">
        <f t="shared" si="16"/>
        <v>0</v>
      </c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>
      <c r="A948" s="8"/>
      <c r="B948" s="10"/>
      <c r="C948" s="11" t="s">
        <v>169</v>
      </c>
      <c r="D948" s="82" t="s">
        <v>209</v>
      </c>
      <c r="E948" s="13">
        <v>9400.0</v>
      </c>
      <c r="F948" s="13">
        <v>9400.0</v>
      </c>
      <c r="G948" s="14">
        <f t="shared" si="16"/>
        <v>0</v>
      </c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>
      <c r="A949" s="8"/>
      <c r="B949" s="10"/>
      <c r="C949" s="11" t="s">
        <v>151</v>
      </c>
      <c r="D949" s="82" t="s">
        <v>152</v>
      </c>
      <c r="E949" s="13">
        <v>600.0</v>
      </c>
      <c r="F949" s="13">
        <v>600.0</v>
      </c>
      <c r="G949" s="14">
        <f t="shared" si="16"/>
        <v>0</v>
      </c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>
      <c r="A950" s="8"/>
      <c r="B950" s="32">
        <v>3321.0</v>
      </c>
      <c r="E950" s="33">
        <v>69900.0</v>
      </c>
      <c r="F950" s="33">
        <f>SUM(F937:F949)</f>
        <v>73000</v>
      </c>
      <c r="G950" s="14">
        <f t="shared" si="16"/>
        <v>0.0443490701</v>
      </c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>
      <c r="A951" s="8"/>
      <c r="B951" s="10"/>
      <c r="C951" s="41"/>
      <c r="D951" s="42"/>
      <c r="E951" s="43"/>
      <c r="F951" s="43"/>
      <c r="G951" s="14" t="str">
        <f t="shared" si="16"/>
        <v/>
      </c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>
      <c r="A952" s="8"/>
      <c r="B952" s="44">
        <v>3330.0</v>
      </c>
      <c r="C952" s="45"/>
      <c r="D952" s="46" t="s">
        <v>241</v>
      </c>
      <c r="E952" s="47">
        <v>2025.0</v>
      </c>
      <c r="F952" s="48">
        <v>2026.0</v>
      </c>
      <c r="G952" s="14">
        <f t="shared" si="16"/>
        <v>0.0004938271605</v>
      </c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>
      <c r="A953" s="8"/>
      <c r="B953" s="10"/>
      <c r="C953" s="11" t="s">
        <v>162</v>
      </c>
      <c r="D953" s="82" t="s">
        <v>242</v>
      </c>
      <c r="E953" s="13">
        <v>4000.0</v>
      </c>
      <c r="F953" s="13">
        <v>4000.0</v>
      </c>
      <c r="G953" s="14">
        <f t="shared" si="16"/>
        <v>0</v>
      </c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>
      <c r="A954" s="8"/>
      <c r="B954" s="10"/>
      <c r="C954" s="11" t="s">
        <v>109</v>
      </c>
      <c r="D954" s="82" t="s">
        <v>110</v>
      </c>
      <c r="E954" s="13">
        <v>20000.0</v>
      </c>
      <c r="F954" s="60">
        <v>15000.0</v>
      </c>
      <c r="G954" s="14">
        <f t="shared" si="16"/>
        <v>-0.25</v>
      </c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>
      <c r="A955" s="49"/>
      <c r="B955" s="49"/>
      <c r="C955" s="88" t="s">
        <v>121</v>
      </c>
      <c r="D955" s="89" t="s">
        <v>122</v>
      </c>
      <c r="E955" s="92">
        <v>500.0</v>
      </c>
      <c r="F955" s="92">
        <v>500.0</v>
      </c>
      <c r="G955" s="14">
        <f t="shared" si="16"/>
        <v>0</v>
      </c>
      <c r="H955" s="49"/>
      <c r="I955" s="49"/>
      <c r="J955" s="49"/>
      <c r="K955" s="49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>
      <c r="A956" s="8"/>
      <c r="B956" s="10"/>
      <c r="C956" s="11" t="s">
        <v>123</v>
      </c>
      <c r="D956" s="82" t="s">
        <v>165</v>
      </c>
      <c r="E956" s="13">
        <v>3000.0</v>
      </c>
      <c r="F956" s="13">
        <v>3000.0</v>
      </c>
      <c r="G956" s="14">
        <f t="shared" si="16"/>
        <v>0</v>
      </c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>
      <c r="A957" s="8"/>
      <c r="B957" s="10"/>
      <c r="C957" s="11" t="s">
        <v>125</v>
      </c>
      <c r="D957" s="82" t="s">
        <v>126</v>
      </c>
      <c r="E957" s="13">
        <v>3000.0</v>
      </c>
      <c r="F957" s="13">
        <v>3000.0</v>
      </c>
      <c r="G957" s="14">
        <f t="shared" si="16"/>
        <v>0</v>
      </c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>
      <c r="A958" s="8"/>
      <c r="B958" s="10"/>
      <c r="C958" s="11" t="s">
        <v>131</v>
      </c>
      <c r="D958" s="82" t="s">
        <v>132</v>
      </c>
      <c r="E958" s="13">
        <v>1000.0</v>
      </c>
      <c r="F958" s="13">
        <v>1000.0</v>
      </c>
      <c r="G958" s="14">
        <f t="shared" si="16"/>
        <v>0</v>
      </c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>
      <c r="A959" s="8"/>
      <c r="B959" s="10"/>
      <c r="C959" s="11" t="s">
        <v>133</v>
      </c>
      <c r="D959" s="82" t="s">
        <v>134</v>
      </c>
      <c r="E959" s="13">
        <v>100.0</v>
      </c>
      <c r="F959" s="13">
        <v>100.0</v>
      </c>
      <c r="G959" s="14">
        <f t="shared" si="16"/>
        <v>0</v>
      </c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>
      <c r="A960" s="8"/>
      <c r="B960" s="10"/>
      <c r="C960" s="83" t="s">
        <v>243</v>
      </c>
      <c r="D960" s="84" t="s">
        <v>138</v>
      </c>
      <c r="E960" s="13"/>
      <c r="F960" s="60">
        <v>2100.0</v>
      </c>
      <c r="G960" s="14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>
      <c r="A961" s="8"/>
      <c r="B961" s="10"/>
      <c r="C961" s="11" t="s">
        <v>139</v>
      </c>
      <c r="D961" s="42" t="s">
        <v>140</v>
      </c>
      <c r="E961" s="13">
        <v>100.0</v>
      </c>
      <c r="F961" s="13">
        <v>100.0</v>
      </c>
      <c r="G961" s="14">
        <f t="shared" ref="G961:G964" si="17">IFERROR(((F961-E961)/E961), "")</f>
        <v>0</v>
      </c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>
      <c r="A962" s="8"/>
      <c r="B962" s="10"/>
      <c r="C962" s="11" t="s">
        <v>143</v>
      </c>
      <c r="D962" s="82" t="s">
        <v>144</v>
      </c>
      <c r="E962" s="13">
        <v>100.0</v>
      </c>
      <c r="F962" s="60">
        <v>3000.0</v>
      </c>
      <c r="G962" s="14">
        <f t="shared" si="17"/>
        <v>29</v>
      </c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>
      <c r="A963" s="8"/>
      <c r="B963" s="10"/>
      <c r="C963" s="11" t="s">
        <v>147</v>
      </c>
      <c r="D963" s="82" t="s">
        <v>148</v>
      </c>
      <c r="E963" s="13">
        <v>500.0</v>
      </c>
      <c r="F963" s="60">
        <v>3000.0</v>
      </c>
      <c r="G963" s="14">
        <f t="shared" si="17"/>
        <v>5</v>
      </c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>
      <c r="A964" s="8"/>
      <c r="B964" s="10"/>
      <c r="C964" s="11" t="s">
        <v>149</v>
      </c>
      <c r="D964" s="82" t="s">
        <v>150</v>
      </c>
      <c r="E964" s="13">
        <v>72000.0</v>
      </c>
      <c r="F964" s="60">
        <v>0.0</v>
      </c>
      <c r="G964" s="14">
        <f t="shared" si="17"/>
        <v>-1</v>
      </c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>
      <c r="A965" s="8"/>
      <c r="B965" s="10"/>
      <c r="C965" s="83" t="s">
        <v>157</v>
      </c>
      <c r="D965" s="84" t="s">
        <v>244</v>
      </c>
      <c r="E965" s="60">
        <v>0.0</v>
      </c>
      <c r="F965" s="60">
        <v>34050.0</v>
      </c>
      <c r="G965" s="14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>
      <c r="A966" s="8"/>
      <c r="B966" s="10"/>
      <c r="C966" s="83" t="s">
        <v>159</v>
      </c>
      <c r="D966" s="84" t="s">
        <v>245</v>
      </c>
      <c r="E966" s="60">
        <v>0.0</v>
      </c>
      <c r="F966" s="60">
        <v>34050.0</v>
      </c>
      <c r="G966" s="14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>
      <c r="A967" s="8"/>
      <c r="B967" s="10"/>
      <c r="C967" s="83" t="s">
        <v>218</v>
      </c>
      <c r="D967" s="84" t="s">
        <v>246</v>
      </c>
      <c r="E967" s="60"/>
      <c r="F967" s="60">
        <v>38000.0</v>
      </c>
      <c r="G967" s="14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>
      <c r="A968" s="8"/>
      <c r="B968" s="32">
        <v>3330.0</v>
      </c>
      <c r="E968" s="33">
        <v>104300.0</v>
      </c>
      <c r="F968" s="33">
        <f>SUM(F953:F967)</f>
        <v>140900</v>
      </c>
      <c r="G968" s="14">
        <f t="shared" ref="G968:G982" si="18">IFERROR(((F968-E968)/E968), "")</f>
        <v>0.3509108341</v>
      </c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>
      <c r="A969" s="8"/>
      <c r="B969" s="10"/>
      <c r="C969" s="41"/>
      <c r="D969" s="42"/>
      <c r="E969" s="43"/>
      <c r="F969" s="43"/>
      <c r="G969" s="14" t="str">
        <f t="shared" si="18"/>
        <v/>
      </c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>
      <c r="A970" s="8"/>
      <c r="B970" s="44">
        <v>3331.0</v>
      </c>
      <c r="C970" s="45"/>
      <c r="D970" s="46" t="s">
        <v>247</v>
      </c>
      <c r="E970" s="47">
        <v>2025.0</v>
      </c>
      <c r="F970" s="48">
        <v>2026.0</v>
      </c>
      <c r="G970" s="14">
        <f t="shared" si="18"/>
        <v>0.0004938271605</v>
      </c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>
      <c r="A971" s="8"/>
      <c r="B971" s="10"/>
      <c r="C971" s="11" t="s">
        <v>107</v>
      </c>
      <c r="D971" s="82" t="s">
        <v>108</v>
      </c>
      <c r="E971" s="13">
        <v>0.0</v>
      </c>
      <c r="F971" s="13">
        <v>0.0</v>
      </c>
      <c r="G971" s="14" t="str">
        <f t="shared" si="18"/>
        <v/>
      </c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>
      <c r="A972" s="8"/>
      <c r="B972" s="10"/>
      <c r="C972" s="11" t="s">
        <v>109</v>
      </c>
      <c r="D972" s="82" t="s">
        <v>110</v>
      </c>
      <c r="E972" s="13">
        <v>0.0</v>
      </c>
      <c r="F972" s="13">
        <v>0.0</v>
      </c>
      <c r="G972" s="14" t="str">
        <f t="shared" si="18"/>
        <v/>
      </c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>
      <c r="A973" s="8"/>
      <c r="B973" s="10"/>
      <c r="C973" s="11" t="s">
        <v>121</v>
      </c>
      <c r="D973" s="82" t="s">
        <v>122</v>
      </c>
      <c r="E973" s="13">
        <v>0.0</v>
      </c>
      <c r="F973" s="13">
        <v>0.0</v>
      </c>
      <c r="G973" s="14" t="str">
        <f t="shared" si="18"/>
        <v/>
      </c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>
      <c r="A974" s="8"/>
      <c r="B974" s="10"/>
      <c r="C974" s="11" t="s">
        <v>123</v>
      </c>
      <c r="D974" s="82" t="s">
        <v>165</v>
      </c>
      <c r="E974" s="13">
        <v>0.0</v>
      </c>
      <c r="F974" s="13">
        <v>0.0</v>
      </c>
      <c r="G974" s="14" t="str">
        <f t="shared" si="18"/>
        <v/>
      </c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>
      <c r="A975" s="8"/>
      <c r="B975" s="10"/>
      <c r="C975" s="11" t="s">
        <v>125</v>
      </c>
      <c r="D975" s="82" t="s">
        <v>126</v>
      </c>
      <c r="E975" s="13">
        <v>0.0</v>
      </c>
      <c r="F975" s="13">
        <v>0.0</v>
      </c>
      <c r="G975" s="14" t="str">
        <f t="shared" si="18"/>
        <v/>
      </c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>
      <c r="A976" s="8"/>
      <c r="B976" s="10"/>
      <c r="C976" s="11" t="s">
        <v>131</v>
      </c>
      <c r="D976" s="82" t="s">
        <v>132</v>
      </c>
      <c r="E976" s="13">
        <v>0.0</v>
      </c>
      <c r="F976" s="13">
        <v>0.0</v>
      </c>
      <c r="G976" s="14" t="str">
        <f t="shared" si="18"/>
        <v/>
      </c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>
      <c r="A977" s="8"/>
      <c r="B977" s="10"/>
      <c r="C977" s="11" t="s">
        <v>133</v>
      </c>
      <c r="D977" s="82" t="s">
        <v>134</v>
      </c>
      <c r="E977" s="13">
        <v>50.0</v>
      </c>
      <c r="F977" s="13">
        <v>50.0</v>
      </c>
      <c r="G977" s="14">
        <f t="shared" si="18"/>
        <v>0</v>
      </c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>
      <c r="A978" s="8"/>
      <c r="B978" s="10"/>
      <c r="C978" s="11" t="s">
        <v>139</v>
      </c>
      <c r="D978" s="42" t="s">
        <v>140</v>
      </c>
      <c r="E978" s="13">
        <v>0.0</v>
      </c>
      <c r="F978" s="13">
        <v>0.0</v>
      </c>
      <c r="G978" s="14" t="str">
        <f t="shared" si="18"/>
        <v/>
      </c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>
      <c r="A979" s="8"/>
      <c r="B979" s="10"/>
      <c r="C979" s="11" t="s">
        <v>143</v>
      </c>
      <c r="D979" s="82" t="s">
        <v>144</v>
      </c>
      <c r="E979" s="13">
        <v>3000.0</v>
      </c>
      <c r="F979" s="13">
        <v>3000.0</v>
      </c>
      <c r="G979" s="14">
        <f t="shared" si="18"/>
        <v>0</v>
      </c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>
      <c r="A980" s="8"/>
      <c r="B980" s="10"/>
      <c r="C980" s="11" t="s">
        <v>211</v>
      </c>
      <c r="D980" s="42" t="s">
        <v>212</v>
      </c>
      <c r="E980" s="13">
        <v>6000.0</v>
      </c>
      <c r="F980" s="13">
        <v>6000.0</v>
      </c>
      <c r="G980" s="14">
        <f t="shared" si="18"/>
        <v>0</v>
      </c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>
      <c r="A981" s="8"/>
      <c r="B981" s="10"/>
      <c r="C981" s="11" t="s">
        <v>147</v>
      </c>
      <c r="D981" s="82" t="s">
        <v>148</v>
      </c>
      <c r="E981" s="13">
        <v>4000.0</v>
      </c>
      <c r="F981" s="13">
        <v>4000.0</v>
      </c>
      <c r="G981" s="14">
        <f t="shared" si="18"/>
        <v>0</v>
      </c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>
      <c r="A982" s="8"/>
      <c r="B982" s="10"/>
      <c r="C982" s="11" t="s">
        <v>149</v>
      </c>
      <c r="D982" s="82" t="s">
        <v>150</v>
      </c>
      <c r="E982" s="13">
        <v>60000.0</v>
      </c>
      <c r="F982" s="60">
        <v>0.0</v>
      </c>
      <c r="G982" s="14">
        <f t="shared" si="18"/>
        <v>-1</v>
      </c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>
      <c r="A983" s="8"/>
      <c r="B983" s="10"/>
      <c r="C983" s="83" t="s">
        <v>248</v>
      </c>
      <c r="D983" s="84" t="s">
        <v>249</v>
      </c>
      <c r="E983" s="13"/>
      <c r="F983" s="60">
        <v>60000.0</v>
      </c>
      <c r="G983" s="14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>
      <c r="A984" s="8"/>
      <c r="B984" s="32">
        <v>3331.0</v>
      </c>
      <c r="E984" s="33">
        <v>73050.0</v>
      </c>
      <c r="F984" s="33">
        <f>SUM(F971:F983)</f>
        <v>73050</v>
      </c>
      <c r="G984" s="14">
        <f t="shared" ref="G984:G998" si="19">IFERROR(((F984-E984)/E984), "")</f>
        <v>0</v>
      </c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>
      <c r="A985" s="8"/>
      <c r="B985" s="10"/>
      <c r="C985" s="11"/>
      <c r="D985" s="12"/>
      <c r="E985" s="13"/>
      <c r="F985" s="13"/>
      <c r="G985" s="14" t="str">
        <f t="shared" si="19"/>
        <v/>
      </c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>
      <c r="A986" s="8"/>
      <c r="B986" s="44">
        <v>3340.0</v>
      </c>
      <c r="C986" s="45"/>
      <c r="D986" s="46" t="s">
        <v>250</v>
      </c>
      <c r="E986" s="47">
        <v>2025.0</v>
      </c>
      <c r="F986" s="48">
        <v>2026.0</v>
      </c>
      <c r="G986" s="14">
        <f t="shared" si="19"/>
        <v>0.0004938271605</v>
      </c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>
      <c r="A987" s="8"/>
      <c r="B987" s="10"/>
      <c r="C987" s="11" t="s">
        <v>162</v>
      </c>
      <c r="D987" s="82" t="s">
        <v>251</v>
      </c>
      <c r="E987" s="13">
        <v>55300.0</v>
      </c>
      <c r="F987" s="60">
        <v>35000.0</v>
      </c>
      <c r="G987" s="14">
        <f t="shared" si="19"/>
        <v>-0.3670886076</v>
      </c>
      <c r="H987" s="16"/>
      <c r="I987" s="49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>
      <c r="A988" s="8"/>
      <c r="B988" s="10"/>
      <c r="C988" s="11" t="s">
        <v>107</v>
      </c>
      <c r="D988" s="82" t="s">
        <v>108</v>
      </c>
      <c r="E988" s="13">
        <v>25000.0</v>
      </c>
      <c r="F988" s="60">
        <v>3000.0</v>
      </c>
      <c r="G988" s="14">
        <f t="shared" si="19"/>
        <v>-0.88</v>
      </c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>
      <c r="A989" s="8"/>
      <c r="B989" s="10"/>
      <c r="C989" s="11" t="s">
        <v>233</v>
      </c>
      <c r="D989" s="82" t="s">
        <v>234</v>
      </c>
      <c r="E989" s="13">
        <v>12000.0</v>
      </c>
      <c r="F989" s="60">
        <v>12000.0</v>
      </c>
      <c r="G989" s="14">
        <f t="shared" si="19"/>
        <v>0</v>
      </c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>
      <c r="A990" s="8"/>
      <c r="B990" s="10"/>
      <c r="C990" s="11" t="s">
        <v>166</v>
      </c>
      <c r="D990" s="42" t="s">
        <v>235</v>
      </c>
      <c r="E990" s="13">
        <v>1000.0</v>
      </c>
      <c r="F990" s="60">
        <v>1000.0</v>
      </c>
      <c r="G990" s="14">
        <f t="shared" si="19"/>
        <v>0</v>
      </c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>
      <c r="A991" s="8"/>
      <c r="B991" s="10"/>
      <c r="C991" s="11" t="s">
        <v>180</v>
      </c>
      <c r="D991" s="42" t="s">
        <v>181</v>
      </c>
      <c r="E991" s="13">
        <v>1000.0</v>
      </c>
      <c r="F991" s="60">
        <v>1000.0</v>
      </c>
      <c r="G991" s="14">
        <f t="shared" si="19"/>
        <v>0</v>
      </c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>
      <c r="A992" s="8"/>
      <c r="B992" s="10"/>
      <c r="C992" s="11" t="s">
        <v>141</v>
      </c>
      <c r="D992" s="82" t="s">
        <v>142</v>
      </c>
      <c r="E992" s="13">
        <v>2000.0</v>
      </c>
      <c r="F992" s="60">
        <v>2000.0</v>
      </c>
      <c r="G992" s="14">
        <f t="shared" si="19"/>
        <v>0</v>
      </c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>
      <c r="A993" s="8"/>
      <c r="B993" s="10"/>
      <c r="C993" s="11" t="s">
        <v>143</v>
      </c>
      <c r="D993" s="82" t="s">
        <v>144</v>
      </c>
      <c r="E993" s="13">
        <v>35000.0</v>
      </c>
      <c r="F993" s="60">
        <v>35000.0</v>
      </c>
      <c r="G993" s="14">
        <f t="shared" si="19"/>
        <v>0</v>
      </c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>
      <c r="A994" s="8"/>
      <c r="B994" s="10"/>
      <c r="C994" s="11" t="s">
        <v>236</v>
      </c>
      <c r="D994" s="82" t="s">
        <v>252</v>
      </c>
      <c r="E994" s="13">
        <v>4000.0</v>
      </c>
      <c r="F994" s="60">
        <v>4000.0</v>
      </c>
      <c r="G994" s="14">
        <f t="shared" si="19"/>
        <v>0</v>
      </c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>
      <c r="A995" s="8"/>
      <c r="B995" s="10"/>
      <c r="C995" s="11" t="s">
        <v>211</v>
      </c>
      <c r="D995" s="42" t="s">
        <v>212</v>
      </c>
      <c r="E995" s="13">
        <v>180000.0</v>
      </c>
      <c r="F995" s="60">
        <v>180000.0</v>
      </c>
      <c r="G995" s="14">
        <f t="shared" si="19"/>
        <v>0</v>
      </c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>
      <c r="A996" s="8"/>
      <c r="B996" s="10"/>
      <c r="C996" s="11" t="s">
        <v>147</v>
      </c>
      <c r="D996" s="82" t="s">
        <v>148</v>
      </c>
      <c r="E996" s="13">
        <v>20000.0</v>
      </c>
      <c r="F996" s="60">
        <v>20000.0</v>
      </c>
      <c r="G996" s="14">
        <f t="shared" si="19"/>
        <v>0</v>
      </c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>
      <c r="A997" s="8"/>
      <c r="B997" s="10"/>
      <c r="C997" s="11" t="s">
        <v>169</v>
      </c>
      <c r="D997" s="82" t="s">
        <v>170</v>
      </c>
      <c r="E997" s="13">
        <v>500.0</v>
      </c>
      <c r="F997" s="60">
        <v>500.0</v>
      </c>
      <c r="G997" s="14">
        <f t="shared" si="19"/>
        <v>0</v>
      </c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>
      <c r="A998" s="8"/>
      <c r="B998" s="10"/>
      <c r="C998" s="11" t="s">
        <v>149</v>
      </c>
      <c r="D998" s="82" t="s">
        <v>150</v>
      </c>
      <c r="E998" s="13">
        <v>2000.0</v>
      </c>
      <c r="F998" s="60">
        <v>5800.0</v>
      </c>
      <c r="G998" s="14">
        <f t="shared" si="19"/>
        <v>1.9</v>
      </c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>
      <c r="A999" s="8"/>
      <c r="B999" s="10"/>
      <c r="C999" s="83" t="s">
        <v>157</v>
      </c>
      <c r="D999" s="84" t="s">
        <v>253</v>
      </c>
      <c r="E999" s="13"/>
      <c r="F999" s="60">
        <v>38500.0</v>
      </c>
      <c r="G999" s="14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>
      <c r="A1000" s="8"/>
      <c r="B1000" s="10"/>
      <c r="C1000" s="11" t="s">
        <v>151</v>
      </c>
      <c r="D1000" s="82" t="s">
        <v>152</v>
      </c>
      <c r="E1000" s="13">
        <v>1500.0</v>
      </c>
      <c r="F1000" s="60">
        <v>1500.0</v>
      </c>
      <c r="G1000" s="14">
        <f t="shared" ref="G1000:G1015" si="20">IFERROR(((F1000-E1000)/E1000), "")</f>
        <v>0</v>
      </c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4.25" customHeight="1">
      <c r="A1001" s="8"/>
      <c r="B1001" s="32">
        <v>3340.0</v>
      </c>
      <c r="E1001" s="33">
        <v>339300.0</v>
      </c>
      <c r="F1001" s="33">
        <f>SUM(F987:F1000)</f>
        <v>339300</v>
      </c>
      <c r="G1001" s="14">
        <f t="shared" si="20"/>
        <v>0</v>
      </c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14.25" customHeight="1">
      <c r="A1002" s="8"/>
      <c r="B1002" s="10"/>
      <c r="C1002" s="11"/>
      <c r="D1002" s="12"/>
      <c r="E1002" s="13"/>
      <c r="F1002" s="13"/>
      <c r="G1002" s="14" t="str">
        <f t="shared" si="20"/>
        <v/>
      </c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ht="14.25" customHeight="1">
      <c r="A1003" s="8"/>
      <c r="B1003" s="44">
        <v>3341.0</v>
      </c>
      <c r="C1003" s="45"/>
      <c r="D1003" s="46" t="s">
        <v>254</v>
      </c>
      <c r="E1003" s="47">
        <v>2025.0</v>
      </c>
      <c r="F1003" s="48">
        <v>2026.0</v>
      </c>
      <c r="G1003" s="14">
        <f t="shared" si="20"/>
        <v>0.0004938271605</v>
      </c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ht="14.25" customHeight="1">
      <c r="A1004" s="8"/>
      <c r="B1004" s="10"/>
      <c r="C1004" s="11" t="s">
        <v>162</v>
      </c>
      <c r="D1004" s="82" t="s">
        <v>163</v>
      </c>
      <c r="E1004" s="13">
        <v>500.0</v>
      </c>
      <c r="F1004" s="13">
        <v>500.0</v>
      </c>
      <c r="G1004" s="14">
        <f t="shared" si="20"/>
        <v>0</v>
      </c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ht="14.25" customHeight="1">
      <c r="A1005" s="8"/>
      <c r="B1005" s="10"/>
      <c r="C1005" s="11" t="s">
        <v>107</v>
      </c>
      <c r="D1005" s="82" t="s">
        <v>108</v>
      </c>
      <c r="E1005" s="13">
        <v>5000.0</v>
      </c>
      <c r="F1005" s="13">
        <v>5000.0</v>
      </c>
      <c r="G1005" s="14">
        <f t="shared" si="20"/>
        <v>0</v>
      </c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ht="14.25" customHeight="1">
      <c r="A1006" s="8"/>
      <c r="B1006" s="10"/>
      <c r="C1006" s="11" t="s">
        <v>233</v>
      </c>
      <c r="D1006" s="82" t="s">
        <v>234</v>
      </c>
      <c r="E1006" s="13">
        <v>1000.0</v>
      </c>
      <c r="F1006" s="13">
        <v>1000.0</v>
      </c>
      <c r="G1006" s="14">
        <f t="shared" si="20"/>
        <v>0</v>
      </c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ht="14.25" customHeight="1">
      <c r="A1007" s="8"/>
      <c r="B1007" s="10"/>
      <c r="C1007" s="11" t="s">
        <v>109</v>
      </c>
      <c r="D1007" s="82" t="s">
        <v>110</v>
      </c>
      <c r="E1007" s="13">
        <v>8000.0</v>
      </c>
      <c r="F1007" s="13">
        <v>8000.0</v>
      </c>
      <c r="G1007" s="14">
        <f t="shared" si="20"/>
        <v>0</v>
      </c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ht="14.25" customHeight="1">
      <c r="A1008" s="8"/>
      <c r="B1008" s="10"/>
      <c r="C1008" s="11" t="s">
        <v>111</v>
      </c>
      <c r="D1008" s="82" t="s">
        <v>112</v>
      </c>
      <c r="E1008" s="13">
        <v>3000.0</v>
      </c>
      <c r="F1008" s="13">
        <v>3000.0</v>
      </c>
      <c r="G1008" s="14">
        <f t="shared" si="20"/>
        <v>0</v>
      </c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ht="14.25" customHeight="1">
      <c r="A1009" s="8"/>
      <c r="B1009" s="10"/>
      <c r="C1009" s="11" t="s">
        <v>121</v>
      </c>
      <c r="D1009" s="82" t="s">
        <v>122</v>
      </c>
      <c r="E1009" s="13">
        <v>1500.0</v>
      </c>
      <c r="F1009" s="13">
        <v>1500.0</v>
      </c>
      <c r="G1009" s="14">
        <f t="shared" si="20"/>
        <v>0</v>
      </c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ht="14.25" customHeight="1">
      <c r="A1010" s="8"/>
      <c r="B1010" s="10"/>
      <c r="C1010" s="11" t="s">
        <v>129</v>
      </c>
      <c r="D1010" s="82" t="s">
        <v>130</v>
      </c>
      <c r="E1010" s="13">
        <v>3000.0</v>
      </c>
      <c r="F1010" s="13">
        <v>3000.0</v>
      </c>
      <c r="G1010" s="14">
        <f t="shared" si="20"/>
        <v>0</v>
      </c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ht="14.25" customHeight="1">
      <c r="A1011" s="8"/>
      <c r="B1011" s="10"/>
      <c r="C1011" s="11" t="s">
        <v>131</v>
      </c>
      <c r="D1011" s="82" t="s">
        <v>132</v>
      </c>
      <c r="E1011" s="13">
        <v>1000.0</v>
      </c>
      <c r="F1011" s="13">
        <v>1000.0</v>
      </c>
      <c r="G1011" s="14">
        <f t="shared" si="20"/>
        <v>0</v>
      </c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ht="14.25" customHeight="1">
      <c r="A1012" s="8"/>
      <c r="B1012" s="10"/>
      <c r="C1012" s="11" t="s">
        <v>133</v>
      </c>
      <c r="D1012" s="82" t="s">
        <v>134</v>
      </c>
      <c r="E1012" s="13">
        <v>700.0</v>
      </c>
      <c r="F1012" s="13">
        <v>700.0</v>
      </c>
      <c r="G1012" s="14">
        <f t="shared" si="20"/>
        <v>0</v>
      </c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ht="14.25" customHeight="1">
      <c r="A1013" s="8"/>
      <c r="B1013" s="10"/>
      <c r="C1013" s="11" t="s">
        <v>137</v>
      </c>
      <c r="D1013" s="82" t="s">
        <v>138</v>
      </c>
      <c r="E1013" s="13">
        <v>2000.0</v>
      </c>
      <c r="F1013" s="13">
        <v>2000.0</v>
      </c>
      <c r="G1013" s="14">
        <f t="shared" si="20"/>
        <v>0</v>
      </c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 ht="14.25" customHeight="1">
      <c r="A1014" s="8"/>
      <c r="B1014" s="10"/>
      <c r="C1014" s="11" t="s">
        <v>143</v>
      </c>
      <c r="D1014" s="82" t="s">
        <v>144</v>
      </c>
      <c r="E1014" s="13">
        <v>4500.0</v>
      </c>
      <c r="F1014" s="13">
        <v>4500.0</v>
      </c>
      <c r="G1014" s="14">
        <f t="shared" si="20"/>
        <v>0</v>
      </c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ht="14.25" customHeight="1">
      <c r="A1015" s="8"/>
      <c r="B1015" s="10"/>
      <c r="C1015" s="11" t="s">
        <v>211</v>
      </c>
      <c r="D1015" s="42" t="s">
        <v>212</v>
      </c>
      <c r="E1015" s="13">
        <v>10000.0</v>
      </c>
      <c r="F1015" s="60">
        <v>3000.0</v>
      </c>
      <c r="G1015" s="14">
        <f t="shared" si="20"/>
        <v>-0.7</v>
      </c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ht="14.25" customHeight="1">
      <c r="A1016" s="8"/>
      <c r="B1016" s="10"/>
      <c r="C1016" s="83" t="s">
        <v>238</v>
      </c>
      <c r="D1016" s="85" t="s">
        <v>255</v>
      </c>
      <c r="E1016" s="13"/>
      <c r="F1016" s="60">
        <v>15000.0</v>
      </c>
      <c r="G1016" s="14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ht="14.25" customHeight="1">
      <c r="A1017" s="8"/>
      <c r="B1017" s="10"/>
      <c r="C1017" s="11" t="s">
        <v>147</v>
      </c>
      <c r="D1017" s="82" t="s">
        <v>148</v>
      </c>
      <c r="E1017" s="13">
        <v>10500.0</v>
      </c>
      <c r="F1017" s="60">
        <v>12500.0</v>
      </c>
      <c r="G1017" s="14">
        <f t="shared" ref="G1017:G1033" si="21">IFERROR(((F1017-E1017)/E1017), "")</f>
        <v>0.1904761905</v>
      </c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 ht="14.25" customHeight="1">
      <c r="A1018" s="8"/>
      <c r="B1018" s="32">
        <v>3341.0</v>
      </c>
      <c r="E1018" s="33">
        <v>50700.0</v>
      </c>
      <c r="F1018" s="33">
        <f>SUM(F1004:F1017)</f>
        <v>60700</v>
      </c>
      <c r="G1018" s="14">
        <f t="shared" si="21"/>
        <v>0.1972386588</v>
      </c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 ht="14.25" customHeight="1">
      <c r="A1019" s="8"/>
      <c r="B1019" s="10"/>
      <c r="C1019" s="11"/>
      <c r="D1019" s="12"/>
      <c r="E1019" s="13"/>
      <c r="F1019" s="13"/>
      <c r="G1019" s="14" t="str">
        <f t="shared" si="21"/>
        <v/>
      </c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 ht="14.25" customHeight="1">
      <c r="A1020" s="8"/>
      <c r="B1020" s="44">
        <v>3370.0</v>
      </c>
      <c r="C1020" s="45"/>
      <c r="D1020" s="46" t="s">
        <v>83</v>
      </c>
      <c r="E1020" s="47">
        <v>2025.0</v>
      </c>
      <c r="F1020" s="48">
        <v>2026.0</v>
      </c>
      <c r="G1020" s="14">
        <f t="shared" si="21"/>
        <v>0.0004938271605</v>
      </c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 ht="14.25" customHeight="1">
      <c r="A1021" s="8"/>
      <c r="B1021" s="17"/>
      <c r="C1021" s="11" t="s">
        <v>107</v>
      </c>
      <c r="D1021" s="82" t="s">
        <v>108</v>
      </c>
      <c r="E1021" s="13">
        <v>200.0</v>
      </c>
      <c r="F1021" s="13">
        <v>200.0</v>
      </c>
      <c r="G1021" s="14">
        <f t="shared" si="21"/>
        <v>0</v>
      </c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 ht="14.25" customHeight="1">
      <c r="A1022" s="8"/>
      <c r="B1022" s="17"/>
      <c r="C1022" s="11" t="s">
        <v>109</v>
      </c>
      <c r="D1022" s="82" t="s">
        <v>110</v>
      </c>
      <c r="E1022" s="13">
        <v>79000.0</v>
      </c>
      <c r="F1022" s="60">
        <v>71000.0</v>
      </c>
      <c r="G1022" s="14">
        <f t="shared" si="21"/>
        <v>-0.1012658228</v>
      </c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 ht="14.25" customHeight="1">
      <c r="A1023" s="8"/>
      <c r="B1023" s="17"/>
      <c r="C1023" s="11" t="s">
        <v>117</v>
      </c>
      <c r="D1023" s="82" t="s">
        <v>164</v>
      </c>
      <c r="E1023" s="13">
        <v>200.0</v>
      </c>
      <c r="F1023" s="13">
        <v>200.0</v>
      </c>
      <c r="G1023" s="14">
        <f t="shared" si="21"/>
        <v>0</v>
      </c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 ht="14.25" customHeight="1">
      <c r="A1024" s="8"/>
      <c r="B1024" s="17"/>
      <c r="C1024" s="11" t="s">
        <v>121</v>
      </c>
      <c r="D1024" s="82" t="s">
        <v>122</v>
      </c>
      <c r="E1024" s="13">
        <v>800.0</v>
      </c>
      <c r="F1024" s="13">
        <v>800.0</v>
      </c>
      <c r="G1024" s="14">
        <f t="shared" si="21"/>
        <v>0</v>
      </c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 ht="14.25" customHeight="1">
      <c r="A1025" s="8"/>
      <c r="B1025" s="10"/>
      <c r="C1025" s="11" t="s">
        <v>166</v>
      </c>
      <c r="D1025" s="42" t="s">
        <v>235</v>
      </c>
      <c r="E1025" s="13">
        <v>1900.0</v>
      </c>
      <c r="F1025" s="13">
        <v>1900.0</v>
      </c>
      <c r="G1025" s="14">
        <f t="shared" si="21"/>
        <v>0</v>
      </c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 ht="14.25" customHeight="1">
      <c r="A1026" s="8"/>
      <c r="B1026" s="10"/>
      <c r="C1026" s="11" t="s">
        <v>123</v>
      </c>
      <c r="D1026" s="82" t="s">
        <v>124</v>
      </c>
      <c r="E1026" s="13">
        <v>10000.0</v>
      </c>
      <c r="F1026" s="13">
        <v>10000.0</v>
      </c>
      <c r="G1026" s="14">
        <f t="shared" si="21"/>
        <v>0</v>
      </c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ht="14.25" customHeight="1">
      <c r="A1027" s="8"/>
      <c r="B1027" s="10"/>
      <c r="C1027" s="11" t="s">
        <v>125</v>
      </c>
      <c r="D1027" s="82" t="s">
        <v>126</v>
      </c>
      <c r="E1027" s="13">
        <v>0.0</v>
      </c>
      <c r="F1027" s="13">
        <v>0.0</v>
      </c>
      <c r="G1027" s="14" t="str">
        <f t="shared" si="21"/>
        <v/>
      </c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 ht="14.25" customHeight="1">
      <c r="A1028" s="8"/>
      <c r="B1028" s="10"/>
      <c r="C1028" s="11" t="s">
        <v>226</v>
      </c>
      <c r="D1028" s="82" t="s">
        <v>256</v>
      </c>
      <c r="E1028" s="13">
        <v>70000.0</v>
      </c>
      <c r="F1028" s="60">
        <v>60000.0</v>
      </c>
      <c r="G1028" s="14">
        <f t="shared" si="21"/>
        <v>-0.1428571429</v>
      </c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ht="14.25" customHeight="1">
      <c r="A1029" s="8"/>
      <c r="B1029" s="10"/>
      <c r="C1029" s="11" t="s">
        <v>131</v>
      </c>
      <c r="D1029" s="82" t="s">
        <v>132</v>
      </c>
      <c r="E1029" s="13">
        <v>4000.0</v>
      </c>
      <c r="F1029" s="13">
        <f>3000+1000</f>
        <v>4000</v>
      </c>
      <c r="G1029" s="14">
        <f t="shared" si="21"/>
        <v>0</v>
      </c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 ht="14.25" customHeight="1">
      <c r="A1030" s="8"/>
      <c r="B1030" s="10"/>
      <c r="C1030" s="11" t="s">
        <v>133</v>
      </c>
      <c r="D1030" s="82" t="s">
        <v>134</v>
      </c>
      <c r="E1030" s="13">
        <v>2500.0</v>
      </c>
      <c r="F1030" s="13">
        <v>2500.0</v>
      </c>
      <c r="G1030" s="14">
        <f t="shared" si="21"/>
        <v>0</v>
      </c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 ht="14.25" customHeight="1">
      <c r="A1031" s="8"/>
      <c r="B1031" s="17"/>
      <c r="C1031" s="11" t="s">
        <v>139</v>
      </c>
      <c r="D1031" s="42" t="s">
        <v>140</v>
      </c>
      <c r="E1031" s="13">
        <v>300.0</v>
      </c>
      <c r="F1031" s="13">
        <f>100+200</f>
        <v>300</v>
      </c>
      <c r="G1031" s="14">
        <f t="shared" si="21"/>
        <v>0</v>
      </c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 ht="14.25" customHeight="1">
      <c r="A1032" s="8"/>
      <c r="B1032" s="10"/>
      <c r="C1032" s="11" t="s">
        <v>143</v>
      </c>
      <c r="D1032" s="82" t="s">
        <v>144</v>
      </c>
      <c r="E1032" s="13">
        <v>300.0</v>
      </c>
      <c r="F1032" s="13">
        <v>300.0</v>
      </c>
      <c r="G1032" s="14">
        <f t="shared" si="21"/>
        <v>0</v>
      </c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 ht="14.25" customHeight="1">
      <c r="A1033" s="8"/>
      <c r="B1033" s="10"/>
      <c r="C1033" s="11" t="s">
        <v>147</v>
      </c>
      <c r="D1033" s="82" t="s">
        <v>148</v>
      </c>
      <c r="E1033" s="13">
        <v>6100.0</v>
      </c>
      <c r="F1033" s="13">
        <f>6000+100</f>
        <v>6100</v>
      </c>
      <c r="G1033" s="14">
        <f t="shared" si="21"/>
        <v>0</v>
      </c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 ht="14.25" customHeight="1">
      <c r="A1034" s="8"/>
      <c r="B1034" s="10"/>
      <c r="C1034" s="83" t="s">
        <v>257</v>
      </c>
      <c r="D1034" s="84" t="s">
        <v>258</v>
      </c>
      <c r="E1034" s="13"/>
      <c r="F1034" s="60">
        <v>14000.0</v>
      </c>
      <c r="G1034" s="14"/>
      <c r="H1034" s="16"/>
      <c r="I1034" s="93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 ht="14.25" customHeight="1">
      <c r="A1035" s="8"/>
      <c r="B1035" s="10"/>
      <c r="C1035" s="11" t="s">
        <v>149</v>
      </c>
      <c r="D1035" s="82" t="s">
        <v>150</v>
      </c>
      <c r="E1035" s="13">
        <v>1000.0</v>
      </c>
      <c r="F1035" s="13">
        <v>1000.0</v>
      </c>
      <c r="G1035" s="14">
        <f t="shared" ref="G1035:G1051" si="22">IFERROR(((F1035-E1035)/E1035), "")</f>
        <v>0</v>
      </c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 ht="14.25" customHeight="1">
      <c r="A1036" s="8"/>
      <c r="B1036" s="32">
        <v>3370.0</v>
      </c>
      <c r="E1036" s="33">
        <v>176300.0</v>
      </c>
      <c r="F1036" s="33">
        <f>SUM(F1021:F1035)</f>
        <v>172300</v>
      </c>
      <c r="G1036" s="14">
        <f t="shared" si="22"/>
        <v>-0.02268859898</v>
      </c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 ht="14.25" customHeight="1">
      <c r="A1037" s="8"/>
      <c r="B1037" s="10"/>
      <c r="C1037" s="11"/>
      <c r="D1037" s="12"/>
      <c r="E1037" s="13"/>
      <c r="F1037" s="13"/>
      <c r="G1037" s="14" t="str">
        <f t="shared" si="22"/>
        <v/>
      </c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 ht="14.25" customHeight="1">
      <c r="A1038" s="8"/>
      <c r="B1038" s="44">
        <v>3373.0</v>
      </c>
      <c r="C1038" s="45"/>
      <c r="D1038" s="46" t="s">
        <v>84</v>
      </c>
      <c r="E1038" s="47">
        <v>2025.0</v>
      </c>
      <c r="F1038" s="48">
        <v>2026.0</v>
      </c>
      <c r="G1038" s="14">
        <f t="shared" si="22"/>
        <v>0.0004938271605</v>
      </c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 ht="14.25" customHeight="1">
      <c r="A1039" s="8"/>
      <c r="B1039" s="10"/>
      <c r="C1039" s="11" t="s">
        <v>107</v>
      </c>
      <c r="D1039" s="82" t="s">
        <v>108</v>
      </c>
      <c r="E1039" s="13">
        <v>30000.0</v>
      </c>
      <c r="F1039" s="13">
        <v>30000.0</v>
      </c>
      <c r="G1039" s="14">
        <f t="shared" si="22"/>
        <v>0</v>
      </c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 ht="14.25" customHeight="1">
      <c r="A1040" s="8"/>
      <c r="B1040" s="10"/>
      <c r="C1040" s="11" t="s">
        <v>233</v>
      </c>
      <c r="D1040" s="42" t="s">
        <v>234</v>
      </c>
      <c r="E1040" s="13">
        <v>900.0</v>
      </c>
      <c r="F1040" s="13">
        <v>900.0</v>
      </c>
      <c r="G1040" s="14">
        <f t="shared" si="22"/>
        <v>0</v>
      </c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 ht="14.25" customHeight="1">
      <c r="A1041" s="8"/>
      <c r="B1041" s="10"/>
      <c r="C1041" s="11" t="s">
        <v>109</v>
      </c>
      <c r="D1041" s="82" t="s">
        <v>110</v>
      </c>
      <c r="E1041" s="13">
        <v>60000.0</v>
      </c>
      <c r="F1041" s="60">
        <v>48000.0</v>
      </c>
      <c r="G1041" s="14">
        <f t="shared" si="22"/>
        <v>-0.2</v>
      </c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 ht="14.25" customHeight="1">
      <c r="A1042" s="8"/>
      <c r="B1042" s="10"/>
      <c r="C1042" s="11" t="s">
        <v>117</v>
      </c>
      <c r="D1042" s="82" t="s">
        <v>164</v>
      </c>
      <c r="E1042" s="13">
        <v>300.0</v>
      </c>
      <c r="F1042" s="13">
        <v>300.0</v>
      </c>
      <c r="G1042" s="14">
        <f t="shared" si="22"/>
        <v>0</v>
      </c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 ht="14.25" customHeight="1">
      <c r="A1043" s="8"/>
      <c r="B1043" s="10"/>
      <c r="C1043" s="11" t="s">
        <v>121</v>
      </c>
      <c r="D1043" s="82" t="s">
        <v>122</v>
      </c>
      <c r="E1043" s="13">
        <v>3200.0</v>
      </c>
      <c r="F1043" s="13">
        <v>3200.0</v>
      </c>
      <c r="G1043" s="14">
        <f t="shared" si="22"/>
        <v>0</v>
      </c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 ht="14.25" customHeight="1">
      <c r="A1044" s="8"/>
      <c r="B1044" s="10"/>
      <c r="C1044" s="11" t="s">
        <v>166</v>
      </c>
      <c r="D1044" s="42" t="s">
        <v>235</v>
      </c>
      <c r="E1044" s="13">
        <v>1000.0</v>
      </c>
      <c r="F1044" s="13">
        <v>1000.0</v>
      </c>
      <c r="G1044" s="14">
        <f t="shared" si="22"/>
        <v>0</v>
      </c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r="1045" ht="14.25" customHeight="1">
      <c r="A1045" s="8"/>
      <c r="B1045" s="10"/>
      <c r="C1045" s="11" t="s">
        <v>123</v>
      </c>
      <c r="D1045" s="82" t="s">
        <v>165</v>
      </c>
      <c r="E1045" s="13">
        <v>2900.0</v>
      </c>
      <c r="F1045" s="13">
        <v>2900.0</v>
      </c>
      <c r="G1045" s="14">
        <f t="shared" si="22"/>
        <v>0</v>
      </c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 ht="14.25" customHeight="1">
      <c r="A1046" s="8"/>
      <c r="B1046" s="10"/>
      <c r="C1046" s="11" t="s">
        <v>125</v>
      </c>
      <c r="D1046" s="82" t="s">
        <v>126</v>
      </c>
      <c r="E1046" s="13">
        <v>8000.0</v>
      </c>
      <c r="F1046" s="13">
        <v>8000.0</v>
      </c>
      <c r="G1046" s="14">
        <f t="shared" si="22"/>
        <v>0</v>
      </c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 ht="14.25" customHeight="1">
      <c r="A1047" s="8"/>
      <c r="B1047" s="10"/>
      <c r="C1047" s="11" t="s">
        <v>131</v>
      </c>
      <c r="D1047" s="82" t="s">
        <v>132</v>
      </c>
      <c r="E1047" s="13">
        <v>1600.0</v>
      </c>
      <c r="F1047" s="13">
        <v>1600.0</v>
      </c>
      <c r="G1047" s="14">
        <f t="shared" si="22"/>
        <v>0</v>
      </c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 ht="14.25" customHeight="1">
      <c r="A1048" s="8"/>
      <c r="B1048" s="10"/>
      <c r="C1048" s="11" t="s">
        <v>133</v>
      </c>
      <c r="D1048" s="82" t="s">
        <v>134</v>
      </c>
      <c r="E1048" s="13">
        <v>3300.0</v>
      </c>
      <c r="F1048" s="13">
        <v>3300.0</v>
      </c>
      <c r="G1048" s="14">
        <f t="shared" si="22"/>
        <v>0</v>
      </c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r="1049" ht="14.25" customHeight="1">
      <c r="A1049" s="8"/>
      <c r="B1049" s="10"/>
      <c r="C1049" s="11" t="s">
        <v>139</v>
      </c>
      <c r="D1049" s="42" t="s">
        <v>140</v>
      </c>
      <c r="E1049" s="13">
        <v>700.0</v>
      </c>
      <c r="F1049" s="13">
        <v>700.0</v>
      </c>
      <c r="G1049" s="14">
        <f t="shared" si="22"/>
        <v>0</v>
      </c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r="1050" ht="14.25" customHeight="1">
      <c r="A1050" s="8"/>
      <c r="B1050" s="10"/>
      <c r="C1050" s="11" t="s">
        <v>143</v>
      </c>
      <c r="D1050" s="82" t="s">
        <v>144</v>
      </c>
      <c r="E1050" s="13">
        <v>10000.0</v>
      </c>
      <c r="F1050" s="13">
        <v>10000.0</v>
      </c>
      <c r="G1050" s="14">
        <f t="shared" si="22"/>
        <v>0</v>
      </c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r="1051" ht="14.25" customHeight="1">
      <c r="A1051" s="8"/>
      <c r="B1051" s="10"/>
      <c r="C1051" s="11" t="s">
        <v>211</v>
      </c>
      <c r="D1051" s="42" t="s">
        <v>212</v>
      </c>
      <c r="E1051" s="13">
        <v>340000.0</v>
      </c>
      <c r="F1051" s="60">
        <v>44000.0</v>
      </c>
      <c r="G1051" s="14">
        <f t="shared" si="22"/>
        <v>-0.8705882353</v>
      </c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 ht="14.25" customHeight="1">
      <c r="A1052" s="8"/>
      <c r="B1052" s="10"/>
      <c r="C1052" s="83" t="s">
        <v>238</v>
      </c>
      <c r="D1052" s="85" t="s">
        <v>259</v>
      </c>
      <c r="E1052" s="13"/>
      <c r="F1052" s="60">
        <v>46000.0</v>
      </c>
      <c r="G1052" s="14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r="1053" ht="14.25" customHeight="1">
      <c r="A1053" s="8"/>
      <c r="B1053" s="10"/>
      <c r="C1053" s="83" t="s">
        <v>260</v>
      </c>
      <c r="D1053" s="85" t="s">
        <v>261</v>
      </c>
      <c r="E1053" s="13"/>
      <c r="F1053" s="60">
        <v>230000.0</v>
      </c>
      <c r="G1053" s="14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r="1054" ht="14.25" customHeight="1">
      <c r="A1054" s="8"/>
      <c r="B1054" s="10"/>
      <c r="C1054" s="83" t="s">
        <v>262</v>
      </c>
      <c r="D1054" s="84" t="s">
        <v>263</v>
      </c>
      <c r="E1054" s="13"/>
      <c r="F1054" s="60">
        <v>17000.0</v>
      </c>
      <c r="G1054" s="14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 ht="14.25" customHeight="1">
      <c r="A1055" s="8"/>
      <c r="B1055" s="10"/>
      <c r="C1055" s="11" t="s">
        <v>147</v>
      </c>
      <c r="D1055" s="82" t="s">
        <v>148</v>
      </c>
      <c r="E1055" s="13">
        <v>86000.0</v>
      </c>
      <c r="F1055" s="60">
        <v>49000.0</v>
      </c>
      <c r="G1055" s="14">
        <f t="shared" ref="G1055:G1084" si="23">IFERROR(((F1055-E1055)/E1055), "")</f>
        <v>-0.4302325581</v>
      </c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r="1056" ht="14.25" customHeight="1">
      <c r="A1056" s="8"/>
      <c r="B1056" s="10"/>
      <c r="C1056" s="11" t="s">
        <v>149</v>
      </c>
      <c r="D1056" s="82" t="s">
        <v>150</v>
      </c>
      <c r="E1056" s="13">
        <v>20000.0</v>
      </c>
      <c r="F1056" s="13">
        <v>20000.0</v>
      </c>
      <c r="G1056" s="14">
        <f t="shared" si="23"/>
        <v>0</v>
      </c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r="1057" ht="14.25" customHeight="1">
      <c r="A1057" s="8"/>
      <c r="B1057" s="32">
        <v>3373.0</v>
      </c>
      <c r="E1057" s="33">
        <v>567900.0</v>
      </c>
      <c r="F1057" s="33">
        <f>SUM(F1039:F1056)</f>
        <v>515900</v>
      </c>
      <c r="G1057" s="14">
        <f t="shared" si="23"/>
        <v>-0.09156541645</v>
      </c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r="1058" ht="14.25" customHeight="1">
      <c r="A1058" s="8"/>
      <c r="B1058" s="10"/>
      <c r="C1058" s="11"/>
      <c r="D1058" s="12"/>
      <c r="E1058" s="13"/>
      <c r="F1058" s="13"/>
      <c r="G1058" s="14" t="str">
        <f t="shared" si="23"/>
        <v/>
      </c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r="1059" ht="14.25" customHeight="1">
      <c r="A1059" s="8"/>
      <c r="B1059" s="44">
        <v>3374.0</v>
      </c>
      <c r="C1059" s="45"/>
      <c r="D1059" s="46" t="s">
        <v>264</v>
      </c>
      <c r="E1059" s="47">
        <v>2025.0</v>
      </c>
      <c r="F1059" s="48">
        <v>2026.0</v>
      </c>
      <c r="G1059" s="14">
        <f t="shared" si="23"/>
        <v>0.0004938271605</v>
      </c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r="1060" ht="14.25" customHeight="1">
      <c r="A1060" s="8"/>
      <c r="B1060" s="10"/>
      <c r="C1060" s="11" t="s">
        <v>109</v>
      </c>
      <c r="D1060" s="82" t="s">
        <v>110</v>
      </c>
      <c r="E1060" s="13">
        <v>4400.0</v>
      </c>
      <c r="F1060" s="13">
        <v>4400.0</v>
      </c>
      <c r="G1060" s="14">
        <f t="shared" si="23"/>
        <v>0</v>
      </c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r="1061" ht="14.25" customHeight="1">
      <c r="A1061" s="8"/>
      <c r="B1061" s="10"/>
      <c r="C1061" s="11" t="s">
        <v>123</v>
      </c>
      <c r="D1061" s="82" t="s">
        <v>165</v>
      </c>
      <c r="E1061" s="13">
        <v>850.0</v>
      </c>
      <c r="F1061" s="13">
        <v>850.0</v>
      </c>
      <c r="G1061" s="14">
        <f t="shared" si="23"/>
        <v>0</v>
      </c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r="1062" ht="14.25" customHeight="1">
      <c r="A1062" s="8"/>
      <c r="B1062" s="10"/>
      <c r="C1062" s="11" t="s">
        <v>131</v>
      </c>
      <c r="D1062" s="82" t="s">
        <v>132</v>
      </c>
      <c r="E1062" s="13">
        <v>2000.0</v>
      </c>
      <c r="F1062" s="13">
        <v>2000.0</v>
      </c>
      <c r="G1062" s="14">
        <f t="shared" si="23"/>
        <v>0</v>
      </c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r="1063" ht="14.25" customHeight="1">
      <c r="A1063" s="8"/>
      <c r="B1063" s="32">
        <v>3374.0</v>
      </c>
      <c r="E1063" s="33">
        <v>7250.0</v>
      </c>
      <c r="F1063" s="33">
        <f>SUM(F1060:F1062)</f>
        <v>7250</v>
      </c>
      <c r="G1063" s="14">
        <f t="shared" si="23"/>
        <v>0</v>
      </c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r="1064" ht="14.25" customHeight="1">
      <c r="A1064" s="8"/>
      <c r="B1064" s="10"/>
      <c r="C1064" s="11"/>
      <c r="D1064" s="58"/>
      <c r="E1064" s="43"/>
      <c r="F1064" s="43"/>
      <c r="G1064" s="14" t="str">
        <f t="shared" si="23"/>
        <v/>
      </c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r="1065" ht="14.25" customHeight="1">
      <c r="A1065" s="8"/>
      <c r="B1065" s="44">
        <v>3375.0</v>
      </c>
      <c r="C1065" s="45"/>
      <c r="D1065" s="46" t="s">
        <v>265</v>
      </c>
      <c r="E1065" s="47">
        <v>2025.0</v>
      </c>
      <c r="F1065" s="48">
        <v>2026.0</v>
      </c>
      <c r="G1065" s="14">
        <f t="shared" si="23"/>
        <v>0.0004938271605</v>
      </c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r="1066" ht="14.25" customHeight="1">
      <c r="A1066" s="8"/>
      <c r="B1066" s="10"/>
      <c r="C1066" s="11" t="s">
        <v>109</v>
      </c>
      <c r="D1066" s="82" t="s">
        <v>110</v>
      </c>
      <c r="E1066" s="13">
        <v>2500.0</v>
      </c>
      <c r="F1066" s="60">
        <v>3500.0</v>
      </c>
      <c r="G1066" s="14">
        <f t="shared" si="23"/>
        <v>0.4</v>
      </c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r="1067" ht="14.25" customHeight="1">
      <c r="A1067" s="8"/>
      <c r="B1067" s="10"/>
      <c r="C1067" s="11" t="s">
        <v>131</v>
      </c>
      <c r="D1067" s="82" t="s">
        <v>132</v>
      </c>
      <c r="E1067" s="13">
        <v>2500.0</v>
      </c>
      <c r="F1067" s="13">
        <v>2500.0</v>
      </c>
      <c r="G1067" s="14">
        <f t="shared" si="23"/>
        <v>0</v>
      </c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r="1068" ht="14.25" customHeight="1">
      <c r="A1068" s="8"/>
      <c r="B1068" s="32">
        <v>3375.0</v>
      </c>
      <c r="E1068" s="33">
        <v>5000.0</v>
      </c>
      <c r="F1068" s="33">
        <f>SUM(F1066:F1067)</f>
        <v>6000</v>
      </c>
      <c r="G1068" s="14">
        <f t="shared" si="23"/>
        <v>0.2</v>
      </c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r="1069" ht="14.25" customHeight="1">
      <c r="A1069" s="8"/>
      <c r="B1069" s="10"/>
      <c r="C1069" s="11"/>
      <c r="D1069" s="58"/>
      <c r="E1069" s="43"/>
      <c r="F1069" s="43"/>
      <c r="G1069" s="14" t="str">
        <f t="shared" si="23"/>
        <v/>
      </c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r="1070" ht="14.25" customHeight="1">
      <c r="A1070" s="8"/>
      <c r="B1070" s="44">
        <v>3380.0</v>
      </c>
      <c r="C1070" s="45"/>
      <c r="D1070" s="46" t="s">
        <v>85</v>
      </c>
      <c r="E1070" s="47">
        <v>2025.0</v>
      </c>
      <c r="F1070" s="48">
        <v>2026.0</v>
      </c>
      <c r="G1070" s="14">
        <f t="shared" si="23"/>
        <v>0.0004938271605</v>
      </c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r="1071" ht="14.25" customHeight="1">
      <c r="A1071" s="8"/>
      <c r="B1071" s="10"/>
      <c r="C1071" s="11" t="s">
        <v>107</v>
      </c>
      <c r="D1071" s="82" t="s">
        <v>108</v>
      </c>
      <c r="E1071" s="13">
        <v>170000.0</v>
      </c>
      <c r="F1071" s="60">
        <v>180000.0</v>
      </c>
      <c r="G1071" s="14">
        <f t="shared" si="23"/>
        <v>0.05882352941</v>
      </c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r="1072" ht="14.25" customHeight="1">
      <c r="A1072" s="8"/>
      <c r="B1072" s="10"/>
      <c r="C1072" s="11" t="s">
        <v>176</v>
      </c>
      <c r="D1072" s="42" t="s">
        <v>177</v>
      </c>
      <c r="E1072" s="13">
        <v>900.0</v>
      </c>
      <c r="F1072" s="13">
        <v>900.0</v>
      </c>
      <c r="G1072" s="14">
        <f t="shared" si="23"/>
        <v>0</v>
      </c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r="1073" ht="14.25" customHeight="1">
      <c r="A1073" s="8"/>
      <c r="B1073" s="10"/>
      <c r="C1073" s="11" t="s">
        <v>233</v>
      </c>
      <c r="D1073" s="82" t="s">
        <v>234</v>
      </c>
      <c r="E1073" s="13">
        <v>8500.0</v>
      </c>
      <c r="F1073" s="60">
        <v>12000.0</v>
      </c>
      <c r="G1073" s="14">
        <f t="shared" si="23"/>
        <v>0.4117647059</v>
      </c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r="1074" ht="14.25" customHeight="1">
      <c r="A1074" s="8"/>
      <c r="B1074" s="10"/>
      <c r="C1074" s="11" t="s">
        <v>178</v>
      </c>
      <c r="D1074" s="82" t="s">
        <v>190</v>
      </c>
      <c r="E1074" s="13">
        <v>200.0</v>
      </c>
      <c r="F1074" s="60">
        <v>600.0</v>
      </c>
      <c r="G1074" s="14">
        <f t="shared" si="23"/>
        <v>2</v>
      </c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r="1075" ht="14.25" customHeight="1">
      <c r="A1075" s="8"/>
      <c r="B1075" s="10"/>
      <c r="C1075" s="11" t="s">
        <v>121</v>
      </c>
      <c r="D1075" s="82" t="s">
        <v>122</v>
      </c>
      <c r="E1075" s="13">
        <v>500.0</v>
      </c>
      <c r="F1075" s="13">
        <v>500.0</v>
      </c>
      <c r="G1075" s="14">
        <f t="shared" si="23"/>
        <v>0</v>
      </c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r="1076" ht="14.25" customHeight="1">
      <c r="A1076" s="8"/>
      <c r="B1076" s="10"/>
      <c r="C1076" s="11" t="s">
        <v>123</v>
      </c>
      <c r="D1076" s="82" t="s">
        <v>124</v>
      </c>
      <c r="E1076" s="13">
        <v>12000.0</v>
      </c>
      <c r="F1076" s="60">
        <v>15000.0</v>
      </c>
      <c r="G1076" s="14">
        <f t="shared" si="23"/>
        <v>0.25</v>
      </c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r="1077" ht="14.25" customHeight="1">
      <c r="A1077" s="8"/>
      <c r="B1077" s="10"/>
      <c r="C1077" s="11" t="s">
        <v>131</v>
      </c>
      <c r="D1077" s="82" t="s">
        <v>132</v>
      </c>
      <c r="E1077" s="13">
        <v>4300.0</v>
      </c>
      <c r="F1077" s="60">
        <v>6000.0</v>
      </c>
      <c r="G1077" s="14">
        <f t="shared" si="23"/>
        <v>0.3953488372</v>
      </c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r="1078" ht="14.25" customHeight="1">
      <c r="A1078" s="8"/>
      <c r="B1078" s="10"/>
      <c r="C1078" s="11" t="s">
        <v>133</v>
      </c>
      <c r="D1078" s="82" t="s">
        <v>134</v>
      </c>
      <c r="E1078" s="13">
        <v>200.0</v>
      </c>
      <c r="F1078" s="13">
        <v>200.0</v>
      </c>
      <c r="G1078" s="14">
        <f t="shared" si="23"/>
        <v>0</v>
      </c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r="1079" ht="14.25" customHeight="1">
      <c r="A1079" s="8"/>
      <c r="B1079" s="10"/>
      <c r="C1079" s="83" t="s">
        <v>135</v>
      </c>
      <c r="D1079" s="84" t="s">
        <v>136</v>
      </c>
      <c r="E1079" s="60">
        <v>0.0</v>
      </c>
      <c r="F1079" s="60">
        <v>400.0</v>
      </c>
      <c r="G1079" s="14" t="str">
        <f t="shared" si="23"/>
        <v/>
      </c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r="1080" ht="14.25" customHeight="1">
      <c r="A1080" s="8"/>
      <c r="B1080" s="10"/>
      <c r="C1080" s="11" t="s">
        <v>137</v>
      </c>
      <c r="D1080" s="82" t="s">
        <v>138</v>
      </c>
      <c r="E1080" s="13">
        <v>2700.0</v>
      </c>
      <c r="F1080" s="13">
        <v>2700.0</v>
      </c>
      <c r="G1080" s="14">
        <f t="shared" si="23"/>
        <v>0</v>
      </c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r="1081" ht="14.25" customHeight="1">
      <c r="A1081" s="8"/>
      <c r="B1081" s="10"/>
      <c r="C1081" s="11" t="s">
        <v>141</v>
      </c>
      <c r="D1081" s="82" t="s">
        <v>142</v>
      </c>
      <c r="E1081" s="13">
        <v>3300.0</v>
      </c>
      <c r="F1081" s="60">
        <v>3500.0</v>
      </c>
      <c r="G1081" s="14">
        <f t="shared" si="23"/>
        <v>0.06060606061</v>
      </c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r="1082" ht="14.25" customHeight="1">
      <c r="A1082" s="8"/>
      <c r="B1082" s="10"/>
      <c r="C1082" s="11" t="s">
        <v>143</v>
      </c>
      <c r="D1082" s="82" t="s">
        <v>144</v>
      </c>
      <c r="E1082" s="13">
        <v>32000.0</v>
      </c>
      <c r="F1082" s="13">
        <v>32000.0</v>
      </c>
      <c r="G1082" s="14">
        <f t="shared" si="23"/>
        <v>0</v>
      </c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r="1083" ht="14.25" customHeight="1">
      <c r="A1083" s="8"/>
      <c r="B1083" s="10"/>
      <c r="C1083" s="11" t="s">
        <v>211</v>
      </c>
      <c r="D1083" s="85" t="s">
        <v>266</v>
      </c>
      <c r="E1083" s="13">
        <v>53800.0</v>
      </c>
      <c r="F1083" s="60">
        <v>95000.0</v>
      </c>
      <c r="G1083" s="14">
        <f t="shared" si="23"/>
        <v>0.7657992565</v>
      </c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r="1084" ht="14.25" customHeight="1">
      <c r="A1084" s="8"/>
      <c r="B1084" s="10"/>
      <c r="C1084" s="11" t="s">
        <v>267</v>
      </c>
      <c r="D1084" s="42" t="s">
        <v>268</v>
      </c>
      <c r="E1084" s="50">
        <v>460000.0</v>
      </c>
      <c r="F1084" s="94">
        <v>590000.0</v>
      </c>
      <c r="G1084" s="14">
        <f t="shared" si="23"/>
        <v>0.2826086957</v>
      </c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r="1085" ht="14.25" customHeight="1">
      <c r="A1085" s="8"/>
      <c r="B1085" s="10"/>
      <c r="C1085" s="83" t="s">
        <v>269</v>
      </c>
      <c r="D1085" s="85" t="s">
        <v>270</v>
      </c>
      <c r="E1085" s="94">
        <v>0.0</v>
      </c>
      <c r="F1085" s="94">
        <v>65000.0</v>
      </c>
      <c r="G1085" s="14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r="1086" ht="14.25" customHeight="1">
      <c r="A1086" s="8"/>
      <c r="B1086" s="10"/>
      <c r="C1086" s="83" t="s">
        <v>271</v>
      </c>
      <c r="D1086" s="85" t="s">
        <v>272</v>
      </c>
      <c r="E1086" s="94">
        <v>0.0</v>
      </c>
      <c r="F1086" s="94">
        <v>25000.0</v>
      </c>
      <c r="G1086" s="14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r="1087" ht="14.25" customHeight="1">
      <c r="A1087" s="8"/>
      <c r="B1087" s="10"/>
      <c r="C1087" s="11" t="s">
        <v>147</v>
      </c>
      <c r="D1087" s="82" t="s">
        <v>148</v>
      </c>
      <c r="E1087" s="13">
        <v>72000.0</v>
      </c>
      <c r="F1087" s="60">
        <v>65000.0</v>
      </c>
      <c r="G1087" s="14">
        <f t="shared" ref="G1087:G1096" si="24">IFERROR(((F1087-E1087)/E1087), "")</f>
        <v>-0.09722222222</v>
      </c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r="1088" ht="14.25" customHeight="1">
      <c r="A1088" s="8"/>
      <c r="B1088" s="10"/>
      <c r="C1088" s="11" t="s">
        <v>149</v>
      </c>
      <c r="D1088" s="82" t="s">
        <v>150</v>
      </c>
      <c r="E1088" s="13">
        <v>100.0</v>
      </c>
      <c r="F1088" s="60">
        <v>5000.0</v>
      </c>
      <c r="G1088" s="14">
        <f t="shared" si="24"/>
        <v>49</v>
      </c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r="1089" ht="14.25" customHeight="1">
      <c r="A1089" s="8"/>
      <c r="B1089" s="32">
        <v>3380.0</v>
      </c>
      <c r="E1089" s="33">
        <v>820500.0</v>
      </c>
      <c r="F1089" s="33">
        <f>SUM(F1071:F1088)</f>
        <v>1098800</v>
      </c>
      <c r="G1089" s="14">
        <f t="shared" si="24"/>
        <v>0.3391834247</v>
      </c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r="1090" ht="14.25" customHeight="1">
      <c r="A1090" s="8"/>
      <c r="B1090" s="10"/>
      <c r="C1090" s="41"/>
      <c r="D1090" s="42"/>
      <c r="E1090" s="43"/>
      <c r="F1090" s="43"/>
      <c r="G1090" s="14" t="str">
        <f t="shared" si="24"/>
        <v/>
      </c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r="1091" ht="14.25" customHeight="1">
      <c r="A1091" s="8"/>
      <c r="B1091" s="44">
        <v>3410.0</v>
      </c>
      <c r="C1091" s="45"/>
      <c r="D1091" s="46" t="s">
        <v>86</v>
      </c>
      <c r="E1091" s="47">
        <v>2025.0</v>
      </c>
      <c r="F1091" s="48">
        <v>2026.0</v>
      </c>
      <c r="G1091" s="14">
        <f t="shared" si="24"/>
        <v>0.0004938271605</v>
      </c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r="1092" ht="14.25" customHeight="1">
      <c r="A1092" s="8"/>
      <c r="B1092" s="10"/>
      <c r="C1092" s="11" t="s">
        <v>107</v>
      </c>
      <c r="D1092" s="82" t="s">
        <v>108</v>
      </c>
      <c r="E1092" s="13">
        <v>20000.0</v>
      </c>
      <c r="F1092" s="60">
        <v>30000.0</v>
      </c>
      <c r="G1092" s="14">
        <f t="shared" si="24"/>
        <v>0.5</v>
      </c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r="1093" ht="14.25" customHeight="1">
      <c r="A1093" s="8"/>
      <c r="B1093" s="10"/>
      <c r="C1093" s="11" t="s">
        <v>180</v>
      </c>
      <c r="D1093" s="42" t="s">
        <v>181</v>
      </c>
      <c r="E1093" s="13">
        <v>1300.0</v>
      </c>
      <c r="F1093" s="13">
        <v>1300.0</v>
      </c>
      <c r="G1093" s="14">
        <f t="shared" si="24"/>
        <v>0</v>
      </c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r="1094" ht="14.25" customHeight="1">
      <c r="A1094" s="8"/>
      <c r="B1094" s="10"/>
      <c r="C1094" s="11" t="s">
        <v>141</v>
      </c>
      <c r="D1094" s="82" t="s">
        <v>142</v>
      </c>
      <c r="E1094" s="13">
        <v>2500.0</v>
      </c>
      <c r="F1094" s="13">
        <v>2500.0</v>
      </c>
      <c r="G1094" s="14">
        <f t="shared" si="24"/>
        <v>0</v>
      </c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r="1095" ht="14.25" customHeight="1">
      <c r="A1095" s="8"/>
      <c r="B1095" s="10"/>
      <c r="C1095" s="11" t="s">
        <v>143</v>
      </c>
      <c r="D1095" s="82" t="s">
        <v>144</v>
      </c>
      <c r="E1095" s="13">
        <v>40000.0</v>
      </c>
      <c r="F1095" s="13">
        <v>40000.0</v>
      </c>
      <c r="G1095" s="14">
        <f t="shared" si="24"/>
        <v>0</v>
      </c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r="1096" ht="14.25" customHeight="1">
      <c r="A1096" s="8"/>
      <c r="B1096" s="10"/>
      <c r="C1096" s="11" t="s">
        <v>211</v>
      </c>
      <c r="D1096" s="42" t="s">
        <v>212</v>
      </c>
      <c r="E1096" s="50">
        <v>275000.0</v>
      </c>
      <c r="F1096" s="94">
        <v>75000.0</v>
      </c>
      <c r="G1096" s="14">
        <f t="shared" si="24"/>
        <v>-0.7272727273</v>
      </c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r="1097" ht="14.25" customHeight="1">
      <c r="A1097" s="8"/>
      <c r="B1097" s="10"/>
      <c r="C1097" s="83" t="s">
        <v>238</v>
      </c>
      <c r="D1097" s="85" t="s">
        <v>273</v>
      </c>
      <c r="E1097" s="50"/>
      <c r="F1097" s="94">
        <v>15000.0</v>
      </c>
      <c r="G1097" s="14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r="1098" ht="14.25" customHeight="1">
      <c r="A1098" s="8"/>
      <c r="B1098" s="10"/>
      <c r="C1098" s="83" t="s">
        <v>260</v>
      </c>
      <c r="D1098" s="85" t="s">
        <v>274</v>
      </c>
      <c r="E1098" s="50"/>
      <c r="F1098" s="94">
        <v>230000.0</v>
      </c>
      <c r="G1098" s="14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r="1099" ht="14.25" customHeight="1">
      <c r="A1099" s="8"/>
      <c r="B1099" s="10"/>
      <c r="C1099" s="83" t="s">
        <v>262</v>
      </c>
      <c r="D1099" s="85" t="s">
        <v>275</v>
      </c>
      <c r="E1099" s="50"/>
      <c r="F1099" s="94">
        <v>50000.0</v>
      </c>
      <c r="G1099" s="14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r="1100" ht="14.25" customHeight="1">
      <c r="A1100" s="8"/>
      <c r="B1100" s="10"/>
      <c r="C1100" s="83" t="s">
        <v>276</v>
      </c>
      <c r="D1100" s="85" t="s">
        <v>277</v>
      </c>
      <c r="E1100" s="50"/>
      <c r="F1100" s="94">
        <v>10000.0</v>
      </c>
      <c r="G1100" s="14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r="1101" ht="14.25" customHeight="1">
      <c r="A1101" s="8"/>
      <c r="B1101" s="10"/>
      <c r="C1101" s="83" t="s">
        <v>278</v>
      </c>
      <c r="D1101" s="85" t="s">
        <v>279</v>
      </c>
      <c r="E1101" s="50"/>
      <c r="F1101" s="94">
        <v>12000.0</v>
      </c>
      <c r="G1101" s="14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r="1102" ht="14.25" customHeight="1">
      <c r="A1102" s="8"/>
      <c r="B1102" s="10"/>
      <c r="C1102" s="83" t="s">
        <v>280</v>
      </c>
      <c r="D1102" s="85" t="s">
        <v>281</v>
      </c>
      <c r="E1102" s="50"/>
      <c r="F1102" s="94">
        <v>15000.0</v>
      </c>
      <c r="G1102" s="14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r="1103" ht="14.25" customHeight="1">
      <c r="A1103" s="8"/>
      <c r="B1103" s="10"/>
      <c r="C1103" s="11" t="s">
        <v>147</v>
      </c>
      <c r="D1103" s="82" t="s">
        <v>148</v>
      </c>
      <c r="E1103" s="13">
        <v>30000.0</v>
      </c>
      <c r="F1103" s="13">
        <v>30000.0</v>
      </c>
      <c r="G1103" s="14">
        <f t="shared" ref="G1103:G1127" si="25">IFERROR(((F1103-E1103)/E1103), "")</f>
        <v>0</v>
      </c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r="1104" ht="14.25" customHeight="1">
      <c r="A1104" s="8"/>
      <c r="B1104" s="10"/>
      <c r="C1104" s="11" t="s">
        <v>149</v>
      </c>
      <c r="D1104" s="82" t="s">
        <v>150</v>
      </c>
      <c r="E1104" s="13">
        <v>40000.0</v>
      </c>
      <c r="F1104" s="60">
        <v>30000.0</v>
      </c>
      <c r="G1104" s="14">
        <f t="shared" si="25"/>
        <v>-0.25</v>
      </c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r="1105" ht="14.25" customHeight="1">
      <c r="A1105" s="8"/>
      <c r="B1105" s="32">
        <v>3410.0</v>
      </c>
      <c r="E1105" s="33">
        <v>408800.0</v>
      </c>
      <c r="F1105" s="33">
        <f>SUM(F1092:F1104)</f>
        <v>540800</v>
      </c>
      <c r="G1105" s="14">
        <f t="shared" si="25"/>
        <v>0.3228962818</v>
      </c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r="1106" ht="14.25" customHeight="1">
      <c r="A1106" s="8"/>
      <c r="B1106" s="10"/>
      <c r="C1106" s="11"/>
      <c r="D1106" s="12"/>
      <c r="E1106" s="13"/>
      <c r="F1106" s="13"/>
      <c r="G1106" s="14" t="str">
        <f t="shared" si="25"/>
        <v/>
      </c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r="1107" ht="14.25" customHeight="1">
      <c r="A1107" s="8"/>
      <c r="B1107" s="44">
        <v>3420.0</v>
      </c>
      <c r="C1107" s="45"/>
      <c r="D1107" s="46" t="s">
        <v>87</v>
      </c>
      <c r="E1107" s="47">
        <v>2025.0</v>
      </c>
      <c r="F1107" s="48">
        <v>2026.0</v>
      </c>
      <c r="G1107" s="14">
        <f t="shared" si="25"/>
        <v>0.0004938271605</v>
      </c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r="1108" ht="14.25" customHeight="1">
      <c r="A1108" s="8"/>
      <c r="B1108" s="10"/>
      <c r="C1108" s="11" t="s">
        <v>162</v>
      </c>
      <c r="D1108" s="82" t="s">
        <v>163</v>
      </c>
      <c r="E1108" s="13">
        <v>500.0</v>
      </c>
      <c r="F1108" s="13">
        <v>500.0</v>
      </c>
      <c r="G1108" s="14">
        <f t="shared" si="25"/>
        <v>0</v>
      </c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r="1109" ht="14.25" customHeight="1">
      <c r="A1109" s="8"/>
      <c r="B1109" s="10"/>
      <c r="C1109" s="11" t="s">
        <v>107</v>
      </c>
      <c r="D1109" s="82" t="s">
        <v>108</v>
      </c>
      <c r="E1109" s="13">
        <v>3800.0</v>
      </c>
      <c r="F1109" s="13">
        <v>3800.0</v>
      </c>
      <c r="G1109" s="14">
        <f t="shared" si="25"/>
        <v>0</v>
      </c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r="1110" ht="14.25" customHeight="1">
      <c r="A1110" s="8"/>
      <c r="B1110" s="10"/>
      <c r="C1110" s="11" t="s">
        <v>178</v>
      </c>
      <c r="D1110" s="82" t="s">
        <v>190</v>
      </c>
      <c r="E1110" s="13">
        <v>50000.0</v>
      </c>
      <c r="F1110" s="60">
        <v>100000.0</v>
      </c>
      <c r="G1110" s="14">
        <f t="shared" si="25"/>
        <v>1</v>
      </c>
      <c r="H1110" s="93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r="1111" ht="14.25" customHeight="1">
      <c r="A1111" s="8"/>
      <c r="B1111" s="10"/>
      <c r="C1111" s="11" t="s">
        <v>109</v>
      </c>
      <c r="D1111" s="82" t="s">
        <v>110</v>
      </c>
      <c r="E1111" s="13">
        <v>174000.0</v>
      </c>
      <c r="F1111" s="60">
        <v>160000.0</v>
      </c>
      <c r="G1111" s="14">
        <f t="shared" si="25"/>
        <v>-0.08045977011</v>
      </c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r="1112" ht="14.25" customHeight="1">
      <c r="A1112" s="8"/>
      <c r="B1112" s="10"/>
      <c r="C1112" s="11" t="s">
        <v>111</v>
      </c>
      <c r="D1112" s="82" t="s">
        <v>112</v>
      </c>
      <c r="E1112" s="13">
        <v>5000.0</v>
      </c>
      <c r="F1112" s="13">
        <v>5000.0</v>
      </c>
      <c r="G1112" s="14">
        <f t="shared" si="25"/>
        <v>0</v>
      </c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r="1113" ht="14.25" customHeight="1">
      <c r="A1113" s="8"/>
      <c r="B1113" s="10"/>
      <c r="C1113" s="11" t="s">
        <v>113</v>
      </c>
      <c r="D1113" s="82" t="s">
        <v>114</v>
      </c>
      <c r="E1113" s="13">
        <v>1000.0</v>
      </c>
      <c r="F1113" s="13">
        <v>1000.0</v>
      </c>
      <c r="G1113" s="14">
        <f t="shared" si="25"/>
        <v>0</v>
      </c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r="1114" ht="14.25" customHeight="1">
      <c r="A1114" s="8"/>
      <c r="B1114" s="10"/>
      <c r="C1114" s="11" t="s">
        <v>121</v>
      </c>
      <c r="D1114" s="82" t="s">
        <v>122</v>
      </c>
      <c r="E1114" s="13">
        <v>5500.0</v>
      </c>
      <c r="F1114" s="13">
        <v>5500.0</v>
      </c>
      <c r="G1114" s="14">
        <f t="shared" si="25"/>
        <v>0</v>
      </c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r="1115" ht="14.25" customHeight="1">
      <c r="A1115" s="8"/>
      <c r="B1115" s="10"/>
      <c r="C1115" s="11" t="s">
        <v>198</v>
      </c>
      <c r="D1115" s="82" t="s">
        <v>199</v>
      </c>
      <c r="E1115" s="13">
        <v>1000.0</v>
      </c>
      <c r="F1115" s="13">
        <v>1000.0</v>
      </c>
      <c r="G1115" s="14">
        <f t="shared" si="25"/>
        <v>0</v>
      </c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r="1116" ht="14.25" customHeight="1">
      <c r="A1116" s="8"/>
      <c r="B1116" s="10"/>
      <c r="C1116" s="11" t="s">
        <v>123</v>
      </c>
      <c r="D1116" s="82" t="s">
        <v>165</v>
      </c>
      <c r="E1116" s="13">
        <v>55000.0</v>
      </c>
      <c r="F1116" s="60">
        <v>100000.0</v>
      </c>
      <c r="G1116" s="14">
        <f t="shared" si="25"/>
        <v>0.8181818182</v>
      </c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r="1117" ht="14.25" customHeight="1">
      <c r="A1117" s="8"/>
      <c r="B1117" s="10"/>
      <c r="C1117" s="11" t="s">
        <v>125</v>
      </c>
      <c r="D1117" s="82" t="s">
        <v>126</v>
      </c>
      <c r="E1117" s="13">
        <v>30000.0</v>
      </c>
      <c r="F1117" s="13">
        <v>30000.0</v>
      </c>
      <c r="G1117" s="14">
        <f t="shared" si="25"/>
        <v>0</v>
      </c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r="1118" ht="14.25" customHeight="1">
      <c r="A1118" s="8"/>
      <c r="B1118" s="10"/>
      <c r="C1118" s="11" t="s">
        <v>226</v>
      </c>
      <c r="D1118" s="82" t="s">
        <v>256</v>
      </c>
      <c r="E1118" s="13">
        <v>30000.0</v>
      </c>
      <c r="F1118" s="60">
        <v>78000.0</v>
      </c>
      <c r="G1118" s="14">
        <f t="shared" si="25"/>
        <v>1.6</v>
      </c>
      <c r="H1118" s="93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r="1119" ht="14.25" customHeight="1">
      <c r="A1119" s="8"/>
      <c r="B1119" s="10"/>
      <c r="C1119" s="11" t="s">
        <v>127</v>
      </c>
      <c r="D1119" s="42" t="s">
        <v>128</v>
      </c>
      <c r="E1119" s="13">
        <v>10000.0</v>
      </c>
      <c r="F1119" s="60">
        <v>12000.0</v>
      </c>
      <c r="G1119" s="14">
        <f t="shared" si="25"/>
        <v>0.2</v>
      </c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r="1120" ht="14.25" customHeight="1">
      <c r="A1120" s="8"/>
      <c r="B1120" s="10"/>
      <c r="C1120" s="11" t="s">
        <v>129</v>
      </c>
      <c r="D1120" s="82" t="s">
        <v>130</v>
      </c>
      <c r="E1120" s="13">
        <v>2600.0</v>
      </c>
      <c r="F1120" s="13">
        <v>2600.0</v>
      </c>
      <c r="G1120" s="14">
        <f t="shared" si="25"/>
        <v>0</v>
      </c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r="1121" ht="14.25" customHeight="1">
      <c r="A1121" s="8"/>
      <c r="B1121" s="10"/>
      <c r="C1121" s="11" t="s">
        <v>131</v>
      </c>
      <c r="D1121" s="82" t="s">
        <v>132</v>
      </c>
      <c r="E1121" s="13">
        <v>12000.0</v>
      </c>
      <c r="F1121" s="13">
        <v>12000.0</v>
      </c>
      <c r="G1121" s="14">
        <f t="shared" si="25"/>
        <v>0</v>
      </c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r="1122" ht="14.25" customHeight="1">
      <c r="A1122" s="8"/>
      <c r="B1122" s="10"/>
      <c r="C1122" s="11" t="s">
        <v>133</v>
      </c>
      <c r="D1122" s="82" t="s">
        <v>134</v>
      </c>
      <c r="E1122" s="13">
        <v>2800.0</v>
      </c>
      <c r="F1122" s="13">
        <v>2800.0</v>
      </c>
      <c r="G1122" s="14">
        <f t="shared" si="25"/>
        <v>0</v>
      </c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r="1123" ht="14.25" customHeight="1">
      <c r="A1123" s="8"/>
      <c r="B1123" s="10"/>
      <c r="C1123" s="11" t="s">
        <v>137</v>
      </c>
      <c r="D1123" s="82" t="s">
        <v>138</v>
      </c>
      <c r="E1123" s="13">
        <v>800.0</v>
      </c>
      <c r="F1123" s="13">
        <v>800.0</v>
      </c>
      <c r="G1123" s="14">
        <f t="shared" si="25"/>
        <v>0</v>
      </c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r="1124" ht="14.25" customHeight="1">
      <c r="A1124" s="8"/>
      <c r="B1124" s="10"/>
      <c r="C1124" s="11" t="s">
        <v>139</v>
      </c>
      <c r="D1124" s="42" t="s">
        <v>140</v>
      </c>
      <c r="E1124" s="13">
        <v>500.0</v>
      </c>
      <c r="F1124" s="13">
        <v>500.0</v>
      </c>
      <c r="G1124" s="14">
        <f t="shared" si="25"/>
        <v>0</v>
      </c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r="1125" ht="14.25" customHeight="1">
      <c r="A1125" s="8"/>
      <c r="B1125" s="10"/>
      <c r="C1125" s="11" t="s">
        <v>145</v>
      </c>
      <c r="D1125" s="82" t="s">
        <v>146</v>
      </c>
      <c r="E1125" s="13">
        <v>10.0</v>
      </c>
      <c r="F1125" s="13">
        <v>10.0</v>
      </c>
      <c r="G1125" s="14">
        <f t="shared" si="25"/>
        <v>0</v>
      </c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r="1126" ht="14.25" customHeight="1">
      <c r="A1126" s="8"/>
      <c r="B1126" s="10"/>
      <c r="C1126" s="11" t="s">
        <v>147</v>
      </c>
      <c r="D1126" s="82" t="s">
        <v>148</v>
      </c>
      <c r="E1126" s="13">
        <v>1800.0</v>
      </c>
      <c r="F1126" s="13">
        <v>1800.0</v>
      </c>
      <c r="G1126" s="14">
        <f t="shared" si="25"/>
        <v>0</v>
      </c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r="1127" ht="14.25" customHeight="1">
      <c r="A1127" s="8"/>
      <c r="B1127" s="10"/>
      <c r="C1127" s="11" t="s">
        <v>149</v>
      </c>
      <c r="D1127" s="82" t="s">
        <v>150</v>
      </c>
      <c r="E1127" s="13">
        <v>515000.0</v>
      </c>
      <c r="F1127" s="60">
        <v>54000.0</v>
      </c>
      <c r="G1127" s="14">
        <f t="shared" si="25"/>
        <v>-0.8951456311</v>
      </c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r="1128" ht="14.25" customHeight="1">
      <c r="A1128" s="8"/>
      <c r="B1128" s="10"/>
      <c r="C1128" s="83" t="s">
        <v>157</v>
      </c>
      <c r="D1128" s="84" t="s">
        <v>282</v>
      </c>
      <c r="E1128" s="13"/>
      <c r="F1128" s="60">
        <v>420000.0</v>
      </c>
      <c r="G1128" s="14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r="1129" ht="14.25" customHeight="1">
      <c r="A1129" s="8"/>
      <c r="B1129" s="10"/>
      <c r="C1129" s="83" t="s">
        <v>159</v>
      </c>
      <c r="D1129" s="84" t="s">
        <v>283</v>
      </c>
      <c r="E1129" s="13"/>
      <c r="F1129" s="60">
        <v>160000.0</v>
      </c>
      <c r="G1129" s="14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r="1130" ht="14.25" customHeight="1">
      <c r="A1130" s="8"/>
      <c r="B1130" s="10"/>
      <c r="C1130" s="11" t="s">
        <v>151</v>
      </c>
      <c r="D1130" s="82" t="s">
        <v>152</v>
      </c>
      <c r="E1130" s="13">
        <v>500.0</v>
      </c>
      <c r="F1130" s="13">
        <v>500.0</v>
      </c>
      <c r="G1130" s="14">
        <f t="shared" ref="G1130:G1134" si="26">IFERROR(((F1130-E1130)/E1130), "")</f>
        <v>0</v>
      </c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r="1131" ht="14.25" customHeight="1">
      <c r="A1131" s="8"/>
      <c r="B1131" s="32">
        <v>3420.0</v>
      </c>
      <c r="E1131" s="33">
        <v>901810.0</v>
      </c>
      <c r="F1131" s="33">
        <f>SUM(F1108:F1130)</f>
        <v>1151810</v>
      </c>
      <c r="G1131" s="14">
        <f t="shared" si="26"/>
        <v>0.277220257</v>
      </c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r="1132" ht="14.25" customHeight="1">
      <c r="A1132" s="8"/>
      <c r="B1132" s="10"/>
      <c r="C1132" s="41"/>
      <c r="D1132" s="42"/>
      <c r="E1132" s="13"/>
      <c r="F1132" s="13"/>
      <c r="G1132" s="14" t="str">
        <f t="shared" si="26"/>
        <v/>
      </c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r="1133" ht="14.25" customHeight="1">
      <c r="A1133" s="8"/>
      <c r="B1133" s="44">
        <v>4220.0</v>
      </c>
      <c r="C1133" s="45"/>
      <c r="D1133" s="46" t="s">
        <v>284</v>
      </c>
      <c r="E1133" s="47">
        <v>2025.0</v>
      </c>
      <c r="F1133" s="48">
        <v>2026.0</v>
      </c>
      <c r="G1133" s="14">
        <f t="shared" si="26"/>
        <v>0.0004938271605</v>
      </c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r="1134" ht="14.25" customHeight="1">
      <c r="A1134" s="8"/>
      <c r="B1134" s="10"/>
      <c r="C1134" s="11" t="s">
        <v>147</v>
      </c>
      <c r="D1134" s="82" t="s">
        <v>148</v>
      </c>
      <c r="E1134" s="13">
        <v>50000.0</v>
      </c>
      <c r="F1134" s="60">
        <v>30000.0</v>
      </c>
      <c r="G1134" s="14">
        <f t="shared" si="26"/>
        <v>-0.4</v>
      </c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r="1135" ht="14.25" customHeight="1">
      <c r="A1135" s="8"/>
      <c r="B1135" s="10"/>
      <c r="C1135" s="11" t="s">
        <v>169</v>
      </c>
      <c r="D1135" s="82" t="s">
        <v>170</v>
      </c>
      <c r="E1135" s="13"/>
      <c r="F1135" s="60">
        <v>20000.0</v>
      </c>
      <c r="G1135" s="14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r="1136" ht="14.25" customHeight="1">
      <c r="A1136" s="8"/>
      <c r="B1136" s="32">
        <v>4220.0</v>
      </c>
      <c r="E1136" s="33">
        <v>50000.0</v>
      </c>
      <c r="F1136" s="33">
        <f>SUM(F1134:F1135)</f>
        <v>50000</v>
      </c>
      <c r="G1136" s="14">
        <f t="shared" ref="G1136:G1146" si="27">IFERROR(((F1136-E1136)/E1136), "")</f>
        <v>0</v>
      </c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r="1137" ht="14.25" customHeight="1">
      <c r="A1137" s="8"/>
      <c r="B1137" s="10"/>
      <c r="C1137" s="11"/>
      <c r="D1137" s="82"/>
      <c r="E1137" s="13"/>
      <c r="F1137" s="13"/>
      <c r="G1137" s="14" t="str">
        <f t="shared" si="27"/>
        <v/>
      </c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r="1138" ht="14.25" customHeight="1">
      <c r="A1138" s="8"/>
      <c r="B1138" s="44">
        <v>4310.0</v>
      </c>
      <c r="C1138" s="45"/>
      <c r="D1138" s="46" t="s">
        <v>285</v>
      </c>
      <c r="E1138" s="47">
        <v>2025.0</v>
      </c>
      <c r="F1138" s="48">
        <v>2026.0</v>
      </c>
      <c r="G1138" s="14">
        <f t="shared" si="27"/>
        <v>0.0004938271605</v>
      </c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r="1139" ht="14.25" customHeight="1">
      <c r="A1139" s="8"/>
      <c r="B1139" s="10"/>
      <c r="C1139" s="11" t="s">
        <v>107</v>
      </c>
      <c r="D1139" s="82" t="s">
        <v>108</v>
      </c>
      <c r="E1139" s="13">
        <v>1300.0</v>
      </c>
      <c r="F1139" s="13">
        <v>1300.0</v>
      </c>
      <c r="G1139" s="14">
        <f t="shared" si="27"/>
        <v>0</v>
      </c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r="1140" ht="14.25" customHeight="1">
      <c r="A1140" s="49"/>
      <c r="B1140" s="49"/>
      <c r="C1140" s="88" t="s">
        <v>143</v>
      </c>
      <c r="D1140" s="89" t="s">
        <v>286</v>
      </c>
      <c r="E1140" s="92">
        <v>6000.0</v>
      </c>
      <c r="F1140" s="92">
        <v>6000.0</v>
      </c>
      <c r="G1140" s="14">
        <f t="shared" si="27"/>
        <v>0</v>
      </c>
      <c r="H1140" s="49"/>
      <c r="I1140" s="49"/>
      <c r="J1140" s="49"/>
      <c r="K1140" s="49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r="1141" ht="14.25" customHeight="1">
      <c r="A1141" s="8"/>
      <c r="B1141" s="10"/>
      <c r="C1141" s="11" t="s">
        <v>145</v>
      </c>
      <c r="D1141" s="82" t="s">
        <v>146</v>
      </c>
      <c r="E1141" s="13">
        <v>200.0</v>
      </c>
      <c r="F1141" s="13">
        <v>200.0</v>
      </c>
      <c r="G1141" s="14">
        <f t="shared" si="27"/>
        <v>0</v>
      </c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r="1142" ht="14.25" customHeight="1">
      <c r="A1142" s="8"/>
      <c r="B1142" s="10"/>
      <c r="C1142" s="11" t="s">
        <v>147</v>
      </c>
      <c r="D1142" s="82" t="s">
        <v>148</v>
      </c>
      <c r="E1142" s="13">
        <v>24500.0</v>
      </c>
      <c r="F1142" s="13">
        <v>24500.0</v>
      </c>
      <c r="G1142" s="14">
        <f t="shared" si="27"/>
        <v>0</v>
      </c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r="1143" ht="14.25" customHeight="1">
      <c r="A1143" s="8"/>
      <c r="B1143" s="32">
        <v>4310.0</v>
      </c>
      <c r="E1143" s="33">
        <v>32000.0</v>
      </c>
      <c r="F1143" s="33">
        <f>SUM(F1139:F1142)</f>
        <v>32000</v>
      </c>
      <c r="G1143" s="14">
        <f t="shared" si="27"/>
        <v>0</v>
      </c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r="1144" ht="14.25" customHeight="1">
      <c r="A1144" s="8"/>
      <c r="B1144" s="10"/>
      <c r="C1144" s="41"/>
      <c r="D1144" s="42"/>
      <c r="E1144" s="13"/>
      <c r="F1144" s="13"/>
      <c r="G1144" s="14" t="str">
        <f t="shared" si="27"/>
        <v/>
      </c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r="1145" ht="14.25" customHeight="1">
      <c r="A1145" s="8"/>
      <c r="B1145" s="44">
        <v>4311.0</v>
      </c>
      <c r="C1145" s="45"/>
      <c r="D1145" s="46" t="s">
        <v>287</v>
      </c>
      <c r="E1145" s="47">
        <v>2025.0</v>
      </c>
      <c r="F1145" s="48">
        <v>2026.0</v>
      </c>
      <c r="G1145" s="14">
        <f t="shared" si="27"/>
        <v>0.0004938271605</v>
      </c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r="1146" ht="14.25" customHeight="1">
      <c r="A1146" s="8"/>
      <c r="B1146" s="10"/>
      <c r="C1146" s="11" t="s">
        <v>107</v>
      </c>
      <c r="D1146" s="82" t="s">
        <v>108</v>
      </c>
      <c r="E1146" s="13">
        <v>25000.0</v>
      </c>
      <c r="F1146" s="60">
        <v>50000.0</v>
      </c>
      <c r="G1146" s="14">
        <f t="shared" si="27"/>
        <v>1</v>
      </c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r="1147" ht="14.25" customHeight="1">
      <c r="A1147" s="8"/>
      <c r="B1147" s="10"/>
      <c r="C1147" s="11" t="s">
        <v>143</v>
      </c>
      <c r="D1147" s="82" t="s">
        <v>286</v>
      </c>
      <c r="E1147" s="60">
        <v>0.0</v>
      </c>
      <c r="F1147" s="60">
        <v>25000.0</v>
      </c>
      <c r="G1147" s="14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r="1148" ht="14.25" customHeight="1">
      <c r="A1148" s="8"/>
      <c r="B1148" s="10"/>
      <c r="C1148" s="11" t="s">
        <v>147</v>
      </c>
      <c r="D1148" s="82" t="s">
        <v>148</v>
      </c>
      <c r="E1148" s="13">
        <v>75000.0</v>
      </c>
      <c r="F1148" s="60">
        <v>40000.0</v>
      </c>
      <c r="G1148" s="14">
        <f>IFERROR(((F1148-E1148)/E1148), "")</f>
        <v>-0.4666666667</v>
      </c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r="1149" ht="14.25" customHeight="1">
      <c r="A1149" s="8"/>
      <c r="B1149" s="10"/>
      <c r="C1149" s="83" t="s">
        <v>257</v>
      </c>
      <c r="D1149" s="84" t="s">
        <v>288</v>
      </c>
      <c r="E1149" s="13"/>
      <c r="F1149" s="60">
        <v>38000.0</v>
      </c>
      <c r="G1149" s="14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r="1150" ht="14.25" customHeight="1">
      <c r="A1150" s="8"/>
      <c r="B1150" s="10"/>
      <c r="C1150" s="83" t="s">
        <v>289</v>
      </c>
      <c r="D1150" s="84" t="s">
        <v>290</v>
      </c>
      <c r="E1150" s="13"/>
      <c r="F1150" s="60">
        <v>50000.0</v>
      </c>
      <c r="G1150" s="14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r="1151" ht="14.25" customHeight="1">
      <c r="A1151" s="8"/>
      <c r="B1151" s="32">
        <v>4311.0</v>
      </c>
      <c r="E1151" s="33">
        <v>100000.0</v>
      </c>
      <c r="F1151" s="33">
        <f>SUM(F1146:F1150)</f>
        <v>203000</v>
      </c>
      <c r="G1151" s="14">
        <f t="shared" ref="G1151:G1159" si="28">IFERROR(((F1151-E1151)/E1151), "")</f>
        <v>1.03</v>
      </c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r="1152" ht="14.25" customHeight="1">
      <c r="A1152" s="8"/>
      <c r="B1152" s="10"/>
      <c r="C1152" s="11"/>
      <c r="D1152" s="12"/>
      <c r="E1152" s="13"/>
      <c r="F1152" s="13"/>
      <c r="G1152" s="14" t="str">
        <f t="shared" si="28"/>
        <v/>
      </c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r="1153" ht="14.25" customHeight="1">
      <c r="A1153" s="8"/>
      <c r="B1153" s="44">
        <v>4320.0</v>
      </c>
      <c r="C1153" s="45"/>
      <c r="D1153" s="46" t="s">
        <v>88</v>
      </c>
      <c r="E1153" s="47">
        <v>2025.0</v>
      </c>
      <c r="F1153" s="48">
        <v>2026.0</v>
      </c>
      <c r="G1153" s="14">
        <f t="shared" si="28"/>
        <v>0.0004938271605</v>
      </c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r="1154" ht="14.25" customHeight="1">
      <c r="A1154" s="8"/>
      <c r="B1154" s="10"/>
      <c r="C1154" s="11" t="s">
        <v>162</v>
      </c>
      <c r="D1154" s="82" t="s">
        <v>163</v>
      </c>
      <c r="E1154" s="13">
        <v>6000.0</v>
      </c>
      <c r="F1154" s="13">
        <v>6000.0</v>
      </c>
      <c r="G1154" s="14">
        <f t="shared" si="28"/>
        <v>0</v>
      </c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r="1155" ht="14.25" customHeight="1">
      <c r="A1155" s="8"/>
      <c r="B1155" s="10"/>
      <c r="C1155" s="11" t="s">
        <v>107</v>
      </c>
      <c r="D1155" s="82" t="s">
        <v>108</v>
      </c>
      <c r="E1155" s="13">
        <v>18000.0</v>
      </c>
      <c r="F1155" s="13">
        <v>18000.0</v>
      </c>
      <c r="G1155" s="14">
        <f t="shared" si="28"/>
        <v>0</v>
      </c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r="1156" ht="14.25" customHeight="1">
      <c r="A1156" s="8"/>
      <c r="B1156" s="10"/>
      <c r="C1156" s="11" t="s">
        <v>109</v>
      </c>
      <c r="D1156" s="82" t="s">
        <v>110</v>
      </c>
      <c r="E1156" s="13">
        <v>6700.0</v>
      </c>
      <c r="F1156" s="13">
        <v>6700.0</v>
      </c>
      <c r="G1156" s="14">
        <f t="shared" si="28"/>
        <v>0</v>
      </c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r="1157" ht="14.25" customHeight="1">
      <c r="A1157" s="8"/>
      <c r="B1157" s="10"/>
      <c r="C1157" s="11" t="s">
        <v>111</v>
      </c>
      <c r="D1157" s="82" t="s">
        <v>112</v>
      </c>
      <c r="E1157" s="13">
        <v>10000.0</v>
      </c>
      <c r="F1157" s="13">
        <v>10000.0</v>
      </c>
      <c r="G1157" s="14">
        <f t="shared" si="28"/>
        <v>0</v>
      </c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r="1158" ht="14.25" customHeight="1">
      <c r="A1158" s="8"/>
      <c r="B1158" s="10"/>
      <c r="C1158" s="11" t="s">
        <v>121</v>
      </c>
      <c r="D1158" s="82" t="s">
        <v>122</v>
      </c>
      <c r="E1158" s="13">
        <v>500.0</v>
      </c>
      <c r="F1158" s="13">
        <v>500.0</v>
      </c>
      <c r="G1158" s="14">
        <f t="shared" si="28"/>
        <v>0</v>
      </c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r="1159" ht="14.25" customHeight="1">
      <c r="A1159" s="8"/>
      <c r="B1159" s="10"/>
      <c r="C1159" s="11" t="s">
        <v>123</v>
      </c>
      <c r="D1159" s="82" t="s">
        <v>165</v>
      </c>
      <c r="E1159" s="13">
        <v>1000.0</v>
      </c>
      <c r="F1159" s="13">
        <v>1000.0</v>
      </c>
      <c r="G1159" s="14">
        <f t="shared" si="28"/>
        <v>0</v>
      </c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r="1160" ht="14.25" customHeight="1">
      <c r="A1160" s="8"/>
      <c r="B1160" s="10"/>
      <c r="C1160" s="83" t="s">
        <v>291</v>
      </c>
      <c r="D1160" s="84" t="s">
        <v>292</v>
      </c>
      <c r="E1160" s="13"/>
      <c r="F1160" s="60">
        <v>25000.0</v>
      </c>
      <c r="G1160" s="14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r="1161" ht="14.25" customHeight="1">
      <c r="A1161" s="8"/>
      <c r="B1161" s="10"/>
      <c r="C1161" s="11" t="s">
        <v>131</v>
      </c>
      <c r="D1161" s="82" t="s">
        <v>132</v>
      </c>
      <c r="E1161" s="13">
        <v>2000.0</v>
      </c>
      <c r="F1161" s="13">
        <v>2000.0</v>
      </c>
      <c r="G1161" s="14">
        <f t="shared" ref="G1161:G1166" si="29">IFERROR(((F1161-E1161)/E1161), "")</f>
        <v>0</v>
      </c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r="1162" ht="14.25" customHeight="1">
      <c r="A1162" s="8"/>
      <c r="B1162" s="10"/>
      <c r="C1162" s="11" t="s">
        <v>133</v>
      </c>
      <c r="D1162" s="42" t="s">
        <v>134</v>
      </c>
      <c r="E1162" s="13">
        <v>500.0</v>
      </c>
      <c r="F1162" s="13">
        <v>500.0</v>
      </c>
      <c r="G1162" s="14">
        <f t="shared" si="29"/>
        <v>0</v>
      </c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r="1163" ht="14.25" customHeight="1">
      <c r="A1163" s="8"/>
      <c r="B1163" s="10"/>
      <c r="C1163" s="11" t="s">
        <v>137</v>
      </c>
      <c r="D1163" s="82" t="s">
        <v>138</v>
      </c>
      <c r="E1163" s="13">
        <v>1200.0</v>
      </c>
      <c r="F1163" s="13">
        <v>1200.0</v>
      </c>
      <c r="G1163" s="14">
        <f t="shared" si="29"/>
        <v>0</v>
      </c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r="1164" ht="14.25" customHeight="1">
      <c r="A1164" s="8"/>
      <c r="B1164" s="10"/>
      <c r="C1164" s="11" t="s">
        <v>141</v>
      </c>
      <c r="D1164" s="42" t="s">
        <v>142</v>
      </c>
      <c r="E1164" s="13">
        <v>1600.0</v>
      </c>
      <c r="F1164" s="13">
        <v>1600.0</v>
      </c>
      <c r="G1164" s="14">
        <f t="shared" si="29"/>
        <v>0</v>
      </c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r="1165" ht="14.25" customHeight="1">
      <c r="A1165" s="8"/>
      <c r="B1165" s="10"/>
      <c r="C1165" s="11" t="s">
        <v>143</v>
      </c>
      <c r="D1165" s="82" t="s">
        <v>286</v>
      </c>
      <c r="E1165" s="13">
        <v>75000.0</v>
      </c>
      <c r="F1165" s="13">
        <v>75000.0</v>
      </c>
      <c r="G1165" s="14">
        <f t="shared" si="29"/>
        <v>0</v>
      </c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r="1166" ht="14.25" customHeight="1">
      <c r="A1166" s="8"/>
      <c r="B1166" s="10"/>
      <c r="C1166" s="11" t="s">
        <v>211</v>
      </c>
      <c r="D1166" s="82" t="s">
        <v>212</v>
      </c>
      <c r="E1166" s="13">
        <v>10000.0</v>
      </c>
      <c r="F1166" s="60">
        <v>5000.0</v>
      </c>
      <c r="G1166" s="14">
        <f t="shared" si="29"/>
        <v>-0.5</v>
      </c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r="1167" ht="14.25" customHeight="1">
      <c r="A1167" s="8"/>
      <c r="B1167" s="10"/>
      <c r="C1167" s="83" t="s">
        <v>238</v>
      </c>
      <c r="D1167" s="84" t="s">
        <v>293</v>
      </c>
      <c r="E1167" s="13"/>
      <c r="F1167" s="60">
        <v>80000.0</v>
      </c>
      <c r="G1167" s="14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r="1168" ht="14.25" customHeight="1">
      <c r="A1168" s="8"/>
      <c r="B1168" s="10"/>
      <c r="C1168" s="83" t="s">
        <v>260</v>
      </c>
      <c r="D1168" s="84" t="s">
        <v>294</v>
      </c>
      <c r="E1168" s="13"/>
      <c r="F1168" s="60">
        <v>41000.0</v>
      </c>
      <c r="G1168" s="14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r="1169" ht="14.25" customHeight="1">
      <c r="A1169" s="8"/>
      <c r="B1169" s="10"/>
      <c r="C1169" s="83" t="s">
        <v>262</v>
      </c>
      <c r="D1169" s="84" t="s">
        <v>295</v>
      </c>
      <c r="E1169" s="13"/>
      <c r="F1169" s="60">
        <v>5000.0</v>
      </c>
      <c r="G1169" s="14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r="1170" ht="14.25" customHeight="1">
      <c r="A1170" s="8"/>
      <c r="B1170" s="10"/>
      <c r="C1170" s="83" t="s">
        <v>276</v>
      </c>
      <c r="D1170" s="84" t="s">
        <v>296</v>
      </c>
      <c r="E1170" s="13"/>
      <c r="F1170" s="60">
        <v>5000.0</v>
      </c>
      <c r="G1170" s="14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r="1171" ht="14.25" customHeight="1">
      <c r="A1171" s="8"/>
      <c r="B1171" s="10"/>
      <c r="C1171" s="83" t="s">
        <v>278</v>
      </c>
      <c r="D1171" s="84" t="s">
        <v>297</v>
      </c>
      <c r="E1171" s="13"/>
      <c r="F1171" s="60">
        <v>8000.0</v>
      </c>
      <c r="G1171" s="14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r="1172" ht="14.25" customHeight="1">
      <c r="A1172" s="8"/>
      <c r="B1172" s="10"/>
      <c r="C1172" s="83" t="s">
        <v>280</v>
      </c>
      <c r="D1172" s="84" t="s">
        <v>298</v>
      </c>
      <c r="E1172" s="13"/>
      <c r="F1172" s="60">
        <v>6000.0</v>
      </c>
      <c r="G1172" s="14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r="1173" ht="14.25" customHeight="1">
      <c r="A1173" s="8"/>
      <c r="B1173" s="10"/>
      <c r="C1173" s="83" t="s">
        <v>299</v>
      </c>
      <c r="D1173" s="84" t="s">
        <v>300</v>
      </c>
      <c r="E1173" s="13"/>
      <c r="F1173" s="60">
        <v>50000.0</v>
      </c>
      <c r="G1173" s="14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r="1174" ht="14.25" customHeight="1">
      <c r="A1174" s="8"/>
      <c r="B1174" s="10"/>
      <c r="C1174" s="11" t="s">
        <v>147</v>
      </c>
      <c r="D1174" s="82" t="s">
        <v>301</v>
      </c>
      <c r="E1174" s="13">
        <v>120000.0</v>
      </c>
      <c r="F1174" s="60">
        <v>10000.0</v>
      </c>
      <c r="G1174" s="14">
        <f>IFERROR(((F1174-E1174)/E1174), "")</f>
        <v>-0.9166666667</v>
      </c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r="1175" ht="14.25" customHeight="1">
      <c r="A1175" s="8"/>
      <c r="B1175" s="10"/>
      <c r="C1175" s="83" t="s">
        <v>257</v>
      </c>
      <c r="D1175" s="84" t="s">
        <v>302</v>
      </c>
      <c r="E1175" s="13"/>
      <c r="F1175" s="60">
        <v>40000.0</v>
      </c>
      <c r="G1175" s="14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r="1176" ht="14.25" customHeight="1">
      <c r="A1176" s="8"/>
      <c r="B1176" s="10"/>
      <c r="C1176" s="11" t="s">
        <v>169</v>
      </c>
      <c r="D1176" s="82" t="s">
        <v>170</v>
      </c>
      <c r="E1176" s="13">
        <v>30000.0</v>
      </c>
      <c r="F1176" s="60">
        <v>18200.0</v>
      </c>
      <c r="G1176" s="14">
        <f t="shared" ref="G1176:G1200" si="30">IFERROR(((F1176-E1176)/E1176), "")</f>
        <v>-0.3933333333</v>
      </c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r="1177" ht="14.25" customHeight="1">
      <c r="A1177" s="8"/>
      <c r="B1177" s="10"/>
      <c r="C1177" s="11" t="s">
        <v>151</v>
      </c>
      <c r="D1177" s="82" t="s">
        <v>152</v>
      </c>
      <c r="E1177" s="13">
        <v>1500.0</v>
      </c>
      <c r="F1177" s="13">
        <v>1500.0</v>
      </c>
      <c r="G1177" s="14">
        <f t="shared" si="30"/>
        <v>0</v>
      </c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r="1178" ht="14.25" customHeight="1">
      <c r="A1178" s="8"/>
      <c r="B1178" s="32">
        <v>4320.0</v>
      </c>
      <c r="E1178" s="33">
        <v>284000.0</v>
      </c>
      <c r="F1178" s="33">
        <f>SUM(F1154:F1177)</f>
        <v>417200</v>
      </c>
      <c r="G1178" s="14">
        <f t="shared" si="30"/>
        <v>0.4690140845</v>
      </c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r="1179" ht="14.25" customHeight="1">
      <c r="A1179" s="8"/>
      <c r="B1179" s="10"/>
      <c r="C1179" s="11"/>
      <c r="D1179" s="12"/>
      <c r="E1179" s="13"/>
      <c r="F1179" s="13"/>
      <c r="G1179" s="14" t="str">
        <f t="shared" si="30"/>
        <v/>
      </c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r="1180" ht="14.25" customHeight="1">
      <c r="A1180" s="8"/>
      <c r="B1180" s="44">
        <v>4321.0</v>
      </c>
      <c r="C1180" s="45"/>
      <c r="D1180" s="46" t="s">
        <v>303</v>
      </c>
      <c r="E1180" s="47">
        <v>2025.0</v>
      </c>
      <c r="F1180" s="48">
        <v>2026.0</v>
      </c>
      <c r="G1180" s="14">
        <f t="shared" si="30"/>
        <v>0.0004938271605</v>
      </c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r="1181" ht="14.25" customHeight="1">
      <c r="A1181" s="8"/>
      <c r="B1181" s="10"/>
      <c r="C1181" s="11" t="s">
        <v>141</v>
      </c>
      <c r="D1181" s="42" t="s">
        <v>142</v>
      </c>
      <c r="E1181" s="13">
        <v>5000.0</v>
      </c>
      <c r="F1181" s="13">
        <v>5000.0</v>
      </c>
      <c r="G1181" s="14">
        <f t="shared" si="30"/>
        <v>0</v>
      </c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r="1182" ht="14.25" customHeight="1">
      <c r="A1182" s="8"/>
      <c r="B1182" s="10"/>
      <c r="C1182" s="11" t="s">
        <v>143</v>
      </c>
      <c r="D1182" s="82" t="s">
        <v>144</v>
      </c>
      <c r="E1182" s="13">
        <v>200.0</v>
      </c>
      <c r="F1182" s="13">
        <v>200.0</v>
      </c>
      <c r="G1182" s="14">
        <f t="shared" si="30"/>
        <v>0</v>
      </c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r="1183" ht="14.25" customHeight="1">
      <c r="A1183" s="8"/>
      <c r="B1183" s="10"/>
      <c r="C1183" s="11" t="s">
        <v>211</v>
      </c>
      <c r="D1183" s="42" t="s">
        <v>212</v>
      </c>
      <c r="E1183" s="13">
        <v>23500.0</v>
      </c>
      <c r="F1183" s="60">
        <v>33500.0</v>
      </c>
      <c r="G1183" s="14">
        <f t="shared" si="30"/>
        <v>0.4255319149</v>
      </c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r="1184" ht="14.25" customHeight="1">
      <c r="A1184" s="8"/>
      <c r="B1184" s="10"/>
      <c r="C1184" s="11" t="s">
        <v>147</v>
      </c>
      <c r="D1184" s="82" t="s">
        <v>148</v>
      </c>
      <c r="E1184" s="13">
        <v>10000.0</v>
      </c>
      <c r="F1184" s="60">
        <v>10000.0</v>
      </c>
      <c r="G1184" s="14">
        <f t="shared" si="30"/>
        <v>0</v>
      </c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r="1185" ht="14.25" customHeight="1">
      <c r="A1185" s="8"/>
      <c r="B1185" s="32">
        <v>4321.0</v>
      </c>
      <c r="E1185" s="33">
        <v>38700.0</v>
      </c>
      <c r="F1185" s="33">
        <f>SUM(F1181:F1184)</f>
        <v>48700</v>
      </c>
      <c r="G1185" s="14">
        <f t="shared" si="30"/>
        <v>0.2583979328</v>
      </c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r="1186" ht="14.25" customHeight="1">
      <c r="A1186" s="8"/>
      <c r="B1186" s="10"/>
      <c r="C1186" s="11"/>
      <c r="D1186" s="12"/>
      <c r="E1186" s="13"/>
      <c r="F1186" s="13"/>
      <c r="G1186" s="14" t="str">
        <f t="shared" si="30"/>
        <v/>
      </c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r="1187" ht="14.25" customHeight="1">
      <c r="A1187" s="8"/>
      <c r="B1187" s="44">
        <v>4330.0</v>
      </c>
      <c r="C1187" s="45"/>
      <c r="D1187" s="46" t="s">
        <v>89</v>
      </c>
      <c r="E1187" s="47">
        <v>2025.0</v>
      </c>
      <c r="F1187" s="48">
        <v>2026.0</v>
      </c>
      <c r="G1187" s="14">
        <f t="shared" si="30"/>
        <v>0.0004938271605</v>
      </c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r="1188" ht="14.25" customHeight="1">
      <c r="A1188" s="8"/>
      <c r="B1188" s="10"/>
      <c r="C1188" s="11" t="s">
        <v>107</v>
      </c>
      <c r="D1188" s="82" t="s">
        <v>108</v>
      </c>
      <c r="E1188" s="13">
        <v>39000.0</v>
      </c>
      <c r="F1188" s="13">
        <v>39000.0</v>
      </c>
      <c r="G1188" s="14">
        <f t="shared" si="30"/>
        <v>0</v>
      </c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r="1189" ht="14.25" customHeight="1">
      <c r="A1189" s="8"/>
      <c r="B1189" s="10"/>
      <c r="C1189" s="11" t="s">
        <v>109</v>
      </c>
      <c r="D1189" s="82" t="s">
        <v>110</v>
      </c>
      <c r="E1189" s="13">
        <v>70000.0</v>
      </c>
      <c r="F1189" s="13">
        <v>70000.0</v>
      </c>
      <c r="G1189" s="14">
        <f t="shared" si="30"/>
        <v>0</v>
      </c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r="1190" ht="14.25" customHeight="1">
      <c r="A1190" s="8"/>
      <c r="B1190" s="10"/>
      <c r="C1190" s="11" t="s">
        <v>121</v>
      </c>
      <c r="D1190" s="82" t="s">
        <v>122</v>
      </c>
      <c r="E1190" s="13">
        <v>3600.0</v>
      </c>
      <c r="F1190" s="13">
        <v>3600.0</v>
      </c>
      <c r="G1190" s="14">
        <f t="shared" si="30"/>
        <v>0</v>
      </c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r="1191" ht="14.25" customHeight="1">
      <c r="A1191" s="8"/>
      <c r="B1191" s="10"/>
      <c r="C1191" s="11" t="s">
        <v>166</v>
      </c>
      <c r="D1191" s="42" t="s">
        <v>235</v>
      </c>
      <c r="E1191" s="13">
        <v>4000.0</v>
      </c>
      <c r="F1191" s="13">
        <v>4000.0</v>
      </c>
      <c r="G1191" s="14">
        <f t="shared" si="30"/>
        <v>0</v>
      </c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r="1192" ht="14.25" customHeight="1">
      <c r="A1192" s="8"/>
      <c r="B1192" s="10"/>
      <c r="C1192" s="11" t="s">
        <v>123</v>
      </c>
      <c r="D1192" s="82" t="s">
        <v>165</v>
      </c>
      <c r="E1192" s="13">
        <v>40000.0</v>
      </c>
      <c r="F1192" s="13">
        <v>40000.0</v>
      </c>
      <c r="G1192" s="14">
        <f t="shared" si="30"/>
        <v>0</v>
      </c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r="1193" ht="14.25" customHeight="1">
      <c r="A1193" s="8"/>
      <c r="B1193" s="10"/>
      <c r="C1193" s="11" t="s">
        <v>125</v>
      </c>
      <c r="D1193" s="82" t="s">
        <v>126</v>
      </c>
      <c r="E1193" s="13">
        <v>26000.0</v>
      </c>
      <c r="F1193" s="13">
        <v>26000.0</v>
      </c>
      <c r="G1193" s="14">
        <f t="shared" si="30"/>
        <v>0</v>
      </c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r="1194" ht="14.25" customHeight="1">
      <c r="A1194" s="8"/>
      <c r="B1194" s="10"/>
      <c r="C1194" s="11" t="s">
        <v>131</v>
      </c>
      <c r="D1194" s="82" t="s">
        <v>132</v>
      </c>
      <c r="E1194" s="13">
        <v>5500.0</v>
      </c>
      <c r="F1194" s="13">
        <v>5500.0</v>
      </c>
      <c r="G1194" s="14">
        <f t="shared" si="30"/>
        <v>0</v>
      </c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r="1195" ht="14.25" customHeight="1">
      <c r="A1195" s="8"/>
      <c r="B1195" s="10"/>
      <c r="C1195" s="11" t="s">
        <v>133</v>
      </c>
      <c r="D1195" s="42" t="s">
        <v>134</v>
      </c>
      <c r="E1195" s="13">
        <v>5500.0</v>
      </c>
      <c r="F1195" s="13">
        <v>5500.0</v>
      </c>
      <c r="G1195" s="14">
        <f t="shared" si="30"/>
        <v>0</v>
      </c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r="1196" ht="14.25" customHeight="1">
      <c r="A1196" s="8"/>
      <c r="B1196" s="10"/>
      <c r="C1196" s="11" t="s">
        <v>139</v>
      </c>
      <c r="D1196" s="42" t="s">
        <v>140</v>
      </c>
      <c r="E1196" s="13">
        <v>300.0</v>
      </c>
      <c r="F1196" s="13">
        <v>300.0</v>
      </c>
      <c r="G1196" s="14">
        <f t="shared" si="30"/>
        <v>0</v>
      </c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r="1197" ht="14.25" customHeight="1">
      <c r="A1197" s="8"/>
      <c r="B1197" s="10"/>
      <c r="C1197" s="11" t="s">
        <v>141</v>
      </c>
      <c r="D1197" s="82" t="s">
        <v>142</v>
      </c>
      <c r="E1197" s="13">
        <v>12000.0</v>
      </c>
      <c r="F1197" s="13">
        <v>12000.0</v>
      </c>
      <c r="G1197" s="14">
        <f t="shared" si="30"/>
        <v>0</v>
      </c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r="1198" ht="14.25" customHeight="1">
      <c r="A1198" s="8"/>
      <c r="B1198" s="10"/>
      <c r="C1198" s="11" t="s">
        <v>143</v>
      </c>
      <c r="D1198" s="82" t="s">
        <v>144</v>
      </c>
      <c r="E1198" s="13">
        <v>70000.0</v>
      </c>
      <c r="F1198" s="13">
        <v>70000.0</v>
      </c>
      <c r="G1198" s="14">
        <f t="shared" si="30"/>
        <v>0</v>
      </c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r="1199" ht="14.25" customHeight="1">
      <c r="A1199" s="8"/>
      <c r="B1199" s="10"/>
      <c r="C1199" s="11" t="s">
        <v>211</v>
      </c>
      <c r="D1199" s="82" t="s">
        <v>212</v>
      </c>
      <c r="E1199" s="13">
        <v>40000.0</v>
      </c>
      <c r="F1199" s="13">
        <v>40000.0</v>
      </c>
      <c r="G1199" s="14">
        <f t="shared" si="30"/>
        <v>0</v>
      </c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r="1200" ht="14.25" customHeight="1">
      <c r="A1200" s="8"/>
      <c r="B1200" s="10"/>
      <c r="C1200" s="11" t="s">
        <v>147</v>
      </c>
      <c r="D1200" s="82" t="s">
        <v>148</v>
      </c>
      <c r="E1200" s="50">
        <v>80000.0</v>
      </c>
      <c r="F1200" s="94">
        <v>40000.0</v>
      </c>
      <c r="G1200" s="14">
        <f t="shared" si="30"/>
        <v>-0.5</v>
      </c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r="1201" ht="14.25" customHeight="1">
      <c r="A1201" s="8"/>
      <c r="B1201" s="10"/>
      <c r="C1201" s="83" t="s">
        <v>257</v>
      </c>
      <c r="D1201" s="84" t="s">
        <v>304</v>
      </c>
      <c r="E1201" s="50"/>
      <c r="F1201" s="94">
        <v>45000.0</v>
      </c>
      <c r="G1201" s="14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r="1202" ht="14.25" customHeight="1">
      <c r="A1202" s="8"/>
      <c r="B1202" s="10"/>
      <c r="C1202" s="11" t="s">
        <v>169</v>
      </c>
      <c r="D1202" s="82" t="s">
        <v>170</v>
      </c>
      <c r="E1202" s="13">
        <v>40000.0</v>
      </c>
      <c r="F1202" s="13">
        <v>40000.0</v>
      </c>
      <c r="G1202" s="14">
        <f t="shared" ref="G1202:G1203" si="31">IFERROR(((F1202-E1202)/E1202), "")</f>
        <v>0</v>
      </c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r="1203" ht="14.25" customHeight="1">
      <c r="A1203" s="8"/>
      <c r="B1203" s="10"/>
      <c r="C1203" s="11" t="s">
        <v>149</v>
      </c>
      <c r="D1203" s="82" t="s">
        <v>150</v>
      </c>
      <c r="E1203" s="13">
        <v>130000.0</v>
      </c>
      <c r="F1203" s="60">
        <v>10000.0</v>
      </c>
      <c r="G1203" s="14">
        <f t="shared" si="31"/>
        <v>-0.9230769231</v>
      </c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r="1204" ht="14.25" customHeight="1">
      <c r="A1204" s="8"/>
      <c r="B1204" s="10"/>
      <c r="C1204" s="83" t="s">
        <v>157</v>
      </c>
      <c r="D1204" s="84" t="s">
        <v>305</v>
      </c>
      <c r="E1204" s="13"/>
      <c r="F1204" s="60">
        <v>120000.0</v>
      </c>
      <c r="G1204" s="14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r="1205" ht="14.25" customHeight="1">
      <c r="A1205" s="8"/>
      <c r="B1205" s="10"/>
      <c r="C1205" s="11" t="s">
        <v>151</v>
      </c>
      <c r="D1205" s="82" t="s">
        <v>152</v>
      </c>
      <c r="E1205" s="13">
        <v>500.0</v>
      </c>
      <c r="F1205" s="13">
        <v>500.0</v>
      </c>
      <c r="G1205" s="14">
        <f t="shared" ref="G1205:G1209" si="32">IFERROR(((F1205-E1205)/E1205), "")</f>
        <v>0</v>
      </c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r="1206" ht="14.25" customHeight="1">
      <c r="A1206" s="8"/>
      <c r="B1206" s="32">
        <v>4330.0</v>
      </c>
      <c r="E1206" s="33">
        <v>566400.0</v>
      </c>
      <c r="F1206" s="33">
        <f>SUM(F1188:F1205)</f>
        <v>571400</v>
      </c>
      <c r="G1206" s="14">
        <f t="shared" si="32"/>
        <v>0.008827683616</v>
      </c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r="1207" ht="14.25" customHeight="1">
      <c r="A1207" s="8"/>
      <c r="B1207" s="10"/>
      <c r="C1207" s="11"/>
      <c r="D1207" s="12"/>
      <c r="E1207" s="13"/>
      <c r="F1207" s="13"/>
      <c r="G1207" s="14" t="str">
        <f t="shared" si="32"/>
        <v/>
      </c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r="1208" ht="14.25" customHeight="1">
      <c r="A1208" s="8"/>
      <c r="B1208" s="44">
        <v>4411.0</v>
      </c>
      <c r="C1208" s="45"/>
      <c r="D1208" s="46" t="s">
        <v>306</v>
      </c>
      <c r="E1208" s="47">
        <v>2025.0</v>
      </c>
      <c r="F1208" s="48">
        <v>2026.0</v>
      </c>
      <c r="G1208" s="14">
        <f t="shared" si="32"/>
        <v>0.0004938271605</v>
      </c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r="1209" ht="14.25" customHeight="1">
      <c r="A1209" s="8"/>
      <c r="B1209" s="10"/>
      <c r="C1209" s="11" t="s">
        <v>149</v>
      </c>
      <c r="D1209" s="82" t="s">
        <v>150</v>
      </c>
      <c r="E1209" s="13">
        <v>350000.0</v>
      </c>
      <c r="F1209" s="60">
        <v>1000.0</v>
      </c>
      <c r="G1209" s="14">
        <f t="shared" si="32"/>
        <v>-0.9971428571</v>
      </c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r="1210" ht="14.25" customHeight="1">
      <c r="A1210" s="8"/>
      <c r="B1210" s="10"/>
      <c r="C1210" s="83" t="s">
        <v>157</v>
      </c>
      <c r="D1210" s="84" t="s">
        <v>307</v>
      </c>
      <c r="E1210" s="13"/>
      <c r="F1210" s="60">
        <v>350000.0</v>
      </c>
      <c r="G1210" s="14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r="1211" ht="14.25" customHeight="1">
      <c r="A1211" s="8"/>
      <c r="B1211" s="32">
        <v>4411.0</v>
      </c>
      <c r="E1211" s="33">
        <v>350000.0</v>
      </c>
      <c r="F1211" s="33">
        <f>SUM(F1209:F1210)</f>
        <v>351000</v>
      </c>
      <c r="G1211" s="14">
        <f>IFERROR(((F1211-E1211)/E1211), "")</f>
        <v>0.002857142857</v>
      </c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r="1212" ht="14.25" customHeight="1">
      <c r="A1212" s="8"/>
      <c r="B1212" s="52"/>
      <c r="C1212" s="53"/>
      <c r="D1212" s="54"/>
      <c r="E1212" s="32"/>
      <c r="F1212" s="69"/>
      <c r="G1212" s="8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r="1213" ht="14.25" customHeight="1">
      <c r="A1213" s="8"/>
      <c r="B1213" s="67">
        <v>4620.0</v>
      </c>
      <c r="C1213" s="45"/>
      <c r="D1213" s="68" t="s">
        <v>90</v>
      </c>
      <c r="E1213" s="47">
        <v>2025.0</v>
      </c>
      <c r="F1213" s="48">
        <v>2026.0</v>
      </c>
      <c r="G1213" s="14">
        <f>IFERROR(((F1213-E1213)/E1213), "")</f>
        <v>0.0004938271605</v>
      </c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r="1214" ht="14.25" customHeight="1">
      <c r="A1214" s="8"/>
      <c r="B1214" s="10"/>
      <c r="C1214" s="83" t="s">
        <v>143</v>
      </c>
      <c r="D1214" s="84" t="s">
        <v>144</v>
      </c>
      <c r="E1214" s="60">
        <v>0.0</v>
      </c>
      <c r="F1214" s="60">
        <v>5000.0</v>
      </c>
      <c r="G1214" s="14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r="1215" ht="14.25" customHeight="1">
      <c r="A1215" s="8"/>
      <c r="B1215" s="10"/>
      <c r="C1215" s="11" t="s">
        <v>169</v>
      </c>
      <c r="D1215" s="82" t="s">
        <v>170</v>
      </c>
      <c r="E1215" s="60">
        <v>0.0</v>
      </c>
      <c r="F1215" s="60">
        <v>18200.0</v>
      </c>
      <c r="G1215" s="14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r="1216" ht="14.25" customHeight="1">
      <c r="A1216" s="8"/>
      <c r="B1216" s="10"/>
      <c r="C1216" s="11" t="s">
        <v>149</v>
      </c>
      <c r="D1216" s="82" t="s">
        <v>150</v>
      </c>
      <c r="E1216" s="60">
        <v>0.0</v>
      </c>
      <c r="F1216" s="60">
        <v>25000.0</v>
      </c>
      <c r="G1216" s="14" t="str">
        <f t="shared" ref="G1216:G1260" si="33">IFERROR(((F1216-E1216)/E1216), "")</f>
        <v/>
      </c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r="1217" ht="14.25" customHeight="1">
      <c r="A1217" s="8"/>
      <c r="B1217" s="69">
        <v>4620.0</v>
      </c>
      <c r="E1217" s="70">
        <v>0.0</v>
      </c>
      <c r="F1217" s="33">
        <f>SUM(F1214:F1216)</f>
        <v>48200</v>
      </c>
      <c r="G1217" s="14" t="str">
        <f t="shared" si="33"/>
        <v/>
      </c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r="1218" ht="14.25" customHeight="1">
      <c r="A1218" s="8"/>
      <c r="B1218" s="10"/>
      <c r="C1218" s="41"/>
      <c r="D1218" s="42"/>
      <c r="E1218" s="43"/>
      <c r="F1218" s="43"/>
      <c r="G1218" s="14" t="str">
        <f t="shared" si="33"/>
        <v/>
      </c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r="1219" ht="14.25" customHeight="1">
      <c r="A1219" s="8"/>
      <c r="B1219" s="44">
        <v>4930.0</v>
      </c>
      <c r="C1219" s="45"/>
      <c r="D1219" s="46" t="s">
        <v>91</v>
      </c>
      <c r="E1219" s="47">
        <v>2025.0</v>
      </c>
      <c r="F1219" s="48">
        <v>2026.0</v>
      </c>
      <c r="G1219" s="14">
        <f t="shared" si="33"/>
        <v>0.0004938271605</v>
      </c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r="1220" ht="14.25" customHeight="1">
      <c r="A1220" s="8"/>
      <c r="B1220" s="10"/>
      <c r="C1220" s="11" t="s">
        <v>162</v>
      </c>
      <c r="D1220" s="82" t="s">
        <v>163</v>
      </c>
      <c r="E1220" s="13">
        <v>200.0</v>
      </c>
      <c r="F1220" s="13">
        <v>200.0</v>
      </c>
      <c r="G1220" s="14">
        <f t="shared" si="33"/>
        <v>0</v>
      </c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r="1221" ht="14.25" customHeight="1">
      <c r="A1221" s="8"/>
      <c r="B1221" s="10"/>
      <c r="C1221" s="11" t="s">
        <v>107</v>
      </c>
      <c r="D1221" s="82" t="s">
        <v>108</v>
      </c>
      <c r="E1221" s="13">
        <v>500.0</v>
      </c>
      <c r="F1221" s="13">
        <v>500.0</v>
      </c>
      <c r="G1221" s="14">
        <f t="shared" si="33"/>
        <v>0</v>
      </c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r="1222" ht="14.25" customHeight="1">
      <c r="A1222" s="8"/>
      <c r="B1222" s="10"/>
      <c r="C1222" s="11" t="s">
        <v>233</v>
      </c>
      <c r="D1222" s="82" t="s">
        <v>234</v>
      </c>
      <c r="E1222" s="13">
        <v>200.0</v>
      </c>
      <c r="F1222" s="13">
        <v>200.0</v>
      </c>
      <c r="G1222" s="14">
        <f t="shared" si="33"/>
        <v>0</v>
      </c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r="1223" ht="14.25" customHeight="1">
      <c r="A1223" s="8"/>
      <c r="B1223" s="10"/>
      <c r="C1223" s="11" t="s">
        <v>121</v>
      </c>
      <c r="D1223" s="42" t="s">
        <v>122</v>
      </c>
      <c r="E1223" s="13">
        <v>2000.0</v>
      </c>
      <c r="F1223" s="13">
        <v>2000.0</v>
      </c>
      <c r="G1223" s="14">
        <f t="shared" si="33"/>
        <v>0</v>
      </c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r="1224" ht="14.25" customHeight="1">
      <c r="A1224" s="8"/>
      <c r="B1224" s="10"/>
      <c r="C1224" s="11" t="s">
        <v>166</v>
      </c>
      <c r="D1224" s="42" t="s">
        <v>235</v>
      </c>
      <c r="E1224" s="13">
        <v>100.0</v>
      </c>
      <c r="F1224" s="13">
        <v>100.0</v>
      </c>
      <c r="G1224" s="14">
        <f t="shared" si="33"/>
        <v>0</v>
      </c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r="1225" ht="14.25" customHeight="1">
      <c r="A1225" s="8"/>
      <c r="B1225" s="10"/>
      <c r="C1225" s="11" t="s">
        <v>131</v>
      </c>
      <c r="D1225" s="82" t="s">
        <v>132</v>
      </c>
      <c r="E1225" s="13">
        <v>800.0</v>
      </c>
      <c r="F1225" s="13">
        <v>800.0</v>
      </c>
      <c r="G1225" s="14">
        <f t="shared" si="33"/>
        <v>0</v>
      </c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r="1226" ht="14.25" customHeight="1">
      <c r="A1226" s="8"/>
      <c r="B1226" s="10"/>
      <c r="C1226" s="11" t="s">
        <v>133</v>
      </c>
      <c r="D1226" s="42" t="s">
        <v>134</v>
      </c>
      <c r="E1226" s="13">
        <v>1600.0</v>
      </c>
      <c r="F1226" s="13">
        <v>1600.0</v>
      </c>
      <c r="G1226" s="14">
        <f t="shared" si="33"/>
        <v>0</v>
      </c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r="1227" ht="14.25" customHeight="1">
      <c r="A1227" s="8"/>
      <c r="B1227" s="10"/>
      <c r="C1227" s="11" t="s">
        <v>141</v>
      </c>
      <c r="D1227" s="82" t="s">
        <v>142</v>
      </c>
      <c r="E1227" s="13">
        <v>700.0</v>
      </c>
      <c r="F1227" s="13">
        <v>700.0</v>
      </c>
      <c r="G1227" s="14">
        <f t="shared" si="33"/>
        <v>0</v>
      </c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r="1228" ht="14.25" customHeight="1">
      <c r="A1228" s="8"/>
      <c r="B1228" s="10"/>
      <c r="C1228" s="11" t="s">
        <v>143</v>
      </c>
      <c r="D1228" s="82" t="s">
        <v>144</v>
      </c>
      <c r="E1228" s="13">
        <v>9300.0</v>
      </c>
      <c r="F1228" s="13">
        <v>9300.0</v>
      </c>
      <c r="G1228" s="14">
        <f t="shared" si="33"/>
        <v>0</v>
      </c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r="1229" ht="14.25" customHeight="1">
      <c r="A1229" s="8"/>
      <c r="B1229" s="10"/>
      <c r="C1229" s="11" t="s">
        <v>236</v>
      </c>
      <c r="D1229" s="42" t="s">
        <v>252</v>
      </c>
      <c r="E1229" s="13">
        <v>100.0</v>
      </c>
      <c r="F1229" s="13">
        <v>100.0</v>
      </c>
      <c r="G1229" s="14">
        <f t="shared" si="33"/>
        <v>0</v>
      </c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r="1230" ht="14.25" customHeight="1">
      <c r="A1230" s="8"/>
      <c r="B1230" s="10"/>
      <c r="C1230" s="11" t="s">
        <v>211</v>
      </c>
      <c r="D1230" s="42" t="s">
        <v>212</v>
      </c>
      <c r="E1230" s="13">
        <v>2000.0</v>
      </c>
      <c r="F1230" s="13">
        <v>2000.0</v>
      </c>
      <c r="G1230" s="14">
        <f t="shared" si="33"/>
        <v>0</v>
      </c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r="1231" ht="14.25" customHeight="1">
      <c r="A1231" s="8"/>
      <c r="B1231" s="10"/>
      <c r="C1231" s="11" t="s">
        <v>147</v>
      </c>
      <c r="D1231" s="82" t="s">
        <v>148</v>
      </c>
      <c r="E1231" s="13">
        <v>12000.0</v>
      </c>
      <c r="F1231" s="13">
        <v>12000.0</v>
      </c>
      <c r="G1231" s="14">
        <f t="shared" si="33"/>
        <v>0</v>
      </c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r="1232" ht="14.25" customHeight="1">
      <c r="A1232" s="8"/>
      <c r="B1232" s="10"/>
      <c r="C1232" s="11" t="s">
        <v>151</v>
      </c>
      <c r="D1232" s="82" t="s">
        <v>152</v>
      </c>
      <c r="E1232" s="13">
        <v>600.0</v>
      </c>
      <c r="F1232" s="13">
        <v>600.0</v>
      </c>
      <c r="G1232" s="14">
        <f t="shared" si="33"/>
        <v>0</v>
      </c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r="1233" ht="14.25" customHeight="1">
      <c r="A1233" s="8"/>
      <c r="B1233" s="32">
        <v>4930.0</v>
      </c>
      <c r="E1233" s="33">
        <v>30100.0</v>
      </c>
      <c r="F1233" s="33">
        <f>SUM(F1220:F1232)</f>
        <v>30100</v>
      </c>
      <c r="G1233" s="14">
        <f t="shared" si="33"/>
        <v>0</v>
      </c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r="1234" ht="14.25" customHeight="1">
      <c r="A1234" s="8"/>
      <c r="B1234" s="10"/>
      <c r="C1234" s="41"/>
      <c r="D1234" s="42"/>
      <c r="E1234" s="43"/>
      <c r="F1234" s="43"/>
      <c r="G1234" s="14" t="str">
        <f t="shared" si="33"/>
        <v/>
      </c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r="1235" ht="14.25" customHeight="1">
      <c r="A1235" s="8"/>
      <c r="B1235" s="44">
        <v>9120.0</v>
      </c>
      <c r="C1235" s="45"/>
      <c r="D1235" s="46" t="s">
        <v>92</v>
      </c>
      <c r="E1235" s="47">
        <v>2025.0</v>
      </c>
      <c r="F1235" s="48">
        <v>2026.0</v>
      </c>
      <c r="G1235" s="14">
        <f t="shared" si="33"/>
        <v>0.0004938271605</v>
      </c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r="1236" ht="14.25" customHeight="1">
      <c r="A1236" s="8"/>
      <c r="B1236" s="10"/>
      <c r="C1236" s="11" t="s">
        <v>107</v>
      </c>
      <c r="D1236" s="82" t="s">
        <v>108</v>
      </c>
      <c r="E1236" s="13">
        <v>3600.0</v>
      </c>
      <c r="F1236" s="13">
        <v>3600.0</v>
      </c>
      <c r="G1236" s="14">
        <f t="shared" si="33"/>
        <v>0</v>
      </c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r="1237" ht="14.25" customHeight="1">
      <c r="A1237" s="8"/>
      <c r="B1237" s="10"/>
      <c r="C1237" s="11" t="s">
        <v>176</v>
      </c>
      <c r="D1237" s="42" t="s">
        <v>177</v>
      </c>
      <c r="E1237" s="13">
        <v>10000.0</v>
      </c>
      <c r="F1237" s="13">
        <v>10000.0</v>
      </c>
      <c r="G1237" s="14">
        <f t="shared" si="33"/>
        <v>0</v>
      </c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r="1238" ht="14.25" customHeight="1">
      <c r="A1238" s="8"/>
      <c r="B1238" s="10"/>
      <c r="C1238" s="11" t="s">
        <v>113</v>
      </c>
      <c r="D1238" s="82" t="s">
        <v>114</v>
      </c>
      <c r="E1238" s="13">
        <v>1300.0</v>
      </c>
      <c r="F1238" s="13">
        <v>1300.0</v>
      </c>
      <c r="G1238" s="14">
        <f t="shared" si="33"/>
        <v>0</v>
      </c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r="1239" ht="14.25" customHeight="1">
      <c r="A1239" s="8"/>
      <c r="B1239" s="10"/>
      <c r="C1239" s="11" t="s">
        <v>121</v>
      </c>
      <c r="D1239" s="82" t="s">
        <v>122</v>
      </c>
      <c r="E1239" s="13">
        <v>2500.0</v>
      </c>
      <c r="F1239" s="13">
        <v>2500.0</v>
      </c>
      <c r="G1239" s="14">
        <f t="shared" si="33"/>
        <v>0</v>
      </c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r="1240" ht="14.25" customHeight="1">
      <c r="A1240" s="8"/>
      <c r="B1240" s="10"/>
      <c r="C1240" s="11" t="s">
        <v>166</v>
      </c>
      <c r="D1240" s="42" t="s">
        <v>235</v>
      </c>
      <c r="E1240" s="13">
        <v>1500.0</v>
      </c>
      <c r="F1240" s="13">
        <v>1500.0</v>
      </c>
      <c r="G1240" s="14">
        <f t="shared" si="33"/>
        <v>0</v>
      </c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r="1241" ht="14.25" customHeight="1">
      <c r="A1241" s="8"/>
      <c r="B1241" s="10"/>
      <c r="C1241" s="11" t="s">
        <v>127</v>
      </c>
      <c r="D1241" s="82" t="s">
        <v>128</v>
      </c>
      <c r="E1241" s="13">
        <v>4000.0</v>
      </c>
      <c r="F1241" s="13">
        <v>4000.0</v>
      </c>
      <c r="G1241" s="14">
        <f t="shared" si="33"/>
        <v>0</v>
      </c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r="1242" ht="14.25" customHeight="1">
      <c r="A1242" s="8"/>
      <c r="B1242" s="10"/>
      <c r="C1242" s="11" t="s">
        <v>131</v>
      </c>
      <c r="D1242" s="82" t="s">
        <v>132</v>
      </c>
      <c r="E1242" s="13">
        <v>500.0</v>
      </c>
      <c r="F1242" s="13">
        <v>500.0</v>
      </c>
      <c r="G1242" s="14">
        <f t="shared" si="33"/>
        <v>0</v>
      </c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r="1243" ht="14.25" customHeight="1">
      <c r="A1243" s="8"/>
      <c r="B1243" s="10"/>
      <c r="C1243" s="11" t="s">
        <v>133</v>
      </c>
      <c r="D1243" s="82" t="s">
        <v>134</v>
      </c>
      <c r="E1243" s="13">
        <v>2000.0</v>
      </c>
      <c r="F1243" s="13">
        <v>2000.0</v>
      </c>
      <c r="G1243" s="14">
        <f t="shared" si="33"/>
        <v>0</v>
      </c>
      <c r="H1243" s="95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r="1244" ht="14.25" customHeight="1">
      <c r="A1244" s="8"/>
      <c r="B1244" s="10"/>
      <c r="C1244" s="11" t="s">
        <v>308</v>
      </c>
      <c r="D1244" s="82" t="s">
        <v>309</v>
      </c>
      <c r="E1244" s="13">
        <v>251980.0</v>
      </c>
      <c r="F1244" s="13">
        <f>318220 - 'Liberaciones &amp; Libre desig'!K3</f>
        <v>251980</v>
      </c>
      <c r="G1244" s="14">
        <f t="shared" si="33"/>
        <v>0</v>
      </c>
      <c r="H1244" s="49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r="1245" ht="14.25" customHeight="1">
      <c r="A1245" s="8"/>
      <c r="B1245" s="10"/>
      <c r="C1245" s="11" t="s">
        <v>137</v>
      </c>
      <c r="D1245" s="82" t="s">
        <v>138</v>
      </c>
      <c r="E1245" s="13">
        <v>10500.0</v>
      </c>
      <c r="F1245" s="13">
        <v>10500.0</v>
      </c>
      <c r="G1245" s="14">
        <f t="shared" si="33"/>
        <v>0</v>
      </c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r="1246" ht="14.25" customHeight="1">
      <c r="A1246" s="8"/>
      <c r="B1246" s="10"/>
      <c r="C1246" s="11" t="s">
        <v>141</v>
      </c>
      <c r="D1246" s="82" t="s">
        <v>142</v>
      </c>
      <c r="E1246" s="13">
        <v>30000.0</v>
      </c>
      <c r="F1246" s="13">
        <v>30000.0</v>
      </c>
      <c r="G1246" s="14">
        <f t="shared" si="33"/>
        <v>0</v>
      </c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r="1247" ht="14.25" customHeight="1">
      <c r="A1247" s="8"/>
      <c r="B1247" s="10"/>
      <c r="C1247" s="11" t="s">
        <v>143</v>
      </c>
      <c r="D1247" s="82" t="s">
        <v>144</v>
      </c>
      <c r="E1247" s="13">
        <v>50000.0</v>
      </c>
      <c r="F1247" s="60">
        <v>70000.0</v>
      </c>
      <c r="G1247" s="14">
        <f t="shared" si="33"/>
        <v>0.4</v>
      </c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r="1248" ht="14.25" customHeight="1">
      <c r="A1248" s="8"/>
      <c r="B1248" s="10"/>
      <c r="C1248" s="11" t="s">
        <v>147</v>
      </c>
      <c r="D1248" s="82" t="s">
        <v>148</v>
      </c>
      <c r="E1248" s="13">
        <v>6000.0</v>
      </c>
      <c r="F1248" s="13">
        <v>6000.0</v>
      </c>
      <c r="G1248" s="14">
        <f t="shared" si="33"/>
        <v>0</v>
      </c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r="1249" ht="14.25" customHeight="1">
      <c r="A1249" s="8"/>
      <c r="B1249" s="10"/>
      <c r="C1249" s="88" t="s">
        <v>169</v>
      </c>
      <c r="D1249" s="89" t="s">
        <v>170</v>
      </c>
      <c r="E1249" s="92">
        <v>20000.0</v>
      </c>
      <c r="F1249" s="96">
        <v>18200.0</v>
      </c>
      <c r="G1249" s="14">
        <f t="shared" si="33"/>
        <v>-0.09</v>
      </c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r="1250" ht="14.25" customHeight="1">
      <c r="A1250" s="8"/>
      <c r="B1250" s="10"/>
      <c r="C1250" s="11" t="s">
        <v>310</v>
      </c>
      <c r="D1250" s="82" t="s">
        <v>311</v>
      </c>
      <c r="E1250" s="13">
        <v>3500.0</v>
      </c>
      <c r="F1250" s="13">
        <v>3500.0</v>
      </c>
      <c r="G1250" s="14">
        <f t="shared" si="33"/>
        <v>0</v>
      </c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r="1251" ht="14.25" customHeight="1">
      <c r="A1251" s="8"/>
      <c r="B1251" s="10"/>
      <c r="C1251" s="11" t="s">
        <v>151</v>
      </c>
      <c r="D1251" s="82" t="s">
        <v>152</v>
      </c>
      <c r="E1251" s="13">
        <v>1500.0</v>
      </c>
      <c r="F1251" s="13">
        <v>1500.0</v>
      </c>
      <c r="G1251" s="14">
        <f t="shared" si="33"/>
        <v>0</v>
      </c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r="1252" ht="14.25" customHeight="1">
      <c r="A1252" s="8"/>
      <c r="B1252" s="32">
        <v>9120.0</v>
      </c>
      <c r="E1252" s="33">
        <v>398880.0</v>
      </c>
      <c r="F1252" s="33">
        <f>SUM(F1236:F1251)</f>
        <v>417080</v>
      </c>
      <c r="G1252" s="14">
        <f t="shared" si="33"/>
        <v>0.04562775772</v>
      </c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r="1253" ht="14.25" customHeight="1">
      <c r="A1253" s="8"/>
      <c r="B1253" s="10"/>
      <c r="C1253" s="11"/>
      <c r="D1253" s="12"/>
      <c r="E1253" s="13"/>
      <c r="F1253" s="13"/>
      <c r="G1253" s="14" t="str">
        <f t="shared" si="33"/>
        <v/>
      </c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r="1254" ht="14.25" customHeight="1">
      <c r="A1254" s="8"/>
      <c r="B1254" s="44">
        <v>9200.0</v>
      </c>
      <c r="C1254" s="45"/>
      <c r="D1254" s="46" t="s">
        <v>97</v>
      </c>
      <c r="E1254" s="47">
        <v>2025.0</v>
      </c>
      <c r="F1254" s="48">
        <v>2026.0</v>
      </c>
      <c r="G1254" s="14">
        <f t="shared" si="33"/>
        <v>0.0004938271605</v>
      </c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r="1255" ht="14.25" customHeight="1">
      <c r="A1255" s="8"/>
      <c r="B1255" s="10"/>
      <c r="C1255" s="11" t="s">
        <v>107</v>
      </c>
      <c r="D1255" s="82" t="s">
        <v>108</v>
      </c>
      <c r="E1255" s="13">
        <v>1600.0</v>
      </c>
      <c r="F1255" s="13">
        <v>1600.0</v>
      </c>
      <c r="G1255" s="14">
        <f t="shared" si="33"/>
        <v>0</v>
      </c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r="1256" ht="14.25" customHeight="1">
      <c r="A1256" s="8"/>
      <c r="B1256" s="10"/>
      <c r="C1256" s="11" t="s">
        <v>109</v>
      </c>
      <c r="D1256" s="82" t="s">
        <v>110</v>
      </c>
      <c r="E1256" s="13">
        <v>70000.0</v>
      </c>
      <c r="F1256" s="60">
        <v>60000.0</v>
      </c>
      <c r="G1256" s="14">
        <f t="shared" si="33"/>
        <v>-0.1428571429</v>
      </c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r="1257" ht="14.25" customHeight="1">
      <c r="A1257" s="8"/>
      <c r="B1257" s="10"/>
      <c r="C1257" s="11" t="s">
        <v>111</v>
      </c>
      <c r="D1257" s="82" t="s">
        <v>112</v>
      </c>
      <c r="E1257" s="13">
        <v>1800.0</v>
      </c>
      <c r="F1257" s="13">
        <v>1800.0</v>
      </c>
      <c r="G1257" s="14">
        <f t="shared" si="33"/>
        <v>0</v>
      </c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r="1258" ht="14.25" customHeight="1">
      <c r="A1258" s="8"/>
      <c r="B1258" s="10"/>
      <c r="C1258" s="11" t="s">
        <v>113</v>
      </c>
      <c r="D1258" s="82" t="s">
        <v>114</v>
      </c>
      <c r="E1258" s="13">
        <v>500.0</v>
      </c>
      <c r="F1258" s="13">
        <v>500.0</v>
      </c>
      <c r="G1258" s="14">
        <f t="shared" si="33"/>
        <v>0</v>
      </c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r="1259" ht="14.25" customHeight="1">
      <c r="A1259" s="8"/>
      <c r="B1259" s="10"/>
      <c r="C1259" s="11" t="s">
        <v>115</v>
      </c>
      <c r="D1259" s="82" t="s">
        <v>312</v>
      </c>
      <c r="E1259" s="13">
        <v>200.0</v>
      </c>
      <c r="F1259" s="13">
        <v>200.0</v>
      </c>
      <c r="G1259" s="14">
        <f t="shared" si="33"/>
        <v>0</v>
      </c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r="1260" ht="14.25" customHeight="1">
      <c r="A1260" s="8"/>
      <c r="B1260" s="10"/>
      <c r="C1260" s="11" t="s">
        <v>117</v>
      </c>
      <c r="D1260" s="82" t="s">
        <v>164</v>
      </c>
      <c r="E1260" s="13">
        <v>130000.0</v>
      </c>
      <c r="F1260" s="60">
        <v>12700.0</v>
      </c>
      <c r="G1260" s="14">
        <f t="shared" si="33"/>
        <v>-0.9023076923</v>
      </c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r="1261" ht="14.25" customHeight="1">
      <c r="A1261" s="8"/>
      <c r="B1261" s="10"/>
      <c r="C1261" s="83" t="s">
        <v>119</v>
      </c>
      <c r="D1261" s="84" t="s">
        <v>313</v>
      </c>
      <c r="E1261" s="60">
        <v>0.0</v>
      </c>
      <c r="F1261" s="60">
        <v>60000.0</v>
      </c>
      <c r="G1261" s="14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r="1262" ht="14.25" customHeight="1">
      <c r="A1262" s="8"/>
      <c r="B1262" s="10"/>
      <c r="C1262" s="83" t="s">
        <v>314</v>
      </c>
      <c r="D1262" s="84" t="s">
        <v>315</v>
      </c>
      <c r="E1262" s="60">
        <v>0.0</v>
      </c>
      <c r="F1262" s="60">
        <v>40000.0</v>
      </c>
      <c r="G1262" s="14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r="1263" ht="14.25" customHeight="1">
      <c r="A1263" s="8"/>
      <c r="B1263" s="10"/>
      <c r="C1263" s="83" t="s">
        <v>316</v>
      </c>
      <c r="D1263" s="84" t="s">
        <v>317</v>
      </c>
      <c r="E1263" s="60">
        <v>0.0</v>
      </c>
      <c r="F1263" s="60">
        <v>7300.0</v>
      </c>
      <c r="G1263" s="14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r="1264" ht="14.25" customHeight="1">
      <c r="A1264" s="8"/>
      <c r="B1264" s="10"/>
      <c r="C1264" s="83" t="s">
        <v>318</v>
      </c>
      <c r="D1264" s="84" t="s">
        <v>319</v>
      </c>
      <c r="E1264" s="60">
        <v>0.0</v>
      </c>
      <c r="F1264" s="60">
        <v>46000.0</v>
      </c>
      <c r="G1264" s="14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r="1265" ht="14.25" customHeight="1">
      <c r="A1265" s="8"/>
      <c r="B1265" s="10"/>
      <c r="C1265" s="11" t="s">
        <v>121</v>
      </c>
      <c r="D1265" s="82" t="s">
        <v>122</v>
      </c>
      <c r="E1265" s="13">
        <v>25000.0</v>
      </c>
      <c r="F1265" s="60">
        <v>15000.0</v>
      </c>
      <c r="G1265" s="14">
        <f t="shared" ref="G1265:G1280" si="34">IFERROR(((F1265-E1265)/E1265), "")</f>
        <v>-0.4</v>
      </c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r="1266" ht="14.25" customHeight="1">
      <c r="A1266" s="8"/>
      <c r="B1266" s="10"/>
      <c r="C1266" s="11" t="s">
        <v>166</v>
      </c>
      <c r="D1266" s="42" t="s">
        <v>235</v>
      </c>
      <c r="E1266" s="13">
        <v>13000.0</v>
      </c>
      <c r="F1266" s="13">
        <v>13000.0</v>
      </c>
      <c r="G1266" s="14">
        <f t="shared" si="34"/>
        <v>0</v>
      </c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r="1267" ht="14.25" customHeight="1">
      <c r="A1267" s="8"/>
      <c r="B1267" s="10"/>
      <c r="C1267" s="11" t="s">
        <v>198</v>
      </c>
      <c r="D1267" s="82" t="s">
        <v>199</v>
      </c>
      <c r="E1267" s="13">
        <v>1500.0</v>
      </c>
      <c r="F1267" s="13">
        <v>1500.0</v>
      </c>
      <c r="G1267" s="14">
        <f t="shared" si="34"/>
        <v>0</v>
      </c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r="1268" ht="14.25" customHeight="1">
      <c r="A1268" s="8"/>
      <c r="B1268" s="10"/>
      <c r="C1268" s="11" t="s">
        <v>123</v>
      </c>
      <c r="D1268" s="84" t="s">
        <v>124</v>
      </c>
      <c r="E1268" s="13">
        <v>15000.0</v>
      </c>
      <c r="F1268" s="13">
        <v>15000.0</v>
      </c>
      <c r="G1268" s="14">
        <f t="shared" si="34"/>
        <v>0</v>
      </c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r="1269" ht="14.25" customHeight="1">
      <c r="A1269" s="8"/>
      <c r="B1269" s="10"/>
      <c r="C1269" s="11" t="s">
        <v>125</v>
      </c>
      <c r="D1269" s="82" t="s">
        <v>126</v>
      </c>
      <c r="E1269" s="13">
        <v>23000.0</v>
      </c>
      <c r="F1269" s="13">
        <v>23000.0</v>
      </c>
      <c r="G1269" s="14">
        <f t="shared" si="34"/>
        <v>0</v>
      </c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r="1270" ht="14.25" customHeight="1">
      <c r="A1270" s="8"/>
      <c r="B1270" s="10"/>
      <c r="C1270" s="11" t="s">
        <v>127</v>
      </c>
      <c r="D1270" s="82" t="s">
        <v>128</v>
      </c>
      <c r="E1270" s="13">
        <v>1000.0</v>
      </c>
      <c r="F1270" s="13">
        <v>1000.0</v>
      </c>
      <c r="G1270" s="14">
        <f t="shared" si="34"/>
        <v>0</v>
      </c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r="1271" ht="14.25" customHeight="1">
      <c r="A1271" s="8"/>
      <c r="B1271" s="10"/>
      <c r="C1271" s="11" t="s">
        <v>129</v>
      </c>
      <c r="D1271" s="82" t="s">
        <v>130</v>
      </c>
      <c r="E1271" s="13">
        <v>300.0</v>
      </c>
      <c r="F1271" s="13">
        <v>300.0</v>
      </c>
      <c r="G1271" s="14">
        <f t="shared" si="34"/>
        <v>0</v>
      </c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r="1272" ht="14.25" customHeight="1">
      <c r="A1272" s="8"/>
      <c r="B1272" s="10"/>
      <c r="C1272" s="11" t="s">
        <v>131</v>
      </c>
      <c r="D1272" s="82" t="s">
        <v>132</v>
      </c>
      <c r="E1272" s="13">
        <v>8000.0</v>
      </c>
      <c r="F1272" s="13">
        <v>8000.0</v>
      </c>
      <c r="G1272" s="14">
        <f t="shared" si="34"/>
        <v>0</v>
      </c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r="1273" ht="14.25" customHeight="1">
      <c r="A1273" s="8"/>
      <c r="B1273" s="10"/>
      <c r="C1273" s="11" t="s">
        <v>133</v>
      </c>
      <c r="D1273" s="82" t="s">
        <v>134</v>
      </c>
      <c r="E1273" s="13">
        <v>20000.0</v>
      </c>
      <c r="F1273" s="60">
        <v>30000.0</v>
      </c>
      <c r="G1273" s="14">
        <f t="shared" si="34"/>
        <v>0.5</v>
      </c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r="1274" ht="14.25" customHeight="1">
      <c r="A1274" s="8"/>
      <c r="B1274" s="10"/>
      <c r="C1274" s="11" t="s">
        <v>135</v>
      </c>
      <c r="D1274" s="82" t="s">
        <v>136</v>
      </c>
      <c r="E1274" s="13">
        <v>17000.0</v>
      </c>
      <c r="F1274" s="13">
        <v>17000.0</v>
      </c>
      <c r="G1274" s="14">
        <f t="shared" si="34"/>
        <v>0</v>
      </c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r="1275" ht="14.25" customHeight="1">
      <c r="A1275" s="8"/>
      <c r="B1275" s="10"/>
      <c r="C1275" s="11" t="s">
        <v>137</v>
      </c>
      <c r="D1275" s="82" t="s">
        <v>138</v>
      </c>
      <c r="E1275" s="13">
        <v>160000.0</v>
      </c>
      <c r="F1275" s="60">
        <v>183000.0</v>
      </c>
      <c r="G1275" s="14">
        <f t="shared" si="34"/>
        <v>0.14375</v>
      </c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r="1276" ht="14.25" customHeight="1">
      <c r="A1276" s="8"/>
      <c r="B1276" s="10"/>
      <c r="C1276" s="11" t="s">
        <v>191</v>
      </c>
      <c r="D1276" s="42" t="s">
        <v>192</v>
      </c>
      <c r="E1276" s="13">
        <v>600.0</v>
      </c>
      <c r="F1276" s="13">
        <v>600.0</v>
      </c>
      <c r="G1276" s="14">
        <f t="shared" si="34"/>
        <v>0</v>
      </c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r="1277" ht="14.25" customHeight="1">
      <c r="A1277" s="8"/>
      <c r="B1277" s="10"/>
      <c r="C1277" s="11" t="s">
        <v>139</v>
      </c>
      <c r="D1277" s="42" t="s">
        <v>140</v>
      </c>
      <c r="E1277" s="13">
        <v>200.0</v>
      </c>
      <c r="F1277" s="13">
        <v>200.0</v>
      </c>
      <c r="G1277" s="14">
        <f t="shared" si="34"/>
        <v>0</v>
      </c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r="1278" ht="14.25" customHeight="1">
      <c r="A1278" s="8"/>
      <c r="B1278" s="10"/>
      <c r="C1278" s="11" t="s">
        <v>143</v>
      </c>
      <c r="D1278" s="82" t="s">
        <v>144</v>
      </c>
      <c r="E1278" s="13">
        <v>2000.0</v>
      </c>
      <c r="F1278" s="13">
        <v>2000.0</v>
      </c>
      <c r="G1278" s="14">
        <f t="shared" si="34"/>
        <v>0</v>
      </c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r="1279" ht="14.25" customHeight="1">
      <c r="A1279" s="8"/>
      <c r="B1279" s="10"/>
      <c r="C1279" s="11" t="s">
        <v>145</v>
      </c>
      <c r="D1279" s="82" t="s">
        <v>146</v>
      </c>
      <c r="E1279" s="13">
        <v>3000.0</v>
      </c>
      <c r="F1279" s="13">
        <v>3000.0</v>
      </c>
      <c r="G1279" s="14">
        <f t="shared" si="34"/>
        <v>0</v>
      </c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r="1280" ht="14.25" customHeight="1">
      <c r="A1280" s="8"/>
      <c r="B1280" s="10"/>
      <c r="C1280" s="11" t="s">
        <v>320</v>
      </c>
      <c r="D1280" s="82" t="s">
        <v>321</v>
      </c>
      <c r="E1280" s="13">
        <v>91000.0</v>
      </c>
      <c r="F1280" s="60">
        <v>10000.0</v>
      </c>
      <c r="G1280" s="14">
        <f t="shared" si="34"/>
        <v>-0.8901098901</v>
      </c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r="1281" ht="14.25" customHeight="1">
      <c r="A1281" s="8"/>
      <c r="B1281" s="10"/>
      <c r="C1281" s="83" t="s">
        <v>322</v>
      </c>
      <c r="D1281" s="84" t="s">
        <v>323</v>
      </c>
      <c r="E1281" s="60">
        <v>0.0</v>
      </c>
      <c r="F1281" s="60">
        <v>91000.0</v>
      </c>
      <c r="G1281" s="14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r="1282" ht="14.25" customHeight="1">
      <c r="A1282" s="8"/>
      <c r="B1282" s="10"/>
      <c r="C1282" s="11" t="s">
        <v>324</v>
      </c>
      <c r="D1282" s="82" t="s">
        <v>325</v>
      </c>
      <c r="E1282" s="13">
        <v>15000.0</v>
      </c>
      <c r="F1282" s="13">
        <v>15000.0</v>
      </c>
      <c r="G1282" s="14">
        <f t="shared" ref="G1282:G1285" si="35">IFERROR(((F1282-E1282)/E1282), "")</f>
        <v>0</v>
      </c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r="1283" ht="14.25" customHeight="1">
      <c r="A1283" s="8"/>
      <c r="B1283" s="10"/>
      <c r="C1283" s="11" t="s">
        <v>147</v>
      </c>
      <c r="D1283" s="82" t="s">
        <v>148</v>
      </c>
      <c r="E1283" s="13">
        <v>15000.0</v>
      </c>
      <c r="F1283" s="13">
        <v>15000.0</v>
      </c>
      <c r="G1283" s="14">
        <f t="shared" si="35"/>
        <v>0</v>
      </c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r="1284" ht="14.25" customHeight="1">
      <c r="A1284" s="8"/>
      <c r="B1284" s="10"/>
      <c r="C1284" s="11" t="s">
        <v>169</v>
      </c>
      <c r="D1284" s="82" t="s">
        <v>170</v>
      </c>
      <c r="E1284" s="13">
        <v>15000.0</v>
      </c>
      <c r="F1284" s="13">
        <v>15000.0</v>
      </c>
      <c r="G1284" s="14">
        <f t="shared" si="35"/>
        <v>0</v>
      </c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r="1285" ht="14.25" customHeight="1">
      <c r="A1285" s="8"/>
      <c r="B1285" s="10"/>
      <c r="C1285" s="11" t="s">
        <v>149</v>
      </c>
      <c r="D1285" s="82" t="s">
        <v>150</v>
      </c>
      <c r="E1285" s="13">
        <v>53000.0</v>
      </c>
      <c r="F1285" s="60">
        <v>18500.0</v>
      </c>
      <c r="G1285" s="14">
        <f t="shared" si="35"/>
        <v>-0.6509433962</v>
      </c>
      <c r="H1285" s="49"/>
      <c r="I1285" s="49"/>
      <c r="J1285" s="49"/>
      <c r="K1285" s="49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r="1286" ht="14.25" customHeight="1">
      <c r="A1286" s="8"/>
      <c r="B1286" s="10"/>
      <c r="C1286" s="83" t="s">
        <v>157</v>
      </c>
      <c r="D1286" s="84" t="s">
        <v>326</v>
      </c>
      <c r="E1286" s="60">
        <v>0.0</v>
      </c>
      <c r="F1286" s="60">
        <v>34500.0</v>
      </c>
      <c r="G1286" s="14"/>
      <c r="H1286" s="49"/>
      <c r="I1286" s="49"/>
      <c r="J1286" s="49"/>
      <c r="K1286" s="49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r="1287" ht="14.25" customHeight="1">
      <c r="A1287" s="8"/>
      <c r="B1287" s="10"/>
      <c r="C1287" s="11" t="s">
        <v>151</v>
      </c>
      <c r="D1287" s="82" t="s">
        <v>152</v>
      </c>
      <c r="E1287" s="13">
        <v>1500.0</v>
      </c>
      <c r="F1287" s="13">
        <v>1500.0</v>
      </c>
      <c r="G1287" s="14">
        <f t="shared" ref="G1287:G1304" si="36">IFERROR(((F1287-E1287)/E1287), "")</f>
        <v>0</v>
      </c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r="1288" ht="14.25" customHeight="1">
      <c r="A1288" s="8"/>
      <c r="B1288" s="10"/>
      <c r="C1288" s="11" t="s">
        <v>188</v>
      </c>
      <c r="D1288" s="82" t="s">
        <v>183</v>
      </c>
      <c r="E1288" s="13">
        <v>900.0</v>
      </c>
      <c r="F1288" s="13">
        <v>900.0</v>
      </c>
      <c r="G1288" s="14">
        <f t="shared" si="36"/>
        <v>0</v>
      </c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r="1289" ht="14.25" customHeight="1">
      <c r="A1289" s="8"/>
      <c r="B1289" s="32">
        <v>9200.0</v>
      </c>
      <c r="E1289" s="33">
        <v>685100.0</v>
      </c>
      <c r="F1289" s="33">
        <f>SUM(F1255:F1288)</f>
        <v>744100</v>
      </c>
      <c r="G1289" s="14">
        <f t="shared" si="36"/>
        <v>0.08611881477</v>
      </c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r="1290" ht="14.25" customHeight="1">
      <c r="A1290" s="8"/>
      <c r="B1290" s="10"/>
      <c r="C1290" s="11"/>
      <c r="D1290" s="12"/>
      <c r="E1290" s="13"/>
      <c r="F1290" s="13"/>
      <c r="G1290" s="14" t="str">
        <f t="shared" si="36"/>
        <v/>
      </c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r="1291" ht="14.25" customHeight="1">
      <c r="A1291" s="8"/>
      <c r="B1291" s="44">
        <v>9240.0</v>
      </c>
      <c r="C1291" s="45"/>
      <c r="D1291" s="46" t="s">
        <v>327</v>
      </c>
      <c r="E1291" s="47">
        <v>2025.0</v>
      </c>
      <c r="F1291" s="48">
        <v>2026.0</v>
      </c>
      <c r="G1291" s="14">
        <f t="shared" si="36"/>
        <v>0.0004938271605</v>
      </c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r="1292" ht="14.25" customHeight="1">
      <c r="A1292" s="8"/>
      <c r="B1292" s="10"/>
      <c r="C1292" s="11" t="s">
        <v>162</v>
      </c>
      <c r="D1292" s="82" t="s">
        <v>163</v>
      </c>
      <c r="E1292" s="13">
        <v>28000.0</v>
      </c>
      <c r="F1292" s="13">
        <v>28000.0</v>
      </c>
      <c r="G1292" s="14">
        <f t="shared" si="36"/>
        <v>0</v>
      </c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r="1293" ht="14.25" customHeight="1">
      <c r="A1293" s="8"/>
      <c r="B1293" s="10"/>
      <c r="C1293" s="11" t="s">
        <v>109</v>
      </c>
      <c r="D1293" s="82" t="s">
        <v>110</v>
      </c>
      <c r="E1293" s="13">
        <v>21500.0</v>
      </c>
      <c r="F1293" s="60">
        <v>19500.0</v>
      </c>
      <c r="G1293" s="14">
        <f t="shared" si="36"/>
        <v>-0.09302325581</v>
      </c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r="1294" ht="14.25" customHeight="1">
      <c r="A1294" s="8"/>
      <c r="B1294" s="10"/>
      <c r="C1294" s="11" t="s">
        <v>123</v>
      </c>
      <c r="D1294" s="82" t="s">
        <v>165</v>
      </c>
      <c r="E1294" s="13">
        <v>11000.0</v>
      </c>
      <c r="F1294" s="13">
        <v>11000.0</v>
      </c>
      <c r="G1294" s="14">
        <f t="shared" si="36"/>
        <v>0</v>
      </c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r="1295" ht="14.25" customHeight="1">
      <c r="A1295" s="8"/>
      <c r="B1295" s="10"/>
      <c r="C1295" s="11" t="s">
        <v>125</v>
      </c>
      <c r="D1295" s="82" t="s">
        <v>126</v>
      </c>
      <c r="E1295" s="13">
        <v>11000.0</v>
      </c>
      <c r="F1295" s="13">
        <v>11000.0</v>
      </c>
      <c r="G1295" s="14">
        <f t="shared" si="36"/>
        <v>0</v>
      </c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r="1296" ht="14.25" customHeight="1">
      <c r="A1296" s="8"/>
      <c r="B1296" s="10"/>
      <c r="C1296" s="11" t="s">
        <v>131</v>
      </c>
      <c r="D1296" s="82" t="s">
        <v>132</v>
      </c>
      <c r="E1296" s="13">
        <v>700.0</v>
      </c>
      <c r="F1296" s="13">
        <v>700.0</v>
      </c>
      <c r="G1296" s="14">
        <f t="shared" si="36"/>
        <v>0</v>
      </c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r="1297" ht="14.25" customHeight="1">
      <c r="A1297" s="8"/>
      <c r="B1297" s="10"/>
      <c r="C1297" s="11" t="s">
        <v>133</v>
      </c>
      <c r="D1297" s="42" t="s">
        <v>134</v>
      </c>
      <c r="E1297" s="13">
        <v>600.0</v>
      </c>
      <c r="F1297" s="13">
        <v>600.0</v>
      </c>
      <c r="G1297" s="14">
        <f t="shared" si="36"/>
        <v>0</v>
      </c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r="1298" ht="14.25" customHeight="1">
      <c r="A1298" s="8"/>
      <c r="B1298" s="10"/>
      <c r="C1298" s="11" t="s">
        <v>139</v>
      </c>
      <c r="D1298" s="42" t="s">
        <v>140</v>
      </c>
      <c r="E1298" s="13">
        <v>1800.0</v>
      </c>
      <c r="F1298" s="13">
        <v>1800.0</v>
      </c>
      <c r="G1298" s="14">
        <f t="shared" si="36"/>
        <v>0</v>
      </c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r="1299" ht="14.25" customHeight="1">
      <c r="A1299" s="8"/>
      <c r="B1299" s="10"/>
      <c r="C1299" s="11" t="s">
        <v>143</v>
      </c>
      <c r="D1299" s="82" t="s">
        <v>144</v>
      </c>
      <c r="E1299" s="13">
        <v>800.0</v>
      </c>
      <c r="F1299" s="13">
        <v>800.0</v>
      </c>
      <c r="G1299" s="14">
        <f t="shared" si="36"/>
        <v>0</v>
      </c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r="1300" ht="14.25" customHeight="1">
      <c r="A1300" s="8"/>
      <c r="B1300" s="10"/>
      <c r="C1300" s="11" t="s">
        <v>147</v>
      </c>
      <c r="D1300" s="82" t="s">
        <v>148</v>
      </c>
      <c r="E1300" s="13">
        <v>200.0</v>
      </c>
      <c r="F1300" s="13">
        <v>200.0</v>
      </c>
      <c r="G1300" s="14">
        <f t="shared" si="36"/>
        <v>0</v>
      </c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r="1301" ht="14.25" customHeight="1">
      <c r="A1301" s="8"/>
      <c r="B1301" s="32">
        <v>9240.0</v>
      </c>
      <c r="E1301" s="33">
        <v>75600.0</v>
      </c>
      <c r="F1301" s="33">
        <f>SUM(F1292:F1300)</f>
        <v>73600</v>
      </c>
      <c r="G1301" s="14">
        <f t="shared" si="36"/>
        <v>-0.02645502646</v>
      </c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r="1302" ht="14.25" customHeight="1">
      <c r="A1302" s="8"/>
      <c r="B1302" s="10"/>
      <c r="C1302" s="41"/>
      <c r="D1302" s="12"/>
      <c r="E1302" s="13"/>
      <c r="F1302" s="13"/>
      <c r="G1302" s="14" t="str">
        <f t="shared" si="36"/>
        <v/>
      </c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r="1303" ht="14.25" customHeight="1">
      <c r="A1303" s="8"/>
      <c r="B1303" s="44">
        <v>9250.0</v>
      </c>
      <c r="C1303" s="45"/>
      <c r="D1303" s="46" t="s">
        <v>328</v>
      </c>
      <c r="E1303" s="47">
        <v>2025.0</v>
      </c>
      <c r="F1303" s="48">
        <v>2026.0</v>
      </c>
      <c r="G1303" s="14">
        <f t="shared" si="36"/>
        <v>0.0004938271605</v>
      </c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r="1304" ht="14.25" customHeight="1">
      <c r="A1304" s="8"/>
      <c r="B1304" s="10"/>
      <c r="C1304" s="11" t="s">
        <v>117</v>
      </c>
      <c r="D1304" s="82" t="s">
        <v>164</v>
      </c>
      <c r="E1304" s="13">
        <v>40000.0</v>
      </c>
      <c r="F1304" s="60">
        <v>15000.0</v>
      </c>
      <c r="G1304" s="14">
        <f t="shared" si="36"/>
        <v>-0.625</v>
      </c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r="1305" ht="14.25" customHeight="1">
      <c r="A1305" s="8"/>
      <c r="B1305" s="10"/>
      <c r="C1305" s="83" t="s">
        <v>119</v>
      </c>
      <c r="D1305" s="84" t="s">
        <v>329</v>
      </c>
      <c r="E1305" s="13"/>
      <c r="F1305" s="60">
        <v>14520.0</v>
      </c>
      <c r="G1305" s="14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r="1306" ht="14.25" customHeight="1">
      <c r="A1306" s="8"/>
      <c r="B1306" s="10"/>
      <c r="C1306" s="83" t="s">
        <v>314</v>
      </c>
      <c r="D1306" s="97" t="s">
        <v>330</v>
      </c>
      <c r="E1306" s="13"/>
      <c r="F1306" s="60">
        <v>15000.0</v>
      </c>
      <c r="G1306" s="14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r="1307" ht="14.25" customHeight="1">
      <c r="A1307" s="8"/>
      <c r="B1307" s="10"/>
      <c r="C1307" s="11" t="s">
        <v>133</v>
      </c>
      <c r="D1307" s="82" t="s">
        <v>134</v>
      </c>
      <c r="E1307" s="13">
        <v>200.0</v>
      </c>
      <c r="F1307" s="13">
        <v>200.0</v>
      </c>
      <c r="G1307" s="14">
        <f t="shared" ref="G1307:G1330" si="37">IFERROR(((F1307-E1307)/E1307), "")</f>
        <v>0</v>
      </c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r="1308" ht="14.25" customHeight="1">
      <c r="A1308" s="8"/>
      <c r="B1308" s="10"/>
      <c r="C1308" s="11" t="s">
        <v>149</v>
      </c>
      <c r="D1308" s="82" t="s">
        <v>150</v>
      </c>
      <c r="E1308" s="13">
        <v>2000.0</v>
      </c>
      <c r="F1308" s="13">
        <v>2000.0</v>
      </c>
      <c r="G1308" s="14">
        <f t="shared" si="37"/>
        <v>0</v>
      </c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r="1309" ht="14.25" customHeight="1">
      <c r="A1309" s="8"/>
      <c r="B1309" s="32">
        <v>9250.0</v>
      </c>
      <c r="E1309" s="33">
        <v>42200.0</v>
      </c>
      <c r="F1309" s="33">
        <f>SUM(F1304:F1308)</f>
        <v>46720</v>
      </c>
      <c r="G1309" s="14">
        <f t="shared" si="37"/>
        <v>0.1071090047</v>
      </c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r="1310" ht="14.25" customHeight="1">
      <c r="A1310" s="8"/>
      <c r="B1310" s="10"/>
      <c r="C1310" s="11"/>
      <c r="D1310" s="12"/>
      <c r="E1310" s="13"/>
      <c r="F1310" s="13"/>
      <c r="G1310" s="14" t="str">
        <f t="shared" si="37"/>
        <v/>
      </c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r="1311" ht="14.25" customHeight="1">
      <c r="A1311" s="8"/>
      <c r="B1311" s="44">
        <v>9290.0</v>
      </c>
      <c r="C1311" s="45"/>
      <c r="D1311" s="46" t="s">
        <v>331</v>
      </c>
      <c r="E1311" s="47">
        <v>2025.0</v>
      </c>
      <c r="F1311" s="48">
        <v>2026.0</v>
      </c>
      <c r="G1311" s="14">
        <f t="shared" si="37"/>
        <v>0.0004938271605</v>
      </c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r="1312" ht="14.25" customHeight="1">
      <c r="A1312" s="8"/>
      <c r="B1312" s="10"/>
      <c r="C1312" s="11" t="s">
        <v>162</v>
      </c>
      <c r="D1312" s="82" t="s">
        <v>163</v>
      </c>
      <c r="E1312" s="13">
        <v>200.0</v>
      </c>
      <c r="F1312" s="13">
        <v>200.0</v>
      </c>
      <c r="G1312" s="14">
        <f t="shared" si="37"/>
        <v>0</v>
      </c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r="1313" ht="14.25" customHeight="1">
      <c r="A1313" s="8"/>
      <c r="B1313" s="10"/>
      <c r="C1313" s="11" t="s">
        <v>109</v>
      </c>
      <c r="D1313" s="82" t="s">
        <v>110</v>
      </c>
      <c r="E1313" s="13">
        <v>9400.0</v>
      </c>
      <c r="F1313" s="60">
        <v>7400.0</v>
      </c>
      <c r="G1313" s="14">
        <f t="shared" si="37"/>
        <v>-0.2127659574</v>
      </c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r="1314" ht="14.25" customHeight="1">
      <c r="A1314" s="8"/>
      <c r="B1314" s="10"/>
      <c r="C1314" s="11" t="s">
        <v>111</v>
      </c>
      <c r="D1314" s="82" t="s">
        <v>112</v>
      </c>
      <c r="E1314" s="13">
        <v>100.0</v>
      </c>
      <c r="F1314" s="13">
        <v>100.0</v>
      </c>
      <c r="G1314" s="14">
        <f t="shared" si="37"/>
        <v>0</v>
      </c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r="1315" ht="14.25" customHeight="1">
      <c r="A1315" s="8"/>
      <c r="B1315" s="10"/>
      <c r="C1315" s="11" t="s">
        <v>123</v>
      </c>
      <c r="D1315" s="82" t="s">
        <v>124</v>
      </c>
      <c r="E1315" s="13">
        <v>6000.0</v>
      </c>
      <c r="F1315" s="60">
        <v>4000.0</v>
      </c>
      <c r="G1315" s="14">
        <f t="shared" si="37"/>
        <v>-0.3333333333</v>
      </c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r="1316" ht="14.25" customHeight="1">
      <c r="A1316" s="8"/>
      <c r="B1316" s="10"/>
      <c r="C1316" s="11" t="s">
        <v>125</v>
      </c>
      <c r="D1316" s="82" t="s">
        <v>126</v>
      </c>
      <c r="E1316" s="13">
        <v>600.0</v>
      </c>
      <c r="F1316" s="13">
        <v>600.0</v>
      </c>
      <c r="G1316" s="14">
        <f t="shared" si="37"/>
        <v>0</v>
      </c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r="1317" ht="14.25" customHeight="1">
      <c r="A1317" s="8"/>
      <c r="B1317" s="10"/>
      <c r="C1317" s="11" t="s">
        <v>131</v>
      </c>
      <c r="D1317" s="82" t="s">
        <v>132</v>
      </c>
      <c r="E1317" s="13">
        <v>300.0</v>
      </c>
      <c r="F1317" s="13">
        <v>300.0</v>
      </c>
      <c r="G1317" s="14">
        <f t="shared" si="37"/>
        <v>0</v>
      </c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r="1318" ht="14.25" customHeight="1">
      <c r="A1318" s="8"/>
      <c r="B1318" s="10"/>
      <c r="C1318" s="11" t="s">
        <v>180</v>
      </c>
      <c r="D1318" s="82" t="s">
        <v>181</v>
      </c>
      <c r="E1318" s="13">
        <v>200.0</v>
      </c>
      <c r="F1318" s="13">
        <v>200.0</v>
      </c>
      <c r="G1318" s="14">
        <f t="shared" si="37"/>
        <v>0</v>
      </c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r="1319" ht="14.25" customHeight="1">
      <c r="A1319" s="8"/>
      <c r="B1319" s="10"/>
      <c r="C1319" s="11" t="s">
        <v>137</v>
      </c>
      <c r="D1319" s="82" t="s">
        <v>138</v>
      </c>
      <c r="E1319" s="13">
        <v>200.0</v>
      </c>
      <c r="F1319" s="13">
        <v>200.0</v>
      </c>
      <c r="G1319" s="14">
        <f t="shared" si="37"/>
        <v>0</v>
      </c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r="1320" ht="14.25" customHeight="1">
      <c r="A1320" s="8"/>
      <c r="B1320" s="10"/>
      <c r="C1320" s="11" t="s">
        <v>139</v>
      </c>
      <c r="D1320" s="42" t="s">
        <v>140</v>
      </c>
      <c r="E1320" s="13">
        <v>1100.0</v>
      </c>
      <c r="F1320" s="13">
        <v>1100.0</v>
      </c>
      <c r="G1320" s="14">
        <f t="shared" si="37"/>
        <v>0</v>
      </c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r="1321" ht="14.25" customHeight="1">
      <c r="A1321" s="8"/>
      <c r="B1321" s="32">
        <v>9290.0</v>
      </c>
      <c r="E1321" s="33">
        <v>18100.0</v>
      </c>
      <c r="F1321" s="33">
        <f>SUM(F1312:F1320)</f>
        <v>14100</v>
      </c>
      <c r="G1321" s="14">
        <f t="shared" si="37"/>
        <v>-0.2209944751</v>
      </c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r="1322" ht="14.25" customHeight="1">
      <c r="A1322" s="8"/>
      <c r="B1322" s="10"/>
      <c r="C1322" s="11"/>
      <c r="D1322" s="12"/>
      <c r="E1322" s="13"/>
      <c r="F1322" s="13"/>
      <c r="G1322" s="14" t="str">
        <f t="shared" si="37"/>
        <v/>
      </c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r="1323" ht="14.25" customHeight="1">
      <c r="A1323" s="8"/>
      <c r="B1323" s="44">
        <v>9300.0</v>
      </c>
      <c r="C1323" s="45"/>
      <c r="D1323" s="46" t="s">
        <v>332</v>
      </c>
      <c r="E1323" s="47">
        <v>2025.0</v>
      </c>
      <c r="F1323" s="48">
        <v>2026.0</v>
      </c>
      <c r="G1323" s="14">
        <f t="shared" si="37"/>
        <v>0.0004938271605</v>
      </c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r="1324" ht="14.25" customHeight="1">
      <c r="A1324" s="8"/>
      <c r="B1324" s="10"/>
      <c r="C1324" s="11" t="s">
        <v>109</v>
      </c>
      <c r="D1324" s="82" t="s">
        <v>110</v>
      </c>
      <c r="E1324" s="13">
        <v>80000.0</v>
      </c>
      <c r="F1324" s="60">
        <v>65000.0</v>
      </c>
      <c r="G1324" s="14">
        <f t="shared" si="37"/>
        <v>-0.1875</v>
      </c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r="1325" ht="14.25" customHeight="1">
      <c r="A1325" s="8"/>
      <c r="B1325" s="10"/>
      <c r="C1325" s="11" t="s">
        <v>123</v>
      </c>
      <c r="D1325" s="82" t="s">
        <v>124</v>
      </c>
      <c r="E1325" s="13">
        <v>10000.0</v>
      </c>
      <c r="F1325" s="60">
        <v>5000.0</v>
      </c>
      <c r="G1325" s="14">
        <f t="shared" si="37"/>
        <v>-0.5</v>
      </c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r="1326" ht="14.25" customHeight="1">
      <c r="A1326" s="8"/>
      <c r="B1326" s="10"/>
      <c r="C1326" s="11" t="s">
        <v>133</v>
      </c>
      <c r="D1326" s="42" t="s">
        <v>134</v>
      </c>
      <c r="E1326" s="13">
        <v>2000.0</v>
      </c>
      <c r="F1326" s="60">
        <v>11000.0</v>
      </c>
      <c r="G1326" s="14">
        <f t="shared" si="37"/>
        <v>4.5</v>
      </c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r="1327" ht="14.25" customHeight="1">
      <c r="A1327" s="8"/>
      <c r="B1327" s="32">
        <v>9300.0</v>
      </c>
      <c r="E1327" s="33">
        <v>92000.0</v>
      </c>
      <c r="F1327" s="33">
        <f>SUM(F1324:F1326)</f>
        <v>81000</v>
      </c>
      <c r="G1327" s="14">
        <f t="shared" si="37"/>
        <v>-0.1195652174</v>
      </c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r="1328" ht="14.25" customHeight="1">
      <c r="A1328" s="8"/>
      <c r="B1328" s="10"/>
      <c r="C1328" s="11"/>
      <c r="D1328" s="12"/>
      <c r="E1328" s="13"/>
      <c r="F1328" s="13"/>
      <c r="G1328" s="14" t="str">
        <f t="shared" si="37"/>
        <v/>
      </c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r="1329" ht="14.25" customHeight="1">
      <c r="A1329" s="8"/>
      <c r="B1329" s="44">
        <v>9310.0</v>
      </c>
      <c r="C1329" s="45"/>
      <c r="D1329" s="46" t="s">
        <v>100</v>
      </c>
      <c r="E1329" s="47">
        <v>2025.0</v>
      </c>
      <c r="F1329" s="48">
        <v>2026.0</v>
      </c>
      <c r="G1329" s="14">
        <f t="shared" si="37"/>
        <v>0.0004938271605</v>
      </c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r="1330" ht="14.25" customHeight="1">
      <c r="A1330" s="8"/>
      <c r="B1330" s="10"/>
      <c r="C1330" s="11" t="s">
        <v>117</v>
      </c>
      <c r="D1330" s="82" t="s">
        <v>164</v>
      </c>
      <c r="E1330" s="60">
        <v>0.0</v>
      </c>
      <c r="F1330" s="60">
        <v>5000.0</v>
      </c>
      <c r="G1330" s="14" t="str">
        <f t="shared" si="37"/>
        <v/>
      </c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r="1331" ht="14.25" customHeight="1">
      <c r="A1331" s="8"/>
      <c r="B1331" s="10"/>
      <c r="C1331" s="83" t="s">
        <v>119</v>
      </c>
      <c r="D1331" s="84" t="s">
        <v>319</v>
      </c>
      <c r="E1331" s="13"/>
      <c r="F1331" s="60">
        <v>10000.0</v>
      </c>
      <c r="G1331" s="14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r="1332" ht="14.25" customHeight="1">
      <c r="A1332" s="8"/>
      <c r="B1332" s="10"/>
      <c r="C1332" s="11" t="s">
        <v>121</v>
      </c>
      <c r="D1332" s="42" t="s">
        <v>122</v>
      </c>
      <c r="E1332" s="13">
        <v>4200.0</v>
      </c>
      <c r="F1332" s="60">
        <v>3000.0</v>
      </c>
      <c r="G1332" s="14">
        <f t="shared" ref="G1332:G1341" si="38">IFERROR(((F1332-E1332)/E1332), "")</f>
        <v>-0.2857142857</v>
      </c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r="1333" ht="14.25" customHeight="1">
      <c r="A1333" s="8"/>
      <c r="B1333" s="10"/>
      <c r="C1333" s="11" t="s">
        <v>166</v>
      </c>
      <c r="D1333" s="42" t="s">
        <v>235</v>
      </c>
      <c r="E1333" s="13">
        <v>100.0</v>
      </c>
      <c r="F1333" s="13">
        <v>100.0</v>
      </c>
      <c r="G1333" s="14">
        <f t="shared" si="38"/>
        <v>0</v>
      </c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r="1334" ht="14.25" customHeight="1">
      <c r="A1334" s="8"/>
      <c r="B1334" s="10"/>
      <c r="C1334" s="11" t="s">
        <v>133</v>
      </c>
      <c r="D1334" s="42" t="s">
        <v>134</v>
      </c>
      <c r="E1334" s="13">
        <v>250.0</v>
      </c>
      <c r="F1334" s="13">
        <v>250.0</v>
      </c>
      <c r="G1334" s="14">
        <f t="shared" si="38"/>
        <v>0</v>
      </c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r="1335" ht="14.25" customHeight="1">
      <c r="A1335" s="8"/>
      <c r="B1335" s="10"/>
      <c r="C1335" s="11" t="s">
        <v>145</v>
      </c>
      <c r="D1335" s="82" t="s">
        <v>146</v>
      </c>
      <c r="E1335" s="13">
        <v>500.0</v>
      </c>
      <c r="F1335" s="13">
        <v>500.0</v>
      </c>
      <c r="G1335" s="14">
        <f t="shared" si="38"/>
        <v>0</v>
      </c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r="1336" ht="14.25" customHeight="1">
      <c r="A1336" s="8"/>
      <c r="B1336" s="10"/>
      <c r="C1336" s="11" t="s">
        <v>169</v>
      </c>
      <c r="D1336" s="82" t="s">
        <v>170</v>
      </c>
      <c r="E1336" s="13">
        <v>30000.0</v>
      </c>
      <c r="F1336" s="60">
        <v>18200.0</v>
      </c>
      <c r="G1336" s="14">
        <f t="shared" si="38"/>
        <v>-0.3933333333</v>
      </c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r="1337" ht="14.25" customHeight="1">
      <c r="A1337" s="8"/>
      <c r="B1337" s="10"/>
      <c r="C1337" s="11" t="s">
        <v>151</v>
      </c>
      <c r="D1337" s="82" t="s">
        <v>152</v>
      </c>
      <c r="E1337" s="13">
        <v>200.0</v>
      </c>
      <c r="F1337" s="13">
        <v>200.0</v>
      </c>
      <c r="G1337" s="14">
        <f t="shared" si="38"/>
        <v>0</v>
      </c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r="1338" ht="14.25" customHeight="1">
      <c r="A1338" s="8"/>
      <c r="B1338" s="32">
        <v>9310.0</v>
      </c>
      <c r="E1338" s="33">
        <v>45250.0</v>
      </c>
      <c r="F1338" s="33">
        <f>SUM(F1330:F1337)</f>
        <v>37250</v>
      </c>
      <c r="G1338" s="14">
        <f t="shared" si="38"/>
        <v>-0.1767955801</v>
      </c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r="1339" ht="14.25" customHeight="1">
      <c r="A1339" s="8"/>
      <c r="B1339" s="10"/>
      <c r="C1339" s="11"/>
      <c r="D1339" s="12"/>
      <c r="E1339" s="13"/>
      <c r="F1339" s="13"/>
      <c r="G1339" s="14" t="str">
        <f t="shared" si="38"/>
        <v/>
      </c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r="1340" ht="14.25" customHeight="1">
      <c r="A1340" s="8"/>
      <c r="B1340" s="44">
        <v>9320.0</v>
      </c>
      <c r="C1340" s="45"/>
      <c r="D1340" s="46" t="s">
        <v>101</v>
      </c>
      <c r="E1340" s="47">
        <v>2025.0</v>
      </c>
      <c r="F1340" s="48">
        <v>2026.0</v>
      </c>
      <c r="G1340" s="14">
        <f t="shared" si="38"/>
        <v>0.0004938271605</v>
      </c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r="1341" ht="14.25" customHeight="1">
      <c r="A1341" s="8"/>
      <c r="B1341" s="10"/>
      <c r="C1341" s="11" t="s">
        <v>117</v>
      </c>
      <c r="D1341" s="82" t="s">
        <v>164</v>
      </c>
      <c r="E1341" s="13">
        <v>38000.0</v>
      </c>
      <c r="F1341" s="60">
        <v>2000.0</v>
      </c>
      <c r="G1341" s="14">
        <f t="shared" si="38"/>
        <v>-0.9473684211</v>
      </c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r="1342" ht="14.25" customHeight="1">
      <c r="A1342" s="8"/>
      <c r="B1342" s="10"/>
      <c r="C1342" s="83" t="s">
        <v>119</v>
      </c>
      <c r="D1342" s="84" t="s">
        <v>319</v>
      </c>
      <c r="E1342" s="13"/>
      <c r="F1342" s="60">
        <v>38000.0</v>
      </c>
      <c r="G1342" s="14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r="1343" ht="14.25" customHeight="1">
      <c r="A1343" s="8"/>
      <c r="B1343" s="10"/>
      <c r="C1343" s="11" t="s">
        <v>121</v>
      </c>
      <c r="D1343" s="82" t="s">
        <v>122</v>
      </c>
      <c r="E1343" s="13">
        <v>10000.0</v>
      </c>
      <c r="F1343" s="60">
        <v>5000.0</v>
      </c>
      <c r="G1343" s="14">
        <f t="shared" ref="G1343:G1356" si="39">IFERROR(((F1343-E1343)/E1343), "")</f>
        <v>-0.5</v>
      </c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r="1344" ht="14.25" customHeight="1">
      <c r="A1344" s="8"/>
      <c r="B1344" s="10"/>
      <c r="C1344" s="11" t="s">
        <v>166</v>
      </c>
      <c r="D1344" s="42" t="s">
        <v>235</v>
      </c>
      <c r="E1344" s="13">
        <v>1100.0</v>
      </c>
      <c r="F1344" s="13">
        <f>500+600</f>
        <v>1100</v>
      </c>
      <c r="G1344" s="14">
        <f t="shared" si="39"/>
        <v>0</v>
      </c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r="1345" ht="14.25" customHeight="1">
      <c r="A1345" s="8"/>
      <c r="B1345" s="10"/>
      <c r="C1345" s="11" t="s">
        <v>125</v>
      </c>
      <c r="D1345" s="82" t="s">
        <v>126</v>
      </c>
      <c r="E1345" s="13">
        <v>0.0</v>
      </c>
      <c r="F1345" s="13">
        <v>0.0</v>
      </c>
      <c r="G1345" s="14" t="str">
        <f t="shared" si="39"/>
        <v/>
      </c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r="1346" ht="14.25" customHeight="1">
      <c r="A1346" s="8"/>
      <c r="B1346" s="10"/>
      <c r="C1346" s="11" t="s">
        <v>133</v>
      </c>
      <c r="D1346" s="82" t="s">
        <v>134</v>
      </c>
      <c r="E1346" s="13">
        <v>2500.0</v>
      </c>
      <c r="F1346" s="13">
        <v>2500.0</v>
      </c>
      <c r="G1346" s="14">
        <f t="shared" si="39"/>
        <v>0</v>
      </c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r="1347" ht="14.25" customHeight="1">
      <c r="A1347" s="8"/>
      <c r="B1347" s="10"/>
      <c r="C1347" s="11" t="s">
        <v>135</v>
      </c>
      <c r="D1347" s="82" t="s">
        <v>136</v>
      </c>
      <c r="E1347" s="13">
        <v>80000.0</v>
      </c>
      <c r="F1347" s="60">
        <v>60000.0</v>
      </c>
      <c r="G1347" s="14">
        <f t="shared" si="39"/>
        <v>-0.25</v>
      </c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r="1348" ht="14.25" customHeight="1">
      <c r="A1348" s="8"/>
      <c r="B1348" s="10"/>
      <c r="C1348" s="11" t="s">
        <v>143</v>
      </c>
      <c r="D1348" s="82" t="s">
        <v>144</v>
      </c>
      <c r="E1348" s="13">
        <v>7600.0</v>
      </c>
      <c r="F1348" s="13">
        <f>2500+5100</f>
        <v>7600</v>
      </c>
      <c r="G1348" s="14">
        <f t="shared" si="39"/>
        <v>0</v>
      </c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r="1349" ht="14.25" customHeight="1">
      <c r="A1349" s="8"/>
      <c r="B1349" s="10"/>
      <c r="C1349" s="11" t="s">
        <v>145</v>
      </c>
      <c r="D1349" s="82" t="s">
        <v>146</v>
      </c>
      <c r="E1349" s="13">
        <v>500.0</v>
      </c>
      <c r="F1349" s="13">
        <f>300+200</f>
        <v>500</v>
      </c>
      <c r="G1349" s="14">
        <f t="shared" si="39"/>
        <v>0</v>
      </c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r="1350" ht="14.25" customHeight="1">
      <c r="A1350" s="8"/>
      <c r="B1350" s="10"/>
      <c r="C1350" s="11" t="s">
        <v>147</v>
      </c>
      <c r="D1350" s="82" t="s">
        <v>148</v>
      </c>
      <c r="E1350" s="13">
        <v>3000.0</v>
      </c>
      <c r="F1350" s="13">
        <v>3000.0</v>
      </c>
      <c r="G1350" s="14">
        <f t="shared" si="39"/>
        <v>0</v>
      </c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r="1351" ht="14.25" customHeight="1">
      <c r="A1351" s="8"/>
      <c r="B1351" s="10"/>
      <c r="C1351" s="11" t="s">
        <v>169</v>
      </c>
      <c r="D1351" s="82" t="s">
        <v>170</v>
      </c>
      <c r="E1351" s="13">
        <v>15000.0</v>
      </c>
      <c r="F1351" s="13">
        <v>15000.0</v>
      </c>
      <c r="G1351" s="14">
        <f t="shared" si="39"/>
        <v>0</v>
      </c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r="1352" ht="14.25" customHeight="1">
      <c r="A1352" s="8"/>
      <c r="B1352" s="10"/>
      <c r="C1352" s="11" t="s">
        <v>151</v>
      </c>
      <c r="D1352" s="82" t="s">
        <v>152</v>
      </c>
      <c r="E1352" s="13">
        <v>1100.0</v>
      </c>
      <c r="F1352" s="13">
        <f>100+1000</f>
        <v>1100</v>
      </c>
      <c r="G1352" s="14">
        <f t="shared" si="39"/>
        <v>0</v>
      </c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r="1353" ht="14.25" customHeight="1">
      <c r="A1353" s="8"/>
      <c r="B1353" s="32">
        <v>9320.0</v>
      </c>
      <c r="E1353" s="33">
        <v>158800.0</v>
      </c>
      <c r="F1353" s="33">
        <f>SUM(F1341:F1352)</f>
        <v>135800</v>
      </c>
      <c r="G1353" s="14">
        <f t="shared" si="39"/>
        <v>-0.144836272</v>
      </c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r="1354" ht="14.25" customHeight="1">
      <c r="A1354" s="8"/>
      <c r="B1354" s="10"/>
      <c r="C1354" s="11"/>
      <c r="D1354" s="58"/>
      <c r="E1354" s="43"/>
      <c r="F1354" s="43"/>
      <c r="G1354" s="14" t="str">
        <f t="shared" si="39"/>
        <v/>
      </c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r="1355" ht="14.25" customHeight="1">
      <c r="A1355" s="8"/>
      <c r="B1355" s="44">
        <v>9330.0</v>
      </c>
      <c r="C1355" s="45"/>
      <c r="D1355" s="46" t="s">
        <v>102</v>
      </c>
      <c r="E1355" s="47">
        <v>2025.0</v>
      </c>
      <c r="F1355" s="48">
        <v>2026.0</v>
      </c>
      <c r="G1355" s="14">
        <f t="shared" si="39"/>
        <v>0.0004938271605</v>
      </c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r="1356" ht="14.25" customHeight="1">
      <c r="A1356" s="8"/>
      <c r="B1356" s="10"/>
      <c r="C1356" s="83" t="s">
        <v>117</v>
      </c>
      <c r="D1356" s="42" t="s">
        <v>164</v>
      </c>
      <c r="E1356" s="60">
        <v>0.0</v>
      </c>
      <c r="F1356" s="60">
        <v>500.0</v>
      </c>
      <c r="G1356" s="14" t="str">
        <f t="shared" si="39"/>
        <v/>
      </c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r="1357" ht="14.25" customHeight="1">
      <c r="A1357" s="8"/>
      <c r="B1357" s="10"/>
      <c r="C1357" s="83" t="s">
        <v>119</v>
      </c>
      <c r="D1357" s="85" t="s">
        <v>333</v>
      </c>
      <c r="E1357" s="60"/>
      <c r="F1357" s="60">
        <v>13500.0</v>
      </c>
      <c r="G1357" s="14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r="1358" ht="14.25" customHeight="1">
      <c r="A1358" s="8"/>
      <c r="B1358" s="10"/>
      <c r="C1358" s="11" t="s">
        <v>121</v>
      </c>
      <c r="D1358" s="42" t="s">
        <v>122</v>
      </c>
      <c r="E1358" s="13">
        <v>1200.0</v>
      </c>
      <c r="F1358" s="13">
        <v>1200.0</v>
      </c>
      <c r="G1358" s="14">
        <f t="shared" ref="G1358:G1367" si="40">IFERROR(((F1358-E1358)/E1358), "")</f>
        <v>0</v>
      </c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r="1359" ht="14.25" customHeight="1">
      <c r="A1359" s="8"/>
      <c r="B1359" s="10"/>
      <c r="C1359" s="11" t="s">
        <v>133</v>
      </c>
      <c r="D1359" s="42" t="s">
        <v>134</v>
      </c>
      <c r="E1359" s="13">
        <v>300.0</v>
      </c>
      <c r="F1359" s="13">
        <v>300.0</v>
      </c>
      <c r="G1359" s="14">
        <f t="shared" si="40"/>
        <v>0</v>
      </c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r="1360" ht="14.25" customHeight="1">
      <c r="A1360" s="8"/>
      <c r="B1360" s="10"/>
      <c r="C1360" s="11" t="s">
        <v>169</v>
      </c>
      <c r="D1360" s="82" t="s">
        <v>170</v>
      </c>
      <c r="E1360" s="13">
        <v>0.0</v>
      </c>
      <c r="F1360" s="13">
        <v>0.0</v>
      </c>
      <c r="G1360" s="14" t="str">
        <f t="shared" si="40"/>
        <v/>
      </c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r="1361" ht="14.25" customHeight="1">
      <c r="A1361" s="8"/>
      <c r="B1361" s="10"/>
      <c r="C1361" s="11" t="s">
        <v>147</v>
      </c>
      <c r="D1361" s="82" t="s">
        <v>148</v>
      </c>
      <c r="E1361" s="13">
        <v>100.0</v>
      </c>
      <c r="F1361" s="13">
        <v>100.0</v>
      </c>
      <c r="G1361" s="14">
        <f t="shared" si="40"/>
        <v>0</v>
      </c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r="1362" ht="14.25" customHeight="1">
      <c r="A1362" s="8"/>
      <c r="B1362" s="32">
        <v>9330.0</v>
      </c>
      <c r="E1362" s="33">
        <v>1600.0</v>
      </c>
      <c r="F1362" s="33">
        <f>SUM(F1356:F1361)</f>
        <v>15600</v>
      </c>
      <c r="G1362" s="14">
        <f t="shared" si="40"/>
        <v>8.75</v>
      </c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r="1363" ht="14.25" customHeight="1">
      <c r="A1363" s="8"/>
      <c r="B1363" s="10"/>
      <c r="C1363" s="11"/>
      <c r="D1363" s="58"/>
      <c r="E1363" s="43"/>
      <c r="F1363" s="43"/>
      <c r="G1363" s="14" t="str">
        <f t="shared" si="40"/>
        <v/>
      </c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r="1364" ht="14.25" customHeight="1">
      <c r="A1364" s="8"/>
      <c r="B1364" s="44">
        <v>9340.0</v>
      </c>
      <c r="C1364" s="45"/>
      <c r="D1364" s="46" t="s">
        <v>103</v>
      </c>
      <c r="E1364" s="47">
        <v>2025.0</v>
      </c>
      <c r="F1364" s="48">
        <v>2026.0</v>
      </c>
      <c r="G1364" s="14">
        <f t="shared" si="40"/>
        <v>0.0004938271605</v>
      </c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r="1365" ht="14.25" customHeight="1">
      <c r="A1365" s="8"/>
      <c r="B1365" s="52"/>
      <c r="C1365" s="11" t="s">
        <v>135</v>
      </c>
      <c r="D1365" s="82" t="s">
        <v>136</v>
      </c>
      <c r="E1365" s="13">
        <v>500.0</v>
      </c>
      <c r="F1365" s="13">
        <v>500.0</v>
      </c>
      <c r="G1365" s="14">
        <f t="shared" si="40"/>
        <v>0</v>
      </c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r="1366">
      <c r="A1366" s="8"/>
      <c r="B1366" s="52"/>
      <c r="C1366" s="11" t="s">
        <v>151</v>
      </c>
      <c r="D1366" s="82" t="s">
        <v>152</v>
      </c>
      <c r="E1366" s="13">
        <v>500.0</v>
      </c>
      <c r="F1366" s="13">
        <v>500.0</v>
      </c>
      <c r="G1366" s="14">
        <f t="shared" si="40"/>
        <v>0</v>
      </c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r="1367" ht="14.25" customHeight="1">
      <c r="A1367" s="8"/>
      <c r="B1367" s="10"/>
      <c r="C1367" s="11" t="s">
        <v>149</v>
      </c>
      <c r="D1367" s="82" t="s">
        <v>150</v>
      </c>
      <c r="E1367" s="13">
        <v>75000.0</v>
      </c>
      <c r="F1367" s="60">
        <v>10000.0</v>
      </c>
      <c r="G1367" s="14">
        <f t="shared" si="40"/>
        <v>-0.8666666667</v>
      </c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r="1368" ht="14.25" customHeight="1">
      <c r="A1368" s="8"/>
      <c r="B1368" s="10"/>
      <c r="C1368" s="83" t="s">
        <v>157</v>
      </c>
      <c r="D1368" s="84" t="s">
        <v>334</v>
      </c>
      <c r="E1368" s="13"/>
      <c r="F1368" s="60">
        <v>65000.0</v>
      </c>
      <c r="G1368" s="14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r="1369" ht="14.25" customHeight="1">
      <c r="A1369" s="8"/>
      <c r="B1369" s="32">
        <v>9340.0</v>
      </c>
      <c r="E1369" s="33">
        <v>76000.0</v>
      </c>
      <c r="F1369" s="33">
        <f>SUM(F1365:F1368)</f>
        <v>76000</v>
      </c>
      <c r="G1369" s="14">
        <f t="shared" ref="G1369:G1490" si="41">IFERROR(((F1369-E1369)/E1369), "")</f>
        <v>0</v>
      </c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r="1370" ht="14.25" customHeight="1">
      <c r="A1370" s="8"/>
      <c r="B1370" s="10"/>
      <c r="C1370" s="11"/>
      <c r="D1370" s="58"/>
      <c r="E1370" s="59"/>
      <c r="F1370" s="59"/>
      <c r="G1370" s="14" t="str">
        <f t="shared" si="41"/>
        <v/>
      </c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r="1371" ht="14.25" customHeight="1">
      <c r="A1371" s="8"/>
      <c r="B1371" s="10"/>
      <c r="C1371" s="11"/>
      <c r="D1371" s="32" t="s">
        <v>335</v>
      </c>
      <c r="E1371" s="75">
        <v>1.968003E7</v>
      </c>
      <c r="F1371" s="75">
        <f>SUM(F538,F548,F567,F588,F605,F614,F620,F643,F654,F679,F684,F692,F696,F711,F732,F751,F759,F763,F783,F791,F808,F820,F841,F845,F852,F865,F878,F900,F917,F934,F950,F968,F984,F1001,F1018,F1036,F1057,F1063,F1068,F1089,F1105,F1131,F1136,F1143,F1151,F1178,F1185,F1206,F1211,F1217,F1233,F1252,F1289,F1301,F1309,F1321,F1327,F1338,F1353,F1362,F1369)</f>
        <v>21623640</v>
      </c>
      <c r="G1371" s="14">
        <f t="shared" si="41"/>
        <v>0.09876052018</v>
      </c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r="1372" ht="14.25" customHeight="1">
      <c r="A1372" s="8"/>
      <c r="B1372" s="10"/>
      <c r="C1372" s="11"/>
      <c r="D1372" s="58"/>
      <c r="E1372" s="59"/>
      <c r="F1372" s="59"/>
      <c r="G1372" s="14" t="str">
        <f t="shared" si="41"/>
        <v/>
      </c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r="1373" ht="14.25" customHeight="1">
      <c r="A1373" s="8"/>
      <c r="B1373" s="10"/>
      <c r="C1373" s="11"/>
      <c r="D1373" s="58"/>
      <c r="E1373" s="59"/>
      <c r="F1373" s="59"/>
      <c r="G1373" s="14" t="str">
        <f t="shared" si="41"/>
        <v/>
      </c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r="1374" ht="14.25" customHeight="1">
      <c r="A1374" s="8"/>
      <c r="B1374" s="10"/>
      <c r="C1374" s="11"/>
      <c r="D1374" s="58"/>
      <c r="E1374" s="59"/>
      <c r="F1374" s="59"/>
      <c r="G1374" s="14" t="str">
        <f t="shared" si="41"/>
        <v/>
      </c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r="1375" ht="14.25" customHeight="1">
      <c r="A1375" s="8"/>
      <c r="B1375" s="18" t="s">
        <v>11</v>
      </c>
      <c r="C1375" s="20"/>
      <c r="D1375" s="21" t="s">
        <v>336</v>
      </c>
      <c r="E1375" s="22"/>
      <c r="F1375" s="22"/>
      <c r="G1375" s="14" t="str">
        <f t="shared" si="41"/>
        <v/>
      </c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r="1376" ht="14.25" customHeight="1">
      <c r="A1376" s="8"/>
      <c r="B1376" s="98" t="s">
        <v>13</v>
      </c>
      <c r="C1376" s="99" t="s">
        <v>14</v>
      </c>
      <c r="D1376" s="100"/>
      <c r="E1376" s="101">
        <v>2025.0</v>
      </c>
      <c r="F1376" s="102">
        <v>2026.0</v>
      </c>
      <c r="G1376" s="14">
        <f t="shared" si="41"/>
        <v>0.0004938271605</v>
      </c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r="1377" ht="14.25" customHeight="1">
      <c r="A1377" s="8"/>
      <c r="B1377" s="103" t="s">
        <v>337</v>
      </c>
      <c r="C1377" s="45"/>
      <c r="D1377" s="46" t="s">
        <v>338</v>
      </c>
      <c r="E1377" s="47">
        <v>2025.0</v>
      </c>
      <c r="F1377" s="48">
        <v>2026.0</v>
      </c>
      <c r="G1377" s="14">
        <f t="shared" si="41"/>
        <v>0.0004938271605</v>
      </c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r="1378" ht="14.25" customHeight="1">
      <c r="A1378" s="8"/>
      <c r="B1378" s="10"/>
      <c r="C1378" s="11" t="s">
        <v>339</v>
      </c>
      <c r="D1378" s="51" t="s">
        <v>340</v>
      </c>
      <c r="E1378" s="13">
        <v>160000.0</v>
      </c>
      <c r="F1378" s="13">
        <v>160000.0</v>
      </c>
      <c r="G1378" s="14">
        <f t="shared" si="41"/>
        <v>0</v>
      </c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r="1379" ht="14.25" customHeight="1">
      <c r="A1379" s="8"/>
      <c r="B1379" s="10"/>
      <c r="C1379" s="11" t="s">
        <v>341</v>
      </c>
      <c r="D1379" s="12" t="s">
        <v>342</v>
      </c>
      <c r="E1379" s="13">
        <v>0.0</v>
      </c>
      <c r="F1379" s="13">
        <v>0.0</v>
      </c>
      <c r="G1379" s="14" t="str">
        <f t="shared" si="41"/>
        <v/>
      </c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r="1380" ht="14.25" customHeight="1">
      <c r="A1380" s="8"/>
      <c r="B1380" s="53" t="s">
        <v>337</v>
      </c>
      <c r="E1380" s="33">
        <v>160000.0</v>
      </c>
      <c r="F1380" s="33">
        <f>SUM(F1378:F1379)</f>
        <v>160000</v>
      </c>
      <c r="G1380" s="14">
        <f t="shared" si="41"/>
        <v>0</v>
      </c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r="1381" ht="14.25" customHeight="1">
      <c r="A1381" s="8"/>
      <c r="B1381" s="10"/>
      <c r="C1381" s="11"/>
      <c r="D1381" s="12"/>
      <c r="E1381" s="13"/>
      <c r="F1381" s="13"/>
      <c r="G1381" s="14" t="str">
        <f t="shared" si="41"/>
        <v/>
      </c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r="1382" ht="14.25" customHeight="1">
      <c r="A1382" s="8"/>
      <c r="B1382" s="44">
        <v>9340.0</v>
      </c>
      <c r="C1382" s="45"/>
      <c r="D1382" s="46" t="s">
        <v>103</v>
      </c>
      <c r="E1382" s="47">
        <v>2025.0</v>
      </c>
      <c r="F1382" s="48">
        <v>2026.0</v>
      </c>
      <c r="G1382" s="14">
        <f t="shared" si="41"/>
        <v>0.0004938271605</v>
      </c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r="1383" ht="14.25" customHeight="1">
      <c r="A1383" s="8"/>
      <c r="B1383" s="17"/>
      <c r="C1383" s="11" t="s">
        <v>343</v>
      </c>
      <c r="D1383" s="12" t="s">
        <v>344</v>
      </c>
      <c r="E1383" s="13">
        <v>10300.0</v>
      </c>
      <c r="F1383" s="60">
        <v>24000.0</v>
      </c>
      <c r="G1383" s="14">
        <f t="shared" si="41"/>
        <v>1.330097087</v>
      </c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r="1384" ht="14.25" customHeight="1">
      <c r="A1384" s="8"/>
      <c r="B1384" s="32">
        <v>9340.0</v>
      </c>
      <c r="E1384" s="33">
        <v>10300.0</v>
      </c>
      <c r="F1384" s="33">
        <f>SUM(F1383)</f>
        <v>24000</v>
      </c>
      <c r="G1384" s="14">
        <f t="shared" si="41"/>
        <v>1.330097087</v>
      </c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r="1385" ht="14.25" customHeight="1">
      <c r="A1385" s="8"/>
      <c r="B1385" s="10"/>
      <c r="C1385" s="11"/>
      <c r="D1385" s="12"/>
      <c r="E1385" s="13"/>
      <c r="F1385" s="13"/>
      <c r="G1385" s="14" t="str">
        <f t="shared" si="41"/>
        <v/>
      </c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r="1386" ht="14.25" customHeight="1">
      <c r="A1386" s="8"/>
      <c r="B1386" s="10"/>
      <c r="C1386" s="11"/>
      <c r="D1386" s="32" t="s">
        <v>345</v>
      </c>
      <c r="E1386" s="75">
        <v>170300.0</v>
      </c>
      <c r="F1386" s="75">
        <f>F1384+F1380</f>
        <v>184000</v>
      </c>
      <c r="G1386" s="14">
        <f t="shared" si="41"/>
        <v>0.08044627129</v>
      </c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r="1387" ht="14.25" customHeight="1">
      <c r="A1387" s="8"/>
      <c r="B1387" s="10"/>
      <c r="C1387" s="11"/>
      <c r="D1387" s="12"/>
      <c r="E1387" s="13"/>
      <c r="F1387" s="13"/>
      <c r="G1387" s="14" t="str">
        <f t="shared" si="41"/>
        <v/>
      </c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r="1388" ht="14.25" customHeight="1">
      <c r="A1388" s="8"/>
      <c r="B1388" s="10"/>
      <c r="C1388" s="11"/>
      <c r="D1388" s="12"/>
      <c r="E1388" s="13"/>
      <c r="F1388" s="13"/>
      <c r="G1388" s="14" t="str">
        <f t="shared" si="41"/>
        <v/>
      </c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r="1389" ht="14.25" customHeight="1">
      <c r="A1389" s="8"/>
      <c r="B1389" s="10"/>
      <c r="C1389" s="11"/>
      <c r="D1389" s="12"/>
      <c r="E1389" s="13"/>
      <c r="F1389" s="13"/>
      <c r="G1389" s="14" t="str">
        <f t="shared" si="41"/>
        <v/>
      </c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r="1390" ht="14.25" customHeight="1">
      <c r="A1390" s="8"/>
      <c r="B1390" s="104" t="s">
        <v>11</v>
      </c>
      <c r="C1390" s="20"/>
      <c r="D1390" s="105" t="s">
        <v>346</v>
      </c>
      <c r="E1390" s="106"/>
      <c r="F1390" s="106"/>
      <c r="G1390" s="14" t="str">
        <f t="shared" si="41"/>
        <v/>
      </c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r="1391" ht="14.25" customHeight="1">
      <c r="A1391" s="8"/>
      <c r="B1391" s="107" t="s">
        <v>13</v>
      </c>
      <c r="C1391" s="108" t="s">
        <v>14</v>
      </c>
      <c r="D1391" s="25"/>
      <c r="E1391" s="109">
        <v>2025.0</v>
      </c>
      <c r="F1391" s="110">
        <v>2026.0</v>
      </c>
      <c r="G1391" s="14">
        <f t="shared" si="41"/>
        <v>0.0004938271605</v>
      </c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r="1392" ht="14.25" customHeight="1">
      <c r="A1392" s="8"/>
      <c r="B1392" s="111">
        <v>1610.0</v>
      </c>
      <c r="C1392" s="112"/>
      <c r="D1392" s="113" t="s">
        <v>53</v>
      </c>
      <c r="E1392" s="114">
        <v>2025.0</v>
      </c>
      <c r="F1392" s="115">
        <v>2026.0</v>
      </c>
      <c r="G1392" s="14">
        <f t="shared" si="41"/>
        <v>0.0004938271605</v>
      </c>
      <c r="H1392" s="16"/>
      <c r="I1392" s="1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r="1393" ht="14.25" customHeight="1">
      <c r="A1393" s="8"/>
      <c r="B1393" s="117"/>
      <c r="C1393" s="118" t="s">
        <v>347</v>
      </c>
      <c r="D1393" s="40" t="s">
        <v>348</v>
      </c>
      <c r="E1393" s="119">
        <v>2200.0</v>
      </c>
      <c r="F1393" s="119">
        <v>2200.0</v>
      </c>
      <c r="G1393" s="14">
        <f t="shared" si="41"/>
        <v>0</v>
      </c>
      <c r="H1393" s="49"/>
      <c r="I1393" s="120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r="1394" ht="14.25" customHeight="1">
      <c r="A1394" s="8"/>
      <c r="B1394" s="121">
        <v>1610.0</v>
      </c>
      <c r="E1394" s="122">
        <v>2200.0</v>
      </c>
      <c r="F1394" s="122">
        <f>SUM(F1393)</f>
        <v>2200</v>
      </c>
      <c r="G1394" s="14">
        <f t="shared" si="41"/>
        <v>0</v>
      </c>
      <c r="H1394" s="16"/>
      <c r="I1394" s="120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r="1395" ht="14.25" customHeight="1">
      <c r="A1395" s="8"/>
      <c r="B1395" s="117"/>
      <c r="C1395" s="118"/>
      <c r="D1395" s="40"/>
      <c r="E1395" s="119"/>
      <c r="F1395" s="119"/>
      <c r="G1395" s="14" t="str">
        <f t="shared" si="41"/>
        <v/>
      </c>
      <c r="H1395" s="16"/>
      <c r="I1395" s="120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r="1396" ht="14.25" customHeight="1">
      <c r="A1396" s="8"/>
      <c r="B1396" s="35">
        <v>1700.0</v>
      </c>
      <c r="C1396" s="36"/>
      <c r="D1396" s="37" t="s">
        <v>203</v>
      </c>
      <c r="E1396" s="38">
        <v>2025.0</v>
      </c>
      <c r="F1396" s="39">
        <v>2026.0</v>
      </c>
      <c r="G1396" s="14">
        <f t="shared" si="41"/>
        <v>0.0004938271605</v>
      </c>
      <c r="H1396" s="16"/>
      <c r="I1396" s="120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r="1397" ht="14.25" customHeight="1">
      <c r="A1397" s="8"/>
      <c r="B1397" s="123"/>
      <c r="C1397" s="118" t="s">
        <v>347</v>
      </c>
      <c r="D1397" s="40" t="s">
        <v>348</v>
      </c>
      <c r="E1397" s="119">
        <v>2300.0</v>
      </c>
      <c r="F1397" s="119">
        <v>2300.0</v>
      </c>
      <c r="G1397" s="14">
        <f t="shared" si="41"/>
        <v>0</v>
      </c>
      <c r="H1397" s="49"/>
      <c r="I1397" s="120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r="1398" ht="14.25" customHeight="1">
      <c r="A1398" s="8"/>
      <c r="B1398" s="121">
        <v>1700.0</v>
      </c>
      <c r="E1398" s="122">
        <v>2300.0</v>
      </c>
      <c r="F1398" s="122">
        <f>SUM(F1397)</f>
        <v>2300</v>
      </c>
      <c r="G1398" s="14">
        <f t="shared" si="41"/>
        <v>0</v>
      </c>
      <c r="H1398" s="16"/>
      <c r="I1398" s="120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r="1399" ht="14.25" customHeight="1">
      <c r="A1399" s="8"/>
      <c r="B1399" s="117"/>
      <c r="C1399" s="124"/>
      <c r="D1399" s="125"/>
      <c r="E1399" s="126"/>
      <c r="F1399" s="126"/>
      <c r="G1399" s="14" t="str">
        <f t="shared" si="41"/>
        <v/>
      </c>
      <c r="H1399" s="16"/>
      <c r="I1399" s="120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r="1400" ht="14.25" customHeight="1">
      <c r="A1400" s="8"/>
      <c r="B1400" s="35">
        <v>1710.0</v>
      </c>
      <c r="C1400" s="36"/>
      <c r="D1400" s="37" t="s">
        <v>60</v>
      </c>
      <c r="E1400" s="38">
        <v>2025.0</v>
      </c>
      <c r="F1400" s="39">
        <v>2026.0</v>
      </c>
      <c r="G1400" s="14">
        <f t="shared" si="41"/>
        <v>0.0004938271605</v>
      </c>
      <c r="H1400" s="16"/>
      <c r="I1400" s="120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r="1401" ht="14.25" customHeight="1">
      <c r="A1401" s="8"/>
      <c r="B1401" s="117"/>
      <c r="C1401" s="118" t="s">
        <v>347</v>
      </c>
      <c r="D1401" s="40" t="s">
        <v>348</v>
      </c>
      <c r="E1401" s="119">
        <v>210.0</v>
      </c>
      <c r="F1401" s="119">
        <v>210.0</v>
      </c>
      <c r="G1401" s="14">
        <f t="shared" si="41"/>
        <v>0</v>
      </c>
      <c r="H1401" s="49"/>
      <c r="I1401" s="120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r="1402" ht="14.25" customHeight="1">
      <c r="A1402" s="8"/>
      <c r="B1402" s="121">
        <v>1710.0</v>
      </c>
      <c r="E1402" s="122">
        <v>210.0</v>
      </c>
      <c r="F1402" s="122">
        <f>SUM(F1401)</f>
        <v>210</v>
      </c>
      <c r="G1402" s="14">
        <f t="shared" si="41"/>
        <v>0</v>
      </c>
      <c r="H1402" s="16"/>
      <c r="I1402" s="120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r="1403" ht="14.25" customHeight="1">
      <c r="A1403" s="8"/>
      <c r="B1403" s="117"/>
      <c r="C1403" s="118"/>
      <c r="D1403" s="40"/>
      <c r="E1403" s="119"/>
      <c r="F1403" s="119"/>
      <c r="G1403" s="14" t="str">
        <f t="shared" si="41"/>
        <v/>
      </c>
      <c r="H1403" s="16"/>
      <c r="I1403" s="120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r="1404" ht="14.25" customHeight="1">
      <c r="A1404" s="8"/>
      <c r="B1404" s="35">
        <v>2311.0</v>
      </c>
      <c r="C1404" s="36"/>
      <c r="D1404" s="37" t="s">
        <v>75</v>
      </c>
      <c r="E1404" s="38">
        <v>2025.0</v>
      </c>
      <c r="F1404" s="39">
        <v>2026.0</v>
      </c>
      <c r="G1404" s="14">
        <f t="shared" si="41"/>
        <v>0.0004938271605</v>
      </c>
      <c r="H1404" s="16"/>
      <c r="I1404" s="120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  <row r="1405" ht="14.25" customHeight="1">
      <c r="A1405" s="8"/>
      <c r="B1405" s="117"/>
      <c r="C1405" s="118" t="s">
        <v>347</v>
      </c>
      <c r="D1405" s="40" t="s">
        <v>348</v>
      </c>
      <c r="E1405" s="127">
        <v>186580.0</v>
      </c>
      <c r="F1405" s="127">
        <v>203580.0</v>
      </c>
      <c r="G1405" s="14">
        <f t="shared" si="41"/>
        <v>0.09111373138</v>
      </c>
      <c r="H1405" s="49"/>
      <c r="I1405" s="120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</row>
    <row r="1406" ht="14.25" customHeight="1">
      <c r="A1406" s="8"/>
      <c r="B1406" s="117"/>
      <c r="C1406" s="118" t="s">
        <v>349</v>
      </c>
      <c r="D1406" s="128" t="s">
        <v>350</v>
      </c>
      <c r="E1406" s="119">
        <v>26000.0</v>
      </c>
      <c r="F1406" s="119">
        <v>26000.0</v>
      </c>
      <c r="G1406" s="14">
        <f t="shared" si="41"/>
        <v>0</v>
      </c>
      <c r="H1406" s="49"/>
      <c r="I1406" s="120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r="1407" ht="14.25" customHeight="1">
      <c r="A1407" s="8"/>
      <c r="B1407" s="117"/>
      <c r="C1407" s="118" t="s">
        <v>351</v>
      </c>
      <c r="D1407" s="40" t="s">
        <v>352</v>
      </c>
      <c r="E1407" s="119">
        <v>150000.0</v>
      </c>
      <c r="F1407" s="119">
        <v>150000.0</v>
      </c>
      <c r="G1407" s="14">
        <f t="shared" si="41"/>
        <v>0</v>
      </c>
      <c r="H1407" s="49"/>
      <c r="I1407" s="120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r="1408" ht="14.25" customHeight="1">
      <c r="A1408" s="8"/>
      <c r="B1408" s="121">
        <v>2311.0</v>
      </c>
      <c r="E1408" s="129">
        <v>362580.0</v>
      </c>
      <c r="F1408" s="122">
        <f>SUM(F1405:F1407)</f>
        <v>379580</v>
      </c>
      <c r="G1408" s="14">
        <f t="shared" si="41"/>
        <v>0.04688620442</v>
      </c>
      <c r="H1408" s="16"/>
      <c r="I1408" s="120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</row>
    <row r="1409" ht="14.25" customHeight="1">
      <c r="A1409" s="8"/>
      <c r="B1409" s="117"/>
      <c r="C1409" s="118"/>
      <c r="D1409" s="40"/>
      <c r="E1409" s="119"/>
      <c r="F1409" s="119"/>
      <c r="G1409" s="14" t="str">
        <f t="shared" si="41"/>
        <v/>
      </c>
      <c r="H1409" s="16"/>
      <c r="I1409" s="120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r="1410" ht="14.25" customHeight="1">
      <c r="A1410" s="8"/>
      <c r="B1410" s="35">
        <v>2313.0</v>
      </c>
      <c r="C1410" s="36"/>
      <c r="D1410" s="37" t="s">
        <v>214</v>
      </c>
      <c r="E1410" s="38">
        <v>2025.0</v>
      </c>
      <c r="F1410" s="39">
        <v>2026.0</v>
      </c>
      <c r="G1410" s="14">
        <f t="shared" si="41"/>
        <v>0.0004938271605</v>
      </c>
      <c r="H1410" s="16"/>
      <c r="I1410" s="120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</row>
    <row r="1411" ht="14.25" customHeight="1">
      <c r="A1411" s="8"/>
      <c r="B1411" s="117"/>
      <c r="C1411" s="118" t="s">
        <v>347</v>
      </c>
      <c r="D1411" s="40" t="s">
        <v>348</v>
      </c>
      <c r="E1411" s="119">
        <v>41690.0</v>
      </c>
      <c r="F1411" s="119">
        <f>23690+6000</f>
        <v>29690</v>
      </c>
      <c r="G1411" s="14">
        <f t="shared" si="41"/>
        <v>-0.2878388103</v>
      </c>
      <c r="H1411" s="49"/>
      <c r="I1411" s="120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  <row r="1412" ht="14.25" customHeight="1">
      <c r="A1412" s="8"/>
      <c r="B1412" s="121">
        <v>2313.0</v>
      </c>
      <c r="E1412" s="122">
        <v>41690.0</v>
      </c>
      <c r="F1412" s="122">
        <f>SUM(F1411)</f>
        <v>29690</v>
      </c>
      <c r="G1412" s="14">
        <f t="shared" si="41"/>
        <v>-0.2878388103</v>
      </c>
      <c r="H1412" s="16"/>
      <c r="I1412" s="120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</row>
    <row r="1413" ht="14.25" customHeight="1">
      <c r="A1413" s="8"/>
      <c r="B1413" s="117"/>
      <c r="C1413" s="118"/>
      <c r="D1413" s="40"/>
      <c r="E1413" s="119"/>
      <c r="F1413" s="119"/>
      <c r="G1413" s="14" t="str">
        <f t="shared" si="41"/>
        <v/>
      </c>
      <c r="H1413" s="16"/>
      <c r="I1413" s="120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</row>
    <row r="1414" ht="14.25" customHeight="1">
      <c r="A1414" s="8"/>
      <c r="B1414" s="35">
        <v>3260.0</v>
      </c>
      <c r="C1414" s="36"/>
      <c r="D1414" s="46" t="s">
        <v>229</v>
      </c>
      <c r="E1414" s="38">
        <v>2025.0</v>
      </c>
      <c r="F1414" s="39">
        <v>2026.0</v>
      </c>
      <c r="G1414" s="14">
        <f t="shared" si="41"/>
        <v>0.0004938271605</v>
      </c>
      <c r="H1414" s="16"/>
      <c r="I1414" s="120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</row>
    <row r="1415" ht="14.25" customHeight="1">
      <c r="A1415" s="8"/>
      <c r="B1415" s="117"/>
      <c r="C1415" s="118" t="s">
        <v>347</v>
      </c>
      <c r="D1415" s="40" t="s">
        <v>348</v>
      </c>
      <c r="E1415" s="130">
        <v>59650.0</v>
      </c>
      <c r="F1415" s="130">
        <v>59650.0</v>
      </c>
      <c r="G1415" s="14">
        <f t="shared" si="41"/>
        <v>0</v>
      </c>
      <c r="H1415" s="49"/>
      <c r="I1415" s="120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</row>
    <row r="1416" ht="14.25" customHeight="1">
      <c r="A1416" s="8"/>
      <c r="B1416" s="121">
        <v>3260.0</v>
      </c>
      <c r="E1416" s="122">
        <v>59650.0</v>
      </c>
      <c r="F1416" s="122">
        <f>SUM(F1415)</f>
        <v>59650</v>
      </c>
      <c r="G1416" s="14">
        <f t="shared" si="41"/>
        <v>0</v>
      </c>
      <c r="H1416" s="16"/>
      <c r="I1416" s="120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</row>
    <row r="1417" ht="14.25" customHeight="1">
      <c r="A1417" s="8"/>
      <c r="B1417" s="117"/>
      <c r="C1417" s="118"/>
      <c r="D1417" s="131"/>
      <c r="E1417" s="126"/>
      <c r="F1417" s="126"/>
      <c r="G1417" s="14" t="str">
        <f t="shared" si="41"/>
        <v/>
      </c>
      <c r="H1417" s="16"/>
      <c r="I1417" s="120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</row>
    <row r="1418" ht="14.25" customHeight="1">
      <c r="A1418" s="8"/>
      <c r="B1418" s="35">
        <v>3262.0</v>
      </c>
      <c r="C1418" s="36"/>
      <c r="D1418" s="132" t="s">
        <v>79</v>
      </c>
      <c r="E1418" s="38">
        <v>2025.0</v>
      </c>
      <c r="F1418" s="39">
        <v>2026.0</v>
      </c>
      <c r="G1418" s="14">
        <f t="shared" si="41"/>
        <v>0.0004938271605</v>
      </c>
      <c r="H1418" s="16"/>
      <c r="I1418" s="120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</row>
    <row r="1419" ht="14.25" customHeight="1">
      <c r="A1419" s="8"/>
      <c r="B1419" s="117"/>
      <c r="C1419" s="118" t="s">
        <v>347</v>
      </c>
      <c r="D1419" s="40" t="s">
        <v>348</v>
      </c>
      <c r="E1419" s="130">
        <v>16000.0</v>
      </c>
      <c r="F1419" s="130">
        <v>16000.0</v>
      </c>
      <c r="G1419" s="14">
        <f t="shared" si="41"/>
        <v>0</v>
      </c>
      <c r="H1419" s="16"/>
      <c r="I1419" s="120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</row>
    <row r="1420" ht="14.25" customHeight="1">
      <c r="A1420" s="8"/>
      <c r="B1420" s="121">
        <v>3262.0</v>
      </c>
      <c r="E1420" s="122">
        <v>16000.0</v>
      </c>
      <c r="F1420" s="122">
        <f>SUM(F1419)</f>
        <v>16000</v>
      </c>
      <c r="G1420" s="14">
        <f t="shared" si="41"/>
        <v>0</v>
      </c>
      <c r="H1420" s="16"/>
      <c r="I1420" s="120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</row>
    <row r="1421" ht="14.25" customHeight="1">
      <c r="A1421" s="8"/>
      <c r="B1421" s="117"/>
      <c r="C1421" s="118"/>
      <c r="D1421" s="131"/>
      <c r="E1421" s="126"/>
      <c r="F1421" s="126"/>
      <c r="G1421" s="14" t="str">
        <f t="shared" si="41"/>
        <v/>
      </c>
      <c r="H1421" s="16"/>
      <c r="I1421" s="120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</row>
    <row r="1422" ht="14.25" customHeight="1">
      <c r="A1422" s="8"/>
      <c r="B1422" s="35">
        <v>3340.0</v>
      </c>
      <c r="C1422" s="36"/>
      <c r="D1422" s="37" t="s">
        <v>82</v>
      </c>
      <c r="E1422" s="38">
        <v>2025.0</v>
      </c>
      <c r="F1422" s="39">
        <v>2026.0</v>
      </c>
      <c r="G1422" s="14">
        <f t="shared" si="41"/>
        <v>0.0004938271605</v>
      </c>
      <c r="H1422" s="16"/>
      <c r="I1422" s="120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</row>
    <row r="1423" ht="14.25" customHeight="1">
      <c r="A1423" s="8"/>
      <c r="B1423" s="117"/>
      <c r="C1423" s="118" t="s">
        <v>347</v>
      </c>
      <c r="D1423" s="40" t="s">
        <v>348</v>
      </c>
      <c r="E1423" s="119">
        <v>97550.0</v>
      </c>
      <c r="F1423" s="127">
        <v>103550.0</v>
      </c>
      <c r="G1423" s="14">
        <f t="shared" si="41"/>
        <v>0.06150691953</v>
      </c>
      <c r="H1423" s="49"/>
      <c r="I1423" s="120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</row>
    <row r="1424" ht="14.25" customHeight="1">
      <c r="A1424" s="8"/>
      <c r="B1424" s="121">
        <v>3340.0</v>
      </c>
      <c r="E1424" s="122">
        <v>97550.0</v>
      </c>
      <c r="F1424" s="122">
        <f>SUM(F1423)</f>
        <v>103550</v>
      </c>
      <c r="G1424" s="14">
        <f t="shared" si="41"/>
        <v>0.06150691953</v>
      </c>
      <c r="H1424" s="16"/>
      <c r="I1424" s="120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</row>
    <row r="1425" ht="14.25" customHeight="1">
      <c r="A1425" s="8"/>
      <c r="B1425" s="117"/>
      <c r="C1425" s="118"/>
      <c r="D1425" s="131"/>
      <c r="E1425" s="126"/>
      <c r="F1425" s="126"/>
      <c r="G1425" s="14" t="str">
        <f t="shared" si="41"/>
        <v/>
      </c>
      <c r="H1425" s="16"/>
      <c r="I1425" s="120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</row>
    <row r="1426" ht="14.25" customHeight="1">
      <c r="A1426" s="8"/>
      <c r="B1426" s="35">
        <v>3341.0</v>
      </c>
      <c r="C1426" s="36"/>
      <c r="D1426" s="37" t="s">
        <v>254</v>
      </c>
      <c r="E1426" s="38">
        <v>2025.0</v>
      </c>
      <c r="F1426" s="39">
        <v>2026.0</v>
      </c>
      <c r="G1426" s="14">
        <f t="shared" si="41"/>
        <v>0.0004938271605</v>
      </c>
      <c r="H1426" s="16"/>
      <c r="I1426" s="120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</row>
    <row r="1427" ht="14.25" customHeight="1">
      <c r="A1427" s="8"/>
      <c r="B1427" s="117"/>
      <c r="C1427" s="118" t="s">
        <v>347</v>
      </c>
      <c r="D1427" s="40" t="s">
        <v>348</v>
      </c>
      <c r="E1427" s="119">
        <v>100.0</v>
      </c>
      <c r="F1427" s="119">
        <v>100.0</v>
      </c>
      <c r="G1427" s="14">
        <f t="shared" si="41"/>
        <v>0</v>
      </c>
      <c r="H1427" s="49"/>
      <c r="I1427" s="120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</row>
    <row r="1428" ht="14.25" customHeight="1">
      <c r="A1428" s="8"/>
      <c r="B1428" s="121">
        <v>3341.0</v>
      </c>
      <c r="E1428" s="122">
        <v>100.0</v>
      </c>
      <c r="F1428" s="122">
        <f>SUM(F1427)</f>
        <v>100</v>
      </c>
      <c r="G1428" s="14">
        <f t="shared" si="41"/>
        <v>0</v>
      </c>
      <c r="H1428" s="16"/>
      <c r="I1428" s="120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</row>
    <row r="1429" ht="14.25" customHeight="1">
      <c r="A1429" s="8"/>
      <c r="B1429" s="117"/>
      <c r="C1429" s="118"/>
      <c r="D1429" s="40"/>
      <c r="E1429" s="133"/>
      <c r="F1429" s="133"/>
      <c r="G1429" s="14" t="str">
        <f t="shared" si="41"/>
        <v/>
      </c>
      <c r="H1429" s="16"/>
      <c r="I1429" s="120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</row>
    <row r="1430" ht="14.25" customHeight="1">
      <c r="A1430" s="8"/>
      <c r="B1430" s="35">
        <v>3373.0</v>
      </c>
      <c r="C1430" s="36"/>
      <c r="D1430" s="37" t="s">
        <v>84</v>
      </c>
      <c r="E1430" s="38">
        <v>2025.0</v>
      </c>
      <c r="F1430" s="39">
        <v>2026.0</v>
      </c>
      <c r="G1430" s="14">
        <f t="shared" si="41"/>
        <v>0.0004938271605</v>
      </c>
      <c r="H1430" s="16"/>
      <c r="I1430" s="120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</row>
    <row r="1431" ht="14.25" customHeight="1">
      <c r="A1431" s="8"/>
      <c r="B1431" s="117"/>
      <c r="C1431" s="118" t="s">
        <v>347</v>
      </c>
      <c r="D1431" s="40" t="s">
        <v>348</v>
      </c>
      <c r="E1431" s="119">
        <v>55000.0</v>
      </c>
      <c r="F1431" s="119">
        <v>55000.0</v>
      </c>
      <c r="G1431" s="14">
        <f t="shared" si="41"/>
        <v>0</v>
      </c>
      <c r="H1431" s="49"/>
      <c r="I1431" s="120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</row>
    <row r="1432" ht="14.25" customHeight="1">
      <c r="A1432" s="8"/>
      <c r="B1432" s="121">
        <v>3373.0</v>
      </c>
      <c r="E1432" s="122">
        <v>55000.0</v>
      </c>
      <c r="F1432" s="122">
        <f>SUM(F1431)</f>
        <v>55000</v>
      </c>
      <c r="G1432" s="14">
        <f t="shared" si="41"/>
        <v>0</v>
      </c>
      <c r="H1432" s="16"/>
      <c r="I1432" s="120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</row>
    <row r="1433" ht="14.25" customHeight="1">
      <c r="A1433" s="8"/>
      <c r="B1433" s="117"/>
      <c r="C1433" s="118"/>
      <c r="D1433" s="40"/>
      <c r="E1433" s="119"/>
      <c r="F1433" s="119"/>
      <c r="G1433" s="14" t="str">
        <f t="shared" si="41"/>
        <v/>
      </c>
      <c r="H1433" s="16"/>
      <c r="I1433" s="120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</row>
    <row r="1434" ht="14.25" customHeight="1">
      <c r="A1434" s="8"/>
      <c r="B1434" s="35">
        <v>3380.0</v>
      </c>
      <c r="C1434" s="36"/>
      <c r="D1434" s="37" t="s">
        <v>85</v>
      </c>
      <c r="E1434" s="38">
        <v>2025.0</v>
      </c>
      <c r="F1434" s="39">
        <v>2026.0</v>
      </c>
      <c r="G1434" s="14">
        <f t="shared" si="41"/>
        <v>0.0004938271605</v>
      </c>
      <c r="H1434" s="16"/>
      <c r="I1434" s="120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</row>
    <row r="1435" ht="14.25" customHeight="1">
      <c r="A1435" s="8"/>
      <c r="B1435" s="117"/>
      <c r="C1435" s="118" t="s">
        <v>347</v>
      </c>
      <c r="D1435" s="40" t="s">
        <v>348</v>
      </c>
      <c r="E1435" s="119">
        <v>20000.0</v>
      </c>
      <c r="F1435" s="119">
        <v>20000.0</v>
      </c>
      <c r="G1435" s="14">
        <f t="shared" si="41"/>
        <v>0</v>
      </c>
      <c r="H1435" s="49"/>
      <c r="I1435" s="120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</row>
    <row r="1436" ht="14.25" customHeight="1">
      <c r="A1436" s="8"/>
      <c r="B1436" s="121">
        <v>3380.0</v>
      </c>
      <c r="E1436" s="122">
        <v>20000.0</v>
      </c>
      <c r="F1436" s="122">
        <f>SUM(F1435)</f>
        <v>20000</v>
      </c>
      <c r="G1436" s="14">
        <f t="shared" si="41"/>
        <v>0</v>
      </c>
      <c r="H1436" s="16"/>
      <c r="I1436" s="120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</row>
    <row r="1437" ht="14.25" customHeight="1">
      <c r="A1437" s="8"/>
      <c r="B1437" s="117"/>
      <c r="C1437" s="118"/>
      <c r="D1437" s="40"/>
      <c r="E1437" s="119"/>
      <c r="F1437" s="119"/>
      <c r="G1437" s="14" t="str">
        <f t="shared" si="41"/>
        <v/>
      </c>
      <c r="H1437" s="16"/>
      <c r="I1437" s="120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</row>
    <row r="1438" ht="14.25" customHeight="1">
      <c r="A1438" s="8"/>
      <c r="B1438" s="35">
        <v>3410.0</v>
      </c>
      <c r="C1438" s="36"/>
      <c r="D1438" s="37" t="s">
        <v>86</v>
      </c>
      <c r="E1438" s="38">
        <v>2025.0</v>
      </c>
      <c r="F1438" s="39">
        <v>2026.0</v>
      </c>
      <c r="G1438" s="14">
        <f t="shared" si="41"/>
        <v>0.0004938271605</v>
      </c>
      <c r="H1438" s="16"/>
      <c r="I1438" s="49"/>
      <c r="J1438" s="49"/>
      <c r="K1438" s="49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</row>
    <row r="1439" ht="14.25" customHeight="1">
      <c r="A1439" s="8"/>
      <c r="B1439" s="117"/>
      <c r="C1439" s="118" t="s">
        <v>347</v>
      </c>
      <c r="D1439" s="40" t="s">
        <v>348</v>
      </c>
      <c r="E1439" s="119">
        <v>306000.0</v>
      </c>
      <c r="F1439" s="127">
        <v>570000.0</v>
      </c>
      <c r="G1439" s="14">
        <f t="shared" si="41"/>
        <v>0.862745098</v>
      </c>
      <c r="H1439" s="49"/>
      <c r="I1439" s="120"/>
      <c r="J1439" s="76"/>
      <c r="K1439" s="7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</row>
    <row r="1440" ht="14.25" customHeight="1">
      <c r="A1440" s="8"/>
      <c r="B1440" s="121">
        <v>3410.0</v>
      </c>
      <c r="E1440" s="122">
        <v>306000.0</v>
      </c>
      <c r="F1440" s="122">
        <f>SUM(F1439)</f>
        <v>570000</v>
      </c>
      <c r="G1440" s="14">
        <f t="shared" si="41"/>
        <v>0.862745098</v>
      </c>
      <c r="H1440" s="16"/>
      <c r="I1440" s="120"/>
      <c r="J1440" s="120"/>
      <c r="K1440" s="120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</row>
    <row r="1441" ht="14.25" customHeight="1">
      <c r="A1441" s="8"/>
      <c r="B1441" s="117"/>
      <c r="C1441" s="118"/>
      <c r="D1441" s="131"/>
      <c r="E1441" s="126"/>
      <c r="F1441" s="126"/>
      <c r="G1441" s="14" t="str">
        <f t="shared" si="41"/>
        <v/>
      </c>
      <c r="H1441" s="16"/>
      <c r="I1441" s="120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</row>
    <row r="1442" ht="14.25" customHeight="1">
      <c r="A1442" s="8"/>
      <c r="B1442" s="35">
        <v>4310.0</v>
      </c>
      <c r="C1442" s="36"/>
      <c r="D1442" s="37" t="s">
        <v>285</v>
      </c>
      <c r="E1442" s="38">
        <v>2025.0</v>
      </c>
      <c r="F1442" s="39">
        <v>2026.0</v>
      </c>
      <c r="G1442" s="14">
        <f t="shared" si="41"/>
        <v>0.0004938271605</v>
      </c>
      <c r="H1442" s="16"/>
      <c r="I1442" s="120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</row>
    <row r="1443" ht="14.25" customHeight="1">
      <c r="A1443" s="8"/>
      <c r="B1443" s="117"/>
      <c r="C1443" s="118" t="s">
        <v>353</v>
      </c>
      <c r="D1443" s="40" t="s">
        <v>354</v>
      </c>
      <c r="E1443" s="119">
        <v>20000.0</v>
      </c>
      <c r="F1443" s="127">
        <v>70000.0</v>
      </c>
      <c r="G1443" s="14">
        <f t="shared" si="41"/>
        <v>2.5</v>
      </c>
      <c r="I1443" s="134" t="s">
        <v>355</v>
      </c>
      <c r="J1443" s="49"/>
      <c r="K1443" s="49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</row>
    <row r="1444" ht="14.25" customHeight="1">
      <c r="A1444" s="8"/>
      <c r="B1444" s="117"/>
      <c r="C1444" s="118" t="s">
        <v>347</v>
      </c>
      <c r="D1444" s="40" t="s">
        <v>348</v>
      </c>
      <c r="E1444" s="119">
        <v>40000.0</v>
      </c>
      <c r="F1444" s="119">
        <v>40000.0</v>
      </c>
      <c r="G1444" s="14">
        <f t="shared" si="41"/>
        <v>0</v>
      </c>
      <c r="H1444" s="49"/>
      <c r="I1444" s="120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</row>
    <row r="1445" ht="14.25" customHeight="1">
      <c r="A1445" s="8"/>
      <c r="B1445" s="121">
        <v>4310.0</v>
      </c>
      <c r="E1445" s="122">
        <v>60000.0</v>
      </c>
      <c r="F1445" s="122">
        <f>SUM(F1443:F1444)</f>
        <v>110000</v>
      </c>
      <c r="G1445" s="14">
        <f t="shared" si="41"/>
        <v>0.8333333333</v>
      </c>
      <c r="H1445" s="16"/>
      <c r="I1445" s="120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</row>
    <row r="1446" ht="14.25" customHeight="1">
      <c r="A1446" s="8"/>
      <c r="B1446" s="117"/>
      <c r="C1446" s="118"/>
      <c r="D1446" s="40"/>
      <c r="E1446" s="133"/>
      <c r="F1446" s="133"/>
      <c r="G1446" s="14" t="str">
        <f t="shared" si="41"/>
        <v/>
      </c>
      <c r="H1446" s="16"/>
      <c r="I1446" s="120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</row>
    <row r="1447" ht="14.25" customHeight="1">
      <c r="A1447" s="8"/>
      <c r="B1447" s="35">
        <v>4320.0</v>
      </c>
      <c r="C1447" s="36"/>
      <c r="D1447" s="37" t="s">
        <v>88</v>
      </c>
      <c r="E1447" s="38">
        <v>2025.0</v>
      </c>
      <c r="F1447" s="39">
        <v>2026.0</v>
      </c>
      <c r="G1447" s="14">
        <f t="shared" si="41"/>
        <v>0.0004938271605</v>
      </c>
      <c r="H1447" s="16"/>
      <c r="I1447" s="120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</row>
    <row r="1448" ht="14.25" customHeight="1">
      <c r="A1448" s="8"/>
      <c r="B1448" s="117"/>
      <c r="C1448" s="118" t="s">
        <v>356</v>
      </c>
      <c r="D1448" s="40" t="s">
        <v>357</v>
      </c>
      <c r="E1448" s="119">
        <v>18000.0</v>
      </c>
      <c r="F1448" s="119">
        <v>18000.0</v>
      </c>
      <c r="G1448" s="14">
        <f t="shared" si="41"/>
        <v>0</v>
      </c>
      <c r="H1448" s="49"/>
      <c r="I1448" s="120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</row>
    <row r="1449" ht="14.25" customHeight="1">
      <c r="A1449" s="8"/>
      <c r="B1449" s="117"/>
      <c r="C1449" s="118" t="s">
        <v>347</v>
      </c>
      <c r="D1449" s="40" t="s">
        <v>348</v>
      </c>
      <c r="E1449" s="130">
        <v>90500.0</v>
      </c>
      <c r="F1449" s="130">
        <f>14500 + 76000 +2000</f>
        <v>92500</v>
      </c>
      <c r="G1449" s="14">
        <f t="shared" si="41"/>
        <v>0.02209944751</v>
      </c>
      <c r="H1449" s="49"/>
      <c r="I1449" s="120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</row>
    <row r="1450" ht="14.25" customHeight="1">
      <c r="A1450" s="8"/>
      <c r="B1450" s="121">
        <v>4320.0</v>
      </c>
      <c r="E1450" s="122">
        <v>108500.0</v>
      </c>
      <c r="F1450" s="122">
        <f>SUM(F1448:F1449)</f>
        <v>110500</v>
      </c>
      <c r="G1450" s="14">
        <f t="shared" si="41"/>
        <v>0.01843317972</v>
      </c>
      <c r="H1450" s="16"/>
      <c r="I1450" s="120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</row>
    <row r="1451" ht="14.25" customHeight="1">
      <c r="A1451" s="8"/>
      <c r="B1451" s="117"/>
      <c r="C1451" s="118"/>
      <c r="D1451" s="40"/>
      <c r="E1451" s="119"/>
      <c r="F1451" s="119"/>
      <c r="G1451" s="14" t="str">
        <f t="shared" si="41"/>
        <v/>
      </c>
      <c r="H1451" s="16"/>
      <c r="I1451" s="120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</row>
    <row r="1452" ht="14.25" customHeight="1">
      <c r="A1452" s="8"/>
      <c r="B1452" s="35">
        <v>4330.0</v>
      </c>
      <c r="C1452" s="36"/>
      <c r="D1452" s="37" t="s">
        <v>89</v>
      </c>
      <c r="E1452" s="38">
        <v>2025.0</v>
      </c>
      <c r="F1452" s="39">
        <v>2026.0</v>
      </c>
      <c r="G1452" s="14">
        <f t="shared" si="41"/>
        <v>0.0004938271605</v>
      </c>
      <c r="H1452" s="16"/>
      <c r="I1452" s="120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</row>
    <row r="1453" ht="14.25" customHeight="1">
      <c r="A1453" s="8"/>
      <c r="B1453" s="117"/>
      <c r="C1453" s="118" t="s">
        <v>358</v>
      </c>
      <c r="D1453" s="40" t="s">
        <v>359</v>
      </c>
      <c r="E1453" s="119">
        <v>145200.0</v>
      </c>
      <c r="F1453" s="119">
        <v>145200.0</v>
      </c>
      <c r="G1453" s="14">
        <f t="shared" si="41"/>
        <v>0</v>
      </c>
      <c r="H1453" s="16"/>
      <c r="I1453" s="120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</row>
    <row r="1454" ht="14.25" customHeight="1">
      <c r="A1454" s="8"/>
      <c r="B1454" s="117"/>
      <c r="C1454" s="118" t="s">
        <v>347</v>
      </c>
      <c r="D1454" s="40" t="s">
        <v>348</v>
      </c>
      <c r="E1454" s="119">
        <v>53400.0</v>
      </c>
      <c r="F1454" s="127">
        <v>63400.0</v>
      </c>
      <c r="G1454" s="14">
        <f t="shared" si="41"/>
        <v>0.1872659176</v>
      </c>
      <c r="H1454" s="49"/>
      <c r="I1454" s="120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</row>
    <row r="1455" ht="14.25" customHeight="1">
      <c r="A1455" s="8"/>
      <c r="B1455" s="121">
        <v>4330.0</v>
      </c>
      <c r="E1455" s="122">
        <v>198600.0</v>
      </c>
      <c r="F1455" s="122">
        <f>SUM(F1453:F1454)</f>
        <v>208600</v>
      </c>
      <c r="G1455" s="14">
        <f t="shared" si="41"/>
        <v>0.05035246727</v>
      </c>
      <c r="H1455" s="16"/>
      <c r="I1455" s="120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</row>
    <row r="1456" ht="14.25" customHeight="1">
      <c r="A1456" s="8"/>
      <c r="B1456" s="117"/>
      <c r="C1456" s="118"/>
      <c r="D1456" s="40"/>
      <c r="E1456" s="119"/>
      <c r="F1456" s="119"/>
      <c r="G1456" s="14" t="str">
        <f t="shared" si="41"/>
        <v/>
      </c>
      <c r="H1456" s="16"/>
      <c r="I1456" s="120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</row>
    <row r="1457" ht="14.25" customHeight="1">
      <c r="A1457" s="8"/>
      <c r="B1457" s="35">
        <v>9120.0</v>
      </c>
      <c r="C1457" s="36"/>
      <c r="D1457" s="37" t="s">
        <v>92</v>
      </c>
      <c r="E1457" s="38">
        <v>2025.0</v>
      </c>
      <c r="F1457" s="39">
        <v>2026.0</v>
      </c>
      <c r="G1457" s="14">
        <f t="shared" si="41"/>
        <v>0.0004938271605</v>
      </c>
      <c r="H1457" s="16"/>
      <c r="I1457" s="120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</row>
    <row r="1458" ht="14.25" customHeight="1">
      <c r="A1458" s="8"/>
      <c r="B1458" s="117"/>
      <c r="C1458" s="118" t="s">
        <v>347</v>
      </c>
      <c r="D1458" s="40" t="s">
        <v>360</v>
      </c>
      <c r="E1458" s="119">
        <v>53000.0</v>
      </c>
      <c r="F1458" s="119">
        <v>53000.0</v>
      </c>
      <c r="G1458" s="14">
        <f t="shared" si="41"/>
        <v>0</v>
      </c>
      <c r="H1458" s="49"/>
      <c r="I1458" s="120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</row>
    <row r="1459" ht="14.25" customHeight="1">
      <c r="A1459" s="8"/>
      <c r="B1459" s="121">
        <v>9120.0</v>
      </c>
      <c r="E1459" s="122">
        <v>53000.0</v>
      </c>
      <c r="F1459" s="122">
        <f>SUM(F1458)</f>
        <v>53000</v>
      </c>
      <c r="G1459" s="14">
        <f t="shared" si="41"/>
        <v>0</v>
      </c>
      <c r="H1459" s="16"/>
      <c r="I1459" s="120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</row>
    <row r="1460" ht="14.25" customHeight="1">
      <c r="A1460" s="8"/>
      <c r="B1460" s="117"/>
      <c r="C1460" s="118"/>
      <c r="D1460" s="131"/>
      <c r="E1460" s="126"/>
      <c r="F1460" s="126"/>
      <c r="G1460" s="14" t="str">
        <f t="shared" si="41"/>
        <v/>
      </c>
      <c r="H1460" s="16"/>
      <c r="I1460" s="120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</row>
    <row r="1461" ht="14.25" customHeight="1">
      <c r="A1461" s="8"/>
      <c r="B1461" s="35">
        <v>9200.0</v>
      </c>
      <c r="C1461" s="36"/>
      <c r="D1461" s="37" t="s">
        <v>97</v>
      </c>
      <c r="E1461" s="38">
        <v>2025.0</v>
      </c>
      <c r="F1461" s="39">
        <v>2026.0</v>
      </c>
      <c r="G1461" s="14">
        <f t="shared" si="41"/>
        <v>0.0004938271605</v>
      </c>
      <c r="H1461" s="16"/>
      <c r="I1461" s="120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</row>
    <row r="1462" ht="14.25" customHeight="1">
      <c r="A1462" s="8"/>
      <c r="B1462" s="117"/>
      <c r="C1462" s="118" t="s">
        <v>347</v>
      </c>
      <c r="D1462" s="40" t="s">
        <v>361</v>
      </c>
      <c r="E1462" s="119">
        <v>4300.0</v>
      </c>
      <c r="F1462" s="119">
        <v>4300.0</v>
      </c>
      <c r="G1462" s="14">
        <f t="shared" si="41"/>
        <v>0</v>
      </c>
      <c r="H1462" s="49"/>
      <c r="I1462" s="120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</row>
    <row r="1463" ht="14.25" customHeight="1">
      <c r="A1463" s="8"/>
      <c r="B1463" s="121">
        <v>9200.0</v>
      </c>
      <c r="E1463" s="122">
        <v>4300.0</v>
      </c>
      <c r="F1463" s="122">
        <f>SUM(F1462)</f>
        <v>4300</v>
      </c>
      <c r="G1463" s="14">
        <f t="shared" si="41"/>
        <v>0</v>
      </c>
      <c r="H1463" s="16"/>
      <c r="I1463" s="120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</row>
    <row r="1464" ht="14.25" customHeight="1">
      <c r="A1464" s="8"/>
      <c r="B1464" s="117"/>
      <c r="C1464" s="118"/>
      <c r="D1464" s="40"/>
      <c r="E1464" s="133"/>
      <c r="F1464" s="133"/>
      <c r="G1464" s="14" t="str">
        <f t="shared" si="41"/>
        <v/>
      </c>
      <c r="H1464" s="16"/>
      <c r="I1464" s="120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</row>
    <row r="1465" ht="14.25" customHeight="1">
      <c r="A1465" s="8"/>
      <c r="B1465" s="35">
        <v>9240.0</v>
      </c>
      <c r="C1465" s="36"/>
      <c r="D1465" s="37" t="s">
        <v>327</v>
      </c>
      <c r="E1465" s="38">
        <v>2025.0</v>
      </c>
      <c r="F1465" s="39">
        <v>2026.0</v>
      </c>
      <c r="G1465" s="14">
        <f t="shared" si="41"/>
        <v>0.0004938271605</v>
      </c>
      <c r="H1465" s="16"/>
      <c r="I1465" s="120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</row>
    <row r="1466" ht="14.25" customHeight="1">
      <c r="A1466" s="8"/>
      <c r="B1466" s="117"/>
      <c r="C1466" s="118" t="s">
        <v>347</v>
      </c>
      <c r="D1466" s="40" t="s">
        <v>362</v>
      </c>
      <c r="E1466" s="119">
        <v>40000.0</v>
      </c>
      <c r="F1466" s="127">
        <v>55000.0</v>
      </c>
      <c r="G1466" s="14">
        <f t="shared" si="41"/>
        <v>0.375</v>
      </c>
      <c r="H1466" s="49"/>
      <c r="I1466" s="120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</row>
    <row r="1467" ht="14.25" customHeight="1">
      <c r="A1467" s="8"/>
      <c r="B1467" s="121">
        <v>9240.0</v>
      </c>
      <c r="E1467" s="122">
        <v>40000.0</v>
      </c>
      <c r="F1467" s="122">
        <f>SUM(F1466)</f>
        <v>55000</v>
      </c>
      <c r="G1467" s="14">
        <f t="shared" si="41"/>
        <v>0.375</v>
      </c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</row>
    <row r="1468" ht="14.25" customHeight="1">
      <c r="A1468" s="8"/>
      <c r="B1468" s="117"/>
      <c r="C1468" s="118"/>
      <c r="D1468" s="40"/>
      <c r="E1468" s="119"/>
      <c r="F1468" s="119"/>
      <c r="G1468" s="14" t="str">
        <f t="shared" si="41"/>
        <v/>
      </c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</row>
    <row r="1469" ht="14.25" customHeight="1">
      <c r="A1469" s="8"/>
      <c r="B1469" s="35">
        <v>9430.0</v>
      </c>
      <c r="C1469" s="36"/>
      <c r="D1469" s="37" t="s">
        <v>363</v>
      </c>
      <c r="E1469" s="38">
        <v>2025.0</v>
      </c>
      <c r="F1469" s="39">
        <v>2026.0</v>
      </c>
      <c r="G1469" s="14">
        <f t="shared" si="41"/>
        <v>0.0004938271605</v>
      </c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</row>
    <row r="1470" ht="14.25" customHeight="1">
      <c r="A1470" s="8"/>
      <c r="B1470" s="117"/>
      <c r="C1470" s="118" t="s">
        <v>364</v>
      </c>
      <c r="D1470" s="40" t="s">
        <v>365</v>
      </c>
      <c r="E1470" s="119">
        <v>300000.0</v>
      </c>
      <c r="F1470" s="127">
        <v>150000.0</v>
      </c>
      <c r="G1470" s="14">
        <f t="shared" si="41"/>
        <v>-0.5</v>
      </c>
      <c r="H1470" s="49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</row>
    <row r="1471" ht="14.25" customHeight="1">
      <c r="A1471" s="8"/>
      <c r="B1471" s="121">
        <v>9430.0</v>
      </c>
      <c r="E1471" s="122">
        <v>300000.0</v>
      </c>
      <c r="F1471" s="122">
        <f>SUM(F1470)</f>
        <v>150000</v>
      </c>
      <c r="G1471" s="14">
        <f t="shared" si="41"/>
        <v>-0.5</v>
      </c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</row>
    <row r="1472" ht="14.25" customHeight="1">
      <c r="A1472" s="8"/>
      <c r="B1472" s="10"/>
      <c r="C1472" s="11"/>
      <c r="D1472" s="12"/>
      <c r="E1472" s="13"/>
      <c r="F1472" s="13"/>
      <c r="G1472" s="14" t="str">
        <f t="shared" si="41"/>
        <v/>
      </c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</row>
    <row r="1473" ht="14.25" customHeight="1">
      <c r="A1473" s="8"/>
      <c r="B1473" s="10"/>
      <c r="C1473" s="11"/>
      <c r="D1473" s="32" t="s">
        <v>366</v>
      </c>
      <c r="E1473" s="135">
        <v>1727680.0</v>
      </c>
      <c r="F1473" s="75">
        <f>F1394+F1398+F1402+F1408+F1412+F1416+F1424+F1428+F1432+F1436+F1440+F1445+F1450+F1455+F1459+F1463+F1467+F1471+F1420</f>
        <v>1929680</v>
      </c>
      <c r="G1473" s="14">
        <f t="shared" si="41"/>
        <v>0.1169198</v>
      </c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</row>
    <row r="1474" ht="14.25" customHeight="1">
      <c r="A1474" s="8"/>
      <c r="B1474" s="10"/>
      <c r="C1474" s="11"/>
      <c r="D1474" s="32"/>
      <c r="E1474" s="43"/>
      <c r="F1474" s="43"/>
      <c r="G1474" s="14" t="str">
        <f t="shared" si="41"/>
        <v/>
      </c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</row>
    <row r="1475" ht="14.25" customHeight="1">
      <c r="A1475" s="8"/>
      <c r="B1475" s="10"/>
      <c r="C1475" s="11"/>
      <c r="D1475" s="32"/>
      <c r="E1475" s="43"/>
      <c r="F1475" s="43"/>
      <c r="G1475" s="14" t="str">
        <f t="shared" si="41"/>
        <v/>
      </c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</row>
    <row r="1476" ht="14.25" customHeight="1">
      <c r="A1476" s="8"/>
      <c r="B1476" s="10"/>
      <c r="C1476" s="11"/>
      <c r="D1476" s="12"/>
      <c r="E1476" s="13"/>
      <c r="F1476" s="13"/>
      <c r="G1476" s="14" t="str">
        <f t="shared" si="41"/>
        <v/>
      </c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</row>
    <row r="1477" ht="14.25" customHeight="1">
      <c r="A1477" s="8"/>
      <c r="B1477" s="104" t="s">
        <v>11</v>
      </c>
      <c r="C1477" s="20"/>
      <c r="D1477" s="105" t="s">
        <v>367</v>
      </c>
      <c r="E1477" s="106"/>
      <c r="F1477" s="106"/>
      <c r="G1477" s="14" t="str">
        <f t="shared" si="41"/>
        <v/>
      </c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</row>
    <row r="1478" ht="14.25" customHeight="1">
      <c r="A1478" s="8"/>
      <c r="B1478" s="107" t="s">
        <v>13</v>
      </c>
      <c r="C1478" s="108" t="s">
        <v>14</v>
      </c>
      <c r="D1478" s="25"/>
      <c r="E1478" s="109">
        <v>2025.0</v>
      </c>
      <c r="F1478" s="110">
        <v>2026.0</v>
      </c>
      <c r="G1478" s="14">
        <f t="shared" si="41"/>
        <v>0.0004938271605</v>
      </c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</row>
    <row r="1479" ht="14.25" customHeight="1">
      <c r="A1479" s="8"/>
      <c r="B1479" s="111">
        <v>9290.0</v>
      </c>
      <c r="C1479" s="112"/>
      <c r="D1479" s="37" t="s">
        <v>97</v>
      </c>
      <c r="E1479" s="38">
        <v>2025.0</v>
      </c>
      <c r="F1479" s="39">
        <v>2026.0</v>
      </c>
      <c r="G1479" s="14">
        <f t="shared" si="41"/>
        <v>0.0004938271605</v>
      </c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</row>
    <row r="1480" ht="14.25" customHeight="1">
      <c r="A1480" s="8"/>
      <c r="B1480" s="117"/>
      <c r="C1480" s="118" t="s">
        <v>368</v>
      </c>
      <c r="D1480" s="40" t="s">
        <v>369</v>
      </c>
      <c r="E1480" s="119">
        <v>50000.0</v>
      </c>
      <c r="F1480" s="127">
        <v>50000.0</v>
      </c>
      <c r="G1480" s="14">
        <f t="shared" si="41"/>
        <v>0</v>
      </c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</row>
    <row r="1481" ht="14.25" customHeight="1">
      <c r="A1481" s="8"/>
      <c r="B1481" s="121">
        <v>9290.0</v>
      </c>
      <c r="E1481" s="122">
        <v>50000.0</v>
      </c>
      <c r="F1481" s="122">
        <f>SUM(F1480)</f>
        <v>50000</v>
      </c>
      <c r="G1481" s="14">
        <f t="shared" si="41"/>
        <v>0</v>
      </c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</row>
    <row r="1482" ht="14.25" customHeight="1">
      <c r="A1482" s="8"/>
      <c r="B1482" s="121"/>
      <c r="C1482" s="136"/>
      <c r="D1482" s="40"/>
      <c r="E1482" s="126"/>
      <c r="F1482" s="126"/>
      <c r="G1482" s="14" t="str">
        <f t="shared" si="41"/>
        <v/>
      </c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</row>
    <row r="1483" ht="14.25" customHeight="1">
      <c r="A1483" s="8"/>
      <c r="B1483" s="10"/>
      <c r="C1483" s="11"/>
      <c r="D1483" s="32" t="s">
        <v>370</v>
      </c>
      <c r="E1483" s="75">
        <v>50000.0</v>
      </c>
      <c r="F1483" s="75">
        <f>F1481</f>
        <v>50000</v>
      </c>
      <c r="G1483" s="14">
        <f t="shared" si="41"/>
        <v>0</v>
      </c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</row>
    <row r="1484" ht="14.25" customHeight="1">
      <c r="A1484" s="8"/>
      <c r="B1484" s="10"/>
      <c r="C1484" s="11"/>
      <c r="D1484" s="12"/>
      <c r="E1484" s="13"/>
      <c r="F1484" s="13"/>
      <c r="G1484" s="14" t="str">
        <f t="shared" si="41"/>
        <v/>
      </c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</row>
    <row r="1485" ht="14.25" customHeight="1">
      <c r="A1485" s="8"/>
      <c r="B1485" s="10"/>
      <c r="C1485" s="11"/>
      <c r="D1485" s="12"/>
      <c r="E1485" s="13"/>
      <c r="F1485" s="13"/>
      <c r="G1485" s="14" t="str">
        <f t="shared" si="41"/>
        <v/>
      </c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</row>
    <row r="1486" ht="14.25" customHeight="1">
      <c r="A1486" s="8"/>
      <c r="B1486" s="10"/>
      <c r="C1486" s="11"/>
      <c r="D1486" s="12"/>
      <c r="E1486" s="13"/>
      <c r="F1486" s="13"/>
      <c r="G1486" s="14" t="str">
        <f t="shared" si="41"/>
        <v/>
      </c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</row>
    <row r="1487" ht="14.25" customHeight="1">
      <c r="A1487" s="8"/>
      <c r="B1487" s="104" t="s">
        <v>11</v>
      </c>
      <c r="C1487" s="20"/>
      <c r="D1487" s="105" t="s">
        <v>371</v>
      </c>
      <c r="E1487" s="106"/>
      <c r="F1487" s="106"/>
      <c r="G1487" s="14" t="str">
        <f t="shared" si="41"/>
        <v/>
      </c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</row>
    <row r="1488" ht="14.25" customHeight="1">
      <c r="A1488" s="8"/>
      <c r="B1488" s="107" t="s">
        <v>13</v>
      </c>
      <c r="C1488" s="108" t="s">
        <v>14</v>
      </c>
      <c r="D1488" s="25"/>
      <c r="E1488" s="109">
        <v>2025.0</v>
      </c>
      <c r="F1488" s="110">
        <v>2026.0</v>
      </c>
      <c r="G1488" s="14">
        <f t="shared" si="41"/>
        <v>0.0004938271605</v>
      </c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</row>
    <row r="1489" ht="14.25" customHeight="1">
      <c r="A1489" s="8"/>
      <c r="B1489" s="44">
        <v>1320.0</v>
      </c>
      <c r="C1489" s="103"/>
      <c r="D1489" s="46" t="s">
        <v>35</v>
      </c>
      <c r="E1489" s="137">
        <v>2025.0</v>
      </c>
      <c r="F1489" s="138">
        <v>2026.0</v>
      </c>
      <c r="G1489" s="14">
        <f t="shared" si="41"/>
        <v>0.0004938271605</v>
      </c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</row>
    <row r="1490" ht="14.25" customHeight="1">
      <c r="A1490" s="8"/>
      <c r="B1490" s="10"/>
      <c r="C1490" s="139" t="s">
        <v>372</v>
      </c>
      <c r="D1490" s="51" t="s">
        <v>373</v>
      </c>
      <c r="E1490" s="13">
        <v>20000.0</v>
      </c>
      <c r="F1490" s="13">
        <f>IFERROR(__xludf.DUMMYFUNCTION("IMPORTRANGE(""https://docs.google.com/spreadsheets/d/1GtVEW9YZse0IzniQ0R5fmny0v0Q2UBTfAmCwTvKHgjI"",""2026!p1320_622"")"),110000.0)</f>
        <v>110000</v>
      </c>
      <c r="G1490" s="14">
        <f t="shared" si="41"/>
        <v>4.5</v>
      </c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</row>
    <row r="1491" ht="14.25" customHeight="1">
      <c r="A1491" s="8"/>
      <c r="B1491" s="10"/>
      <c r="C1491" s="140" t="s">
        <v>374</v>
      </c>
      <c r="D1491" s="141" t="s">
        <v>375</v>
      </c>
      <c r="E1491" s="60">
        <v>0.0</v>
      </c>
      <c r="F1491" s="13">
        <f>IFERROR(__xludf.DUMMYFUNCTION("IMPORTRANGE(""https://docs.google.com/spreadsheets/d/1GtVEW9YZse0IzniQ0R5fmny0v0Q2UBTfAmCwTvKHgjI"",""2026!p1320_624"")"),45000.0)</f>
        <v>45000</v>
      </c>
      <c r="G1491" s="14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</row>
    <row r="1492" ht="14.25" customHeight="1">
      <c r="A1492" s="8"/>
      <c r="B1492" s="121">
        <v>1320.0</v>
      </c>
      <c r="E1492" s="33">
        <v>20000.0</v>
      </c>
      <c r="F1492" s="33">
        <f>SUM(F1490:F1491)</f>
        <v>155000</v>
      </c>
      <c r="G1492" s="14">
        <f t="shared" ref="G1492:G1499" si="42">IFERROR(((F1492-E1492)/E1492), "")</f>
        <v>6.75</v>
      </c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</row>
    <row r="1493" ht="14.25" customHeight="1">
      <c r="A1493" s="8"/>
      <c r="B1493" s="10"/>
      <c r="C1493" s="139"/>
      <c r="D1493" s="142"/>
      <c r="E1493" s="13"/>
      <c r="F1493" s="13"/>
      <c r="G1493" s="14" t="str">
        <f t="shared" si="42"/>
        <v/>
      </c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</row>
    <row r="1494" ht="14.25" customHeight="1">
      <c r="A1494" s="143"/>
      <c r="B1494" s="144">
        <v>1330.0</v>
      </c>
      <c r="C1494" s="145"/>
      <c r="D1494" s="132" t="s">
        <v>153</v>
      </c>
      <c r="E1494" s="146">
        <v>2025.0</v>
      </c>
      <c r="F1494" s="147">
        <v>2026.0</v>
      </c>
      <c r="G1494" s="14">
        <f t="shared" si="42"/>
        <v>0.0004938271605</v>
      </c>
      <c r="H1494" s="49"/>
      <c r="I1494" s="49"/>
      <c r="J1494" s="49"/>
      <c r="K1494" s="49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</row>
    <row r="1495" ht="14.25" customHeight="1">
      <c r="A1495" s="49"/>
      <c r="B1495" s="49"/>
      <c r="C1495" s="148" t="s">
        <v>376</v>
      </c>
      <c r="D1495" s="49" t="s">
        <v>377</v>
      </c>
      <c r="E1495" s="149">
        <v>25000.0</v>
      </c>
      <c r="F1495" s="149">
        <f>IFERROR(__xludf.DUMMYFUNCTION("IMPORTRANGE(""https://docs.google.com/spreadsheets/d/1GtVEW9YZse0IzniQ0R5fmny0v0Q2UBTfAmCwTvKHgjI"",""2026!p1330_619"")"),95000.0)</f>
        <v>95000</v>
      </c>
      <c r="G1495" s="14">
        <f t="shared" si="42"/>
        <v>2.8</v>
      </c>
      <c r="H1495" s="49"/>
      <c r="I1495" s="49"/>
      <c r="J1495" s="49"/>
      <c r="K1495" s="49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</row>
    <row r="1496" ht="14.25" customHeight="1">
      <c r="A1496" s="49"/>
      <c r="B1496" s="121">
        <v>1330.0</v>
      </c>
      <c r="E1496" s="150">
        <v>25000.0</v>
      </c>
      <c r="F1496" s="150">
        <f>SUM(F1495)</f>
        <v>95000</v>
      </c>
      <c r="G1496" s="14">
        <f t="shared" si="42"/>
        <v>2.8</v>
      </c>
      <c r="H1496" s="49"/>
      <c r="I1496" s="49"/>
      <c r="J1496" s="49"/>
      <c r="K1496" s="49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</row>
    <row r="1497" ht="14.25" customHeight="1">
      <c r="A1497" s="8"/>
      <c r="B1497" s="10"/>
      <c r="C1497" s="139"/>
      <c r="D1497" s="142"/>
      <c r="E1497" s="13"/>
      <c r="F1497" s="13"/>
      <c r="G1497" s="14" t="str">
        <f t="shared" si="42"/>
        <v/>
      </c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</row>
    <row r="1498" ht="14.25" customHeight="1">
      <c r="A1498" s="8"/>
      <c r="B1498" s="44">
        <v>1350.0</v>
      </c>
      <c r="C1498" s="103"/>
      <c r="D1498" s="46" t="s">
        <v>161</v>
      </c>
      <c r="E1498" s="151">
        <v>2025.0</v>
      </c>
      <c r="F1498" s="152">
        <v>2026.0</v>
      </c>
      <c r="G1498" s="14">
        <f t="shared" si="42"/>
        <v>0.0004938271605</v>
      </c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</row>
    <row r="1499" ht="14.25" customHeight="1">
      <c r="A1499" s="8"/>
      <c r="B1499" s="10"/>
      <c r="C1499" s="139" t="s">
        <v>376</v>
      </c>
      <c r="D1499" s="51" t="s">
        <v>377</v>
      </c>
      <c r="E1499" s="153">
        <v>30000.0</v>
      </c>
      <c r="F1499" s="153">
        <f>IFERROR(__xludf.DUMMYFUNCTION("IMPORTRANGE(""https://docs.google.com/spreadsheets/d/1GtVEW9YZse0IzniQ0R5fmny0v0Q2UBTfAmCwTvKHgjI"",""2026!p1350_619"")"),18200.0)</f>
        <v>18200</v>
      </c>
      <c r="G1499" s="14">
        <f t="shared" si="42"/>
        <v>-0.3933333333</v>
      </c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</row>
    <row r="1500" ht="14.25" customHeight="1">
      <c r="A1500" s="8"/>
      <c r="B1500" s="10"/>
      <c r="C1500" s="140" t="s">
        <v>374</v>
      </c>
      <c r="D1500" s="141" t="s">
        <v>375</v>
      </c>
      <c r="E1500" s="60">
        <v>0.0</v>
      </c>
      <c r="F1500" s="13">
        <f>IFERROR(__xludf.DUMMYFUNCTION("IMPORTRANGE(""https://docs.google.com/spreadsheets/d/1GtVEW9YZse0IzniQ0R5fmny0v0Q2UBTfAmCwTvKHgjI"",""2026!p1350_624"")"),45000.0)</f>
        <v>45000</v>
      </c>
      <c r="G1500" s="14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</row>
    <row r="1501" ht="14.25" customHeight="1">
      <c r="A1501" s="8"/>
      <c r="B1501" s="121">
        <v>1350.0</v>
      </c>
      <c r="E1501" s="33">
        <v>55000.0</v>
      </c>
      <c r="F1501" s="33">
        <f>SUM(F1499:F1500)</f>
        <v>63200</v>
      </c>
      <c r="G1501" s="14">
        <f t="shared" ref="G1501:G1512" si="43">IFERROR(((F1501-E1501)/E1501), "")</f>
        <v>0.1490909091</v>
      </c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</row>
    <row r="1502" ht="14.25" customHeight="1">
      <c r="A1502" s="8"/>
      <c r="B1502" s="10"/>
      <c r="C1502" s="139"/>
      <c r="D1502" s="142"/>
      <c r="E1502" s="13"/>
      <c r="F1502" s="13"/>
      <c r="G1502" s="14" t="str">
        <f t="shared" si="43"/>
        <v/>
      </c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</row>
    <row r="1503" ht="14.25" customHeight="1">
      <c r="A1503" s="8"/>
      <c r="B1503" s="44">
        <v>1360.0</v>
      </c>
      <c r="C1503" s="103"/>
      <c r="D1503" s="46" t="s">
        <v>40</v>
      </c>
      <c r="E1503" s="151">
        <v>2025.0</v>
      </c>
      <c r="F1503" s="152">
        <v>2026.0</v>
      </c>
      <c r="G1503" s="14">
        <f t="shared" si="43"/>
        <v>0.0004938271605</v>
      </c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</row>
    <row r="1504" ht="14.25" customHeight="1">
      <c r="A1504" s="49"/>
      <c r="B1504" s="49"/>
      <c r="C1504" s="154" t="s">
        <v>374</v>
      </c>
      <c r="D1504" s="134" t="s">
        <v>375</v>
      </c>
      <c r="E1504" s="155">
        <v>300000.0</v>
      </c>
      <c r="F1504" s="155">
        <f>IFERROR(__xludf.DUMMYFUNCTION("IMPORTRANGE(""https://docs.google.com/spreadsheets/d/1GtVEW9YZse0IzniQ0R5fmny0v0Q2UBTfAmCwTvKHgjI"",""2026!p1360_624"")"),25000.0)</f>
        <v>25000</v>
      </c>
      <c r="G1504" s="14">
        <f t="shared" si="43"/>
        <v>-0.9166666667</v>
      </c>
      <c r="H1504" s="49"/>
      <c r="I1504" s="49"/>
      <c r="J1504" s="49"/>
      <c r="K1504" s="49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</row>
    <row r="1505" ht="14.25" customHeight="1">
      <c r="A1505" s="8"/>
      <c r="B1505" s="10"/>
      <c r="C1505" s="140" t="s">
        <v>378</v>
      </c>
      <c r="D1505" s="141" t="s">
        <v>379</v>
      </c>
      <c r="E1505" s="13">
        <v>10000.0</v>
      </c>
      <c r="F1505" s="13">
        <f>IFERROR(__xludf.DUMMYFUNCTION("IMPORTRANGE(""https://docs.google.com/spreadsheets/d/1GtVEW9YZse0IzniQ0R5fmny0v0Q2UBTfAmCwTvKHgjI"",""2026!p1360_639"")"),75000.0)</f>
        <v>75000</v>
      </c>
      <c r="G1505" s="14">
        <f t="shared" si="43"/>
        <v>6.5</v>
      </c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</row>
    <row r="1506" ht="14.25" customHeight="1">
      <c r="A1506" s="8"/>
      <c r="B1506" s="121">
        <v>1360.0</v>
      </c>
      <c r="E1506" s="33">
        <v>340000.0</v>
      </c>
      <c r="F1506" s="33">
        <f>SUM(F1504:F1505)</f>
        <v>100000</v>
      </c>
      <c r="G1506" s="14">
        <f t="shared" si="43"/>
        <v>-0.7058823529</v>
      </c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</row>
    <row r="1507" ht="14.25" customHeight="1">
      <c r="A1507" s="8"/>
      <c r="B1507" s="10"/>
      <c r="C1507" s="139"/>
      <c r="D1507" s="142"/>
      <c r="E1507" s="13"/>
      <c r="F1507" s="13"/>
      <c r="G1507" s="14" t="str">
        <f t="shared" si="43"/>
        <v/>
      </c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</row>
    <row r="1508" ht="14.25" customHeight="1">
      <c r="A1508" s="8"/>
      <c r="B1508" s="44">
        <v>1500.0</v>
      </c>
      <c r="C1508" s="103"/>
      <c r="D1508" s="46" t="s">
        <v>43</v>
      </c>
      <c r="E1508" s="151">
        <v>2025.0</v>
      </c>
      <c r="F1508" s="152">
        <v>2026.0</v>
      </c>
      <c r="G1508" s="14">
        <f t="shared" si="43"/>
        <v>0.0004938271605</v>
      </c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</row>
    <row r="1509" ht="14.25" customHeight="1">
      <c r="A1509" s="8"/>
      <c r="B1509" s="10"/>
      <c r="C1509" s="139" t="s">
        <v>380</v>
      </c>
      <c r="D1509" s="51" t="s">
        <v>118</v>
      </c>
      <c r="E1509" s="156">
        <v>12000.0</v>
      </c>
      <c r="F1509" s="156">
        <f>IFERROR(__xludf.DUMMYFUNCTION("IMPORTRANGE(""https://docs.google.com/spreadsheets/d/1GtVEW9YZse0IzniQ0R5fmny0v0Q2UBTfAmCwTvKHgjI"",""2026!p1500_636"")"),12000.0)</f>
        <v>12000</v>
      </c>
      <c r="G1509" s="14">
        <f t="shared" si="43"/>
        <v>0</v>
      </c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</row>
    <row r="1510" ht="14.25" customHeight="1">
      <c r="A1510" s="8"/>
      <c r="B1510" s="121">
        <v>1500.0</v>
      </c>
      <c r="E1510" s="33">
        <v>18000.0</v>
      </c>
      <c r="F1510" s="33">
        <f>SUM(F1509)</f>
        <v>12000</v>
      </c>
      <c r="G1510" s="14">
        <f t="shared" si="43"/>
        <v>-0.3333333333</v>
      </c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</row>
    <row r="1511" ht="14.25" customHeight="1">
      <c r="A1511" s="8"/>
      <c r="B1511" s="10"/>
      <c r="C1511" s="139"/>
      <c r="D1511" s="142"/>
      <c r="E1511" s="13"/>
      <c r="F1511" s="13"/>
      <c r="G1511" s="14" t="str">
        <f t="shared" si="43"/>
        <v/>
      </c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</row>
    <row r="1512" ht="14.25" customHeight="1">
      <c r="A1512" s="8"/>
      <c r="B1512" s="44">
        <v>1522.0</v>
      </c>
      <c r="C1512" s="103"/>
      <c r="D1512" s="46" t="s">
        <v>381</v>
      </c>
      <c r="E1512" s="47">
        <v>2025.0</v>
      </c>
      <c r="F1512" s="48">
        <v>2026.0</v>
      </c>
      <c r="G1512" s="14">
        <f t="shared" si="43"/>
        <v>0.0004938271605</v>
      </c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</row>
    <row r="1513" ht="14.25" customHeight="1">
      <c r="A1513" s="8"/>
      <c r="B1513" s="10"/>
      <c r="C1513" s="140" t="s">
        <v>382</v>
      </c>
      <c r="D1513" s="141" t="s">
        <v>383</v>
      </c>
      <c r="E1513" s="60">
        <v>0.0</v>
      </c>
      <c r="F1513" s="13">
        <f>IFERROR(__xludf.DUMMYFUNCTION("IMPORTRANGE(""https://docs.google.com/spreadsheets/d/1GtVEW9YZse0IzniQ0R5fmny0v0Q2UBTfAmCwTvKHgjI"",""2026!p1522_627"")"),18000.0)</f>
        <v>18000</v>
      </c>
      <c r="G1513" s="14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</row>
    <row r="1514" ht="14.25" customHeight="1">
      <c r="A1514" s="8"/>
      <c r="B1514" s="10"/>
      <c r="C1514" s="139" t="s">
        <v>384</v>
      </c>
      <c r="D1514" s="51" t="s">
        <v>385</v>
      </c>
      <c r="E1514" s="13">
        <v>3521054.54</v>
      </c>
      <c r="F1514" s="13">
        <f>IFERROR(__xludf.DUMMYFUNCTION("IMPORTRANGE(""https://docs.google.com/spreadsheets/d/1GtVEW9YZse0IzniQ0R5fmny0v0Q2UBTfAmCwTvKHgjI"",""2026!p1522_650"")"),2347369.69)</f>
        <v>2347369.69</v>
      </c>
      <c r="G1514" s="14">
        <f t="shared" ref="G1514:G1518" si="44">IFERROR(((F1514-E1514)/E1514), "")</f>
        <v>-0.3333333343</v>
      </c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</row>
    <row r="1515" ht="14.25" customHeight="1">
      <c r="A1515" s="8"/>
      <c r="B1515" s="121">
        <v>1522.0</v>
      </c>
      <c r="E1515" s="33">
        <v>3521054.54</v>
      </c>
      <c r="F1515" s="33">
        <f>SUM(F1513:F1514)</f>
        <v>2365369.69</v>
      </c>
      <c r="G1515" s="14">
        <f t="shared" si="44"/>
        <v>-0.3282212294</v>
      </c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</row>
    <row r="1516" ht="14.25" customHeight="1">
      <c r="A1516" s="8"/>
      <c r="B1516" s="10"/>
      <c r="C1516" s="139"/>
      <c r="D1516" s="142"/>
      <c r="E1516" s="13"/>
      <c r="F1516" s="13"/>
      <c r="G1516" s="14" t="str">
        <f t="shared" si="44"/>
        <v/>
      </c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</row>
    <row r="1517" ht="14.25" customHeight="1">
      <c r="A1517" s="8"/>
      <c r="B1517" s="44">
        <v>1530.0</v>
      </c>
      <c r="C1517" s="103"/>
      <c r="D1517" s="157" t="s">
        <v>48</v>
      </c>
      <c r="E1517" s="151">
        <v>2025.0</v>
      </c>
      <c r="F1517" s="152">
        <v>2026.0</v>
      </c>
      <c r="G1517" s="14">
        <f t="shared" si="44"/>
        <v>0.0004938271605</v>
      </c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</row>
    <row r="1518" ht="14.25" customHeight="1">
      <c r="A1518" s="8"/>
      <c r="B1518" s="16"/>
      <c r="C1518" s="158" t="s">
        <v>376</v>
      </c>
      <c r="D1518" s="51" t="s">
        <v>377</v>
      </c>
      <c r="E1518" s="153">
        <v>2931250.1500000004</v>
      </c>
      <c r="F1518" s="153">
        <f>IFERROR(__xludf.DUMMYFUNCTION("IMPORTRANGE(""https://docs.google.com/spreadsheets/d/1GtVEW9YZse0IzniQ0R5fmny0v0Q2UBTfAmCwTvKHgjI"",""2026!p1530_619"")"),9687063.16)</f>
        <v>9687063.16</v>
      </c>
      <c r="G1518" s="14">
        <f t="shared" si="44"/>
        <v>2.304754853</v>
      </c>
      <c r="H1518" s="159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</row>
    <row r="1519" ht="14.25" customHeight="1">
      <c r="A1519" s="8"/>
      <c r="B1519" s="10"/>
      <c r="C1519" s="140" t="s">
        <v>374</v>
      </c>
      <c r="D1519" s="141" t="s">
        <v>375</v>
      </c>
      <c r="E1519" s="60">
        <v>0.0</v>
      </c>
      <c r="F1519" s="13">
        <f>IFERROR(__xludf.DUMMYFUNCTION("IMPORTRANGE(""https://docs.google.com/spreadsheets/d/1GtVEW9YZse0IzniQ0R5fmny0v0Q2UBTfAmCwTvKHgjI"",""2026!p1530_624"")"),120000.0)</f>
        <v>120000</v>
      </c>
      <c r="G1519" s="14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</row>
    <row r="1520" ht="14.25" customHeight="1">
      <c r="A1520" s="8"/>
      <c r="B1520" s="16"/>
      <c r="C1520" s="158" t="s">
        <v>386</v>
      </c>
      <c r="D1520" s="51" t="s">
        <v>387</v>
      </c>
      <c r="E1520" s="156">
        <v>190000.0</v>
      </c>
      <c r="F1520" s="156">
        <f>IFERROR(__xludf.DUMMYFUNCTION("IMPORTRANGE(""https://docs.google.com/spreadsheets/d/1GtVEW9YZse0IzniQ0R5fmny0v0Q2UBTfAmCwTvKHgjI"",""2026!p1530_635"")"),380000.0)</f>
        <v>380000</v>
      </c>
      <c r="G1520" s="14">
        <f t="shared" ref="G1520:G1529" si="45">IFERROR(((F1520-E1520)/E1520), "")</f>
        <v>1</v>
      </c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</row>
    <row r="1521" ht="14.25" customHeight="1">
      <c r="A1521" s="8"/>
      <c r="B1521" s="160">
        <v>1530.0</v>
      </c>
      <c r="E1521" s="33">
        <v>3260250.1500000004</v>
      </c>
      <c r="F1521" s="33">
        <f>SUM(F1518:F1520)</f>
        <v>10187063.16</v>
      </c>
      <c r="G1521" s="14">
        <f t="shared" si="45"/>
        <v>2.124626238</v>
      </c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</row>
    <row r="1522" ht="14.25" customHeight="1">
      <c r="A1522" s="8"/>
      <c r="B1522" s="10"/>
      <c r="C1522" s="139"/>
      <c r="D1522" s="142"/>
      <c r="E1522" s="13"/>
      <c r="F1522" s="13"/>
      <c r="G1522" s="14" t="str">
        <f t="shared" si="45"/>
        <v/>
      </c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</row>
    <row r="1523" ht="14.25" customHeight="1">
      <c r="A1523" s="8"/>
      <c r="B1523" s="44">
        <v>1600.0</v>
      </c>
      <c r="C1523" s="103"/>
      <c r="D1523" s="157" t="s">
        <v>184</v>
      </c>
      <c r="E1523" s="161">
        <v>2025.0</v>
      </c>
      <c r="F1523" s="48">
        <v>2026.0</v>
      </c>
      <c r="G1523" s="14">
        <f t="shared" si="45"/>
        <v>0.0004938271605</v>
      </c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</row>
    <row r="1524" ht="14.25" customHeight="1">
      <c r="A1524" s="8"/>
      <c r="B1524" s="16"/>
      <c r="C1524" s="158" t="s">
        <v>376</v>
      </c>
      <c r="D1524" s="51" t="s">
        <v>377</v>
      </c>
      <c r="E1524" s="153">
        <v>180000.0</v>
      </c>
      <c r="F1524" s="13">
        <f>IFERROR(__xludf.DUMMYFUNCTION("IMPORTRANGE(""https://docs.google.com/spreadsheets/d/1GtVEW9YZse0IzniQ0R5fmny0v0Q2UBTfAmCwTvKHgjI"",""2026!p1600_619"")"),140000.0)</f>
        <v>140000</v>
      </c>
      <c r="G1524" s="14">
        <f t="shared" si="45"/>
        <v>-0.2222222222</v>
      </c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</row>
    <row r="1525" ht="14.25" customHeight="1">
      <c r="A1525" s="8"/>
      <c r="B1525" s="16"/>
      <c r="C1525" s="158" t="s">
        <v>388</v>
      </c>
      <c r="D1525" s="51" t="s">
        <v>389</v>
      </c>
      <c r="E1525" s="156">
        <v>15000.0</v>
      </c>
      <c r="F1525" s="13">
        <f>IFERROR(__xludf.DUMMYFUNCTION("IMPORTRANGE(""https://docs.google.com/spreadsheets/d/1GtVEW9YZse0IzniQ0R5fmny0v0Q2UBTfAmCwTvKHgjI"",""2026!p1600_629"")"),18200.0)</f>
        <v>18200</v>
      </c>
      <c r="G1525" s="14">
        <f t="shared" si="45"/>
        <v>0.2133333333</v>
      </c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</row>
    <row r="1526" ht="14.25" customHeight="1">
      <c r="A1526" s="8"/>
      <c r="B1526" s="160">
        <v>1600.0</v>
      </c>
      <c r="E1526" s="162">
        <v>197000.0</v>
      </c>
      <c r="F1526" s="33">
        <f>SUM(F1524:F1525)</f>
        <v>158200</v>
      </c>
      <c r="G1526" s="14">
        <f t="shared" si="45"/>
        <v>-0.1969543147</v>
      </c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</row>
    <row r="1527" ht="14.25" customHeight="1">
      <c r="A1527" s="8"/>
      <c r="B1527" s="10"/>
      <c r="C1527" s="139"/>
      <c r="D1527" s="142"/>
      <c r="E1527" s="13"/>
      <c r="F1527" s="13"/>
      <c r="G1527" s="14" t="str">
        <f t="shared" si="45"/>
        <v/>
      </c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</row>
    <row r="1528" ht="14.25" customHeight="1">
      <c r="A1528" s="8"/>
      <c r="B1528" s="44">
        <v>1610.0</v>
      </c>
      <c r="C1528" s="103"/>
      <c r="D1528" s="46" t="s">
        <v>53</v>
      </c>
      <c r="E1528" s="151">
        <v>2025.0</v>
      </c>
      <c r="F1528" s="48">
        <v>2026.0</v>
      </c>
      <c r="G1528" s="14">
        <f t="shared" si="45"/>
        <v>0.0004938271605</v>
      </c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</row>
    <row r="1529" ht="14.25" customHeight="1">
      <c r="A1529" s="8"/>
      <c r="B1529" s="10"/>
      <c r="C1529" s="139" t="s">
        <v>376</v>
      </c>
      <c r="D1529" s="51" t="s">
        <v>377</v>
      </c>
      <c r="E1529" s="153">
        <v>618000.0</v>
      </c>
      <c r="F1529" s="60">
        <f>IFERROR(__xludf.DUMMYFUNCTION("IMPORTRANGE(""https://docs.google.com/spreadsheets/d/1GtVEW9YZse0IzniQ0R5fmny0v0Q2UBTfAmCwTvKHgjI"",""2026!p1610_619"")"),278600.0)</f>
        <v>278600</v>
      </c>
      <c r="G1529" s="14">
        <f t="shared" si="45"/>
        <v>-0.5491909385</v>
      </c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</row>
    <row r="1530" ht="14.25" customHeight="1">
      <c r="A1530" s="8"/>
      <c r="B1530" s="10"/>
      <c r="C1530" s="139" t="s">
        <v>390</v>
      </c>
      <c r="D1530" s="51" t="s">
        <v>391</v>
      </c>
      <c r="E1530" s="13"/>
      <c r="F1530" s="60">
        <f>IFERROR(__xludf.DUMMYFUNCTION("IMPORTRANGE(""https://docs.google.com/spreadsheets/d/1GtVEW9YZse0IzniQ0R5fmny0v0Q2UBTfAmCwTvKHgjI"",""2026!p1610_623"")"),86500.0)</f>
        <v>86500</v>
      </c>
      <c r="G1530" s="14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</row>
    <row r="1531" ht="14.25" customHeight="1">
      <c r="A1531" s="8"/>
      <c r="B1531" s="10"/>
      <c r="C1531" s="140" t="s">
        <v>374</v>
      </c>
      <c r="D1531" s="141" t="s">
        <v>375</v>
      </c>
      <c r="E1531" s="13"/>
      <c r="F1531" s="60">
        <f>IFERROR(__xludf.DUMMYFUNCTION("IMPORTRANGE(""https://docs.google.com/spreadsheets/d/1GtVEW9YZse0IzniQ0R5fmny0v0Q2UBTfAmCwTvKHgjI"",""2026!p1610_624"")"),5000.0)</f>
        <v>5000</v>
      </c>
      <c r="G1531" s="14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</row>
    <row r="1532" ht="14.25" customHeight="1">
      <c r="A1532" s="8"/>
      <c r="B1532" s="121">
        <v>1610.0</v>
      </c>
      <c r="E1532" s="33">
        <v>630600.0</v>
      </c>
      <c r="F1532" s="33">
        <f>SUM(F1529:F1531)</f>
        <v>370100</v>
      </c>
      <c r="G1532" s="14">
        <f t="shared" ref="G1532:G1552" si="46">IFERROR(((F1532-E1532)/E1532), "")</f>
        <v>-0.4130986362</v>
      </c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</row>
    <row r="1533" ht="14.25" customHeight="1">
      <c r="A1533" s="8"/>
      <c r="B1533" s="10"/>
      <c r="C1533" s="139"/>
      <c r="D1533" s="142"/>
      <c r="E1533" s="13"/>
      <c r="F1533" s="13"/>
      <c r="G1533" s="14" t="str">
        <f t="shared" si="46"/>
        <v/>
      </c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</row>
    <row r="1534" ht="14.25" customHeight="1">
      <c r="A1534" s="3"/>
      <c r="B1534" s="163">
        <v>1621.0</v>
      </c>
      <c r="C1534" s="164"/>
      <c r="D1534" s="165" t="s">
        <v>194</v>
      </c>
      <c r="E1534" s="166">
        <v>2025.0</v>
      </c>
      <c r="F1534" s="166">
        <v>2026.0</v>
      </c>
      <c r="G1534" s="167">
        <f t="shared" si="46"/>
        <v>0.0004938271605</v>
      </c>
      <c r="H1534" s="168"/>
      <c r="I1534" s="168"/>
      <c r="J1534" s="168"/>
      <c r="K1534" s="168"/>
      <c r="L1534" s="168"/>
      <c r="M1534" s="168"/>
      <c r="N1534" s="168"/>
      <c r="O1534" s="168"/>
      <c r="P1534" s="168"/>
      <c r="Q1534" s="168"/>
      <c r="R1534" s="168"/>
      <c r="S1534" s="168"/>
      <c r="T1534" s="168"/>
      <c r="U1534" s="168"/>
      <c r="V1534" s="168"/>
      <c r="W1534" s="168"/>
      <c r="X1534" s="168"/>
      <c r="Y1534" s="168"/>
      <c r="Z1534" s="168"/>
    </row>
    <row r="1535" ht="14.25" customHeight="1">
      <c r="A1535" s="3"/>
      <c r="B1535" s="3"/>
      <c r="C1535" s="169" t="s">
        <v>376</v>
      </c>
      <c r="D1535" s="170" t="s">
        <v>377</v>
      </c>
      <c r="E1535" s="171">
        <v>0.0</v>
      </c>
      <c r="F1535" s="172">
        <f>IFERROR(__xludf.DUMMYFUNCTION("IMPORTRANGE(""https://docs.google.com/spreadsheets/d/1GtVEW9YZse0IzniQ0R5fmny0v0Q2UBTfAmCwTvKHgjI"",""2026!p1621_619"")"),10.0)</f>
        <v>10</v>
      </c>
      <c r="G1535" s="173" t="str">
        <f t="shared" si="46"/>
        <v/>
      </c>
      <c r="H1535" s="168"/>
      <c r="I1535" s="168"/>
      <c r="J1535" s="168"/>
      <c r="K1535" s="168"/>
      <c r="L1535" s="168"/>
      <c r="M1535" s="168"/>
      <c r="N1535" s="168"/>
      <c r="O1535" s="168"/>
      <c r="P1535" s="168"/>
      <c r="Q1535" s="168"/>
      <c r="R1535" s="168"/>
      <c r="S1535" s="168"/>
      <c r="T1535" s="168"/>
      <c r="U1535" s="168"/>
      <c r="V1535" s="168"/>
      <c r="W1535" s="168"/>
      <c r="X1535" s="168"/>
      <c r="Y1535" s="168"/>
      <c r="Z1535" s="168"/>
    </row>
    <row r="1536" ht="14.25" customHeight="1">
      <c r="A1536" s="3"/>
      <c r="B1536" s="174">
        <v>1621.0</v>
      </c>
      <c r="E1536" s="175">
        <v>0.0</v>
      </c>
      <c r="F1536" s="176">
        <f>SUM(F1535)</f>
        <v>10</v>
      </c>
      <c r="G1536" s="173" t="str">
        <f t="shared" si="46"/>
        <v/>
      </c>
      <c r="H1536" s="168"/>
      <c r="I1536" s="168"/>
      <c r="J1536" s="168"/>
      <c r="K1536" s="168"/>
      <c r="L1536" s="168"/>
      <c r="M1536" s="168"/>
      <c r="N1536" s="168"/>
      <c r="O1536" s="168"/>
      <c r="P1536" s="168"/>
      <c r="Q1536" s="168"/>
      <c r="R1536" s="168"/>
      <c r="S1536" s="168"/>
      <c r="T1536" s="168"/>
      <c r="U1536" s="168"/>
      <c r="V1536" s="168"/>
      <c r="W1536" s="168"/>
      <c r="X1536" s="168"/>
      <c r="Y1536" s="168"/>
      <c r="Z1536" s="168"/>
    </row>
    <row r="1537" ht="14.25" customHeight="1">
      <c r="A1537" s="3"/>
      <c r="B1537" s="3"/>
      <c r="C1537" s="177"/>
      <c r="D1537" s="170"/>
      <c r="E1537" s="178"/>
      <c r="F1537" s="178"/>
      <c r="G1537" s="179" t="str">
        <f t="shared" si="46"/>
        <v/>
      </c>
      <c r="H1537" s="168"/>
      <c r="I1537" s="168"/>
      <c r="J1537" s="168"/>
      <c r="K1537" s="168"/>
      <c r="L1537" s="168"/>
      <c r="M1537" s="168"/>
      <c r="N1537" s="168"/>
      <c r="O1537" s="168"/>
      <c r="P1537" s="168"/>
      <c r="Q1537" s="168"/>
      <c r="R1537" s="168"/>
      <c r="S1537" s="168"/>
      <c r="T1537" s="168"/>
      <c r="U1537" s="168"/>
      <c r="V1537" s="168"/>
      <c r="W1537" s="168"/>
      <c r="X1537" s="168"/>
      <c r="Y1537" s="168"/>
      <c r="Z1537" s="168"/>
    </row>
    <row r="1538" ht="14.25" customHeight="1">
      <c r="A1538" s="8"/>
      <c r="B1538" s="44">
        <v>1623.0</v>
      </c>
      <c r="C1538" s="103"/>
      <c r="D1538" s="46" t="s">
        <v>197</v>
      </c>
      <c r="E1538" s="151">
        <v>2025.0</v>
      </c>
      <c r="F1538" s="152">
        <v>2026.0</v>
      </c>
      <c r="G1538" s="14">
        <f t="shared" si="46"/>
        <v>0.0004938271605</v>
      </c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</row>
    <row r="1539" ht="14.25" customHeight="1">
      <c r="A1539" s="8"/>
      <c r="B1539" s="10"/>
      <c r="C1539" s="139" t="s">
        <v>376</v>
      </c>
      <c r="D1539" s="51" t="s">
        <v>377</v>
      </c>
      <c r="E1539" s="153">
        <v>300000.0</v>
      </c>
      <c r="F1539" s="180">
        <f>IFERROR(__xludf.DUMMYFUNCTION("IMPORTRANGE(""https://docs.google.com/spreadsheets/d/1GtVEW9YZse0IzniQ0R5fmny0v0Q2UBTfAmCwTvKHgjI"",""2026!p1623_619"")"),250000.0)</f>
        <v>250000</v>
      </c>
      <c r="G1539" s="14">
        <f t="shared" si="46"/>
        <v>-0.1666666667</v>
      </c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</row>
    <row r="1540" ht="14.25" customHeight="1">
      <c r="A1540" s="8"/>
      <c r="B1540" s="121">
        <v>1623.0</v>
      </c>
      <c r="E1540" s="33">
        <v>380000.0</v>
      </c>
      <c r="F1540" s="33">
        <f>SUM(F1539)</f>
        <v>250000</v>
      </c>
      <c r="G1540" s="14">
        <f t="shared" si="46"/>
        <v>-0.3421052632</v>
      </c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</row>
    <row r="1541" ht="14.25" customHeight="1">
      <c r="A1541" s="8"/>
      <c r="B1541" s="10"/>
      <c r="C1541" s="139"/>
      <c r="D1541" s="142"/>
      <c r="E1541" s="13"/>
      <c r="F1541" s="13"/>
      <c r="G1541" s="14" t="str">
        <f t="shared" si="46"/>
        <v/>
      </c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</row>
    <row r="1542" ht="14.25" customHeight="1">
      <c r="A1542" s="8"/>
      <c r="B1542" s="44">
        <v>1640.0</v>
      </c>
      <c r="C1542" s="103"/>
      <c r="D1542" s="157" t="s">
        <v>57</v>
      </c>
      <c r="E1542" s="151">
        <v>2025.0</v>
      </c>
      <c r="F1542" s="48">
        <v>2026.0</v>
      </c>
      <c r="G1542" s="14">
        <f t="shared" si="46"/>
        <v>0.0004938271605</v>
      </c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</row>
    <row r="1543" ht="14.25" customHeight="1">
      <c r="A1543" s="8"/>
      <c r="B1543" s="16"/>
      <c r="C1543" s="158" t="s">
        <v>372</v>
      </c>
      <c r="D1543" s="51" t="s">
        <v>373</v>
      </c>
      <c r="E1543" s="153">
        <v>286000.0</v>
      </c>
      <c r="F1543" s="13">
        <f>IFERROR(__xludf.DUMMYFUNCTION("IMPORTRANGE(""https://docs.google.com/spreadsheets/d/1GtVEW9YZse0IzniQ0R5fmny0v0Q2UBTfAmCwTvKHgjI"",""2026!p1640_622"")"),385000.0)</f>
        <v>385000</v>
      </c>
      <c r="G1543" s="14">
        <f t="shared" si="46"/>
        <v>0.3461538462</v>
      </c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</row>
    <row r="1544" ht="14.25" customHeight="1">
      <c r="A1544" s="8"/>
      <c r="B1544" s="16"/>
      <c r="C1544" s="158" t="s">
        <v>388</v>
      </c>
      <c r="D1544" s="51" t="s">
        <v>389</v>
      </c>
      <c r="E1544" s="13">
        <v>5000.0</v>
      </c>
      <c r="F1544" s="13">
        <f>IFERROR(__xludf.DUMMYFUNCTION("IMPORTRANGE(""https://docs.google.com/spreadsheets/d/1GtVEW9YZse0IzniQ0R5fmny0v0Q2UBTfAmCwTvKHgjI"",""2026!p1640_629"")"),18200.0)</f>
        <v>18200</v>
      </c>
      <c r="G1544" s="14">
        <f t="shared" si="46"/>
        <v>2.64</v>
      </c>
      <c r="H1544" s="16"/>
      <c r="I1544" s="93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</row>
    <row r="1545" ht="14.25" customHeight="1">
      <c r="A1545" s="8"/>
      <c r="B1545" s="160">
        <v>1640.0</v>
      </c>
      <c r="E1545" s="33">
        <v>304000.0</v>
      </c>
      <c r="F1545" s="33">
        <f>SUM(F1543:F1544)</f>
        <v>403200</v>
      </c>
      <c r="G1545" s="14">
        <f t="shared" si="46"/>
        <v>0.3263157895</v>
      </c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</row>
    <row r="1546" ht="14.25" customHeight="1">
      <c r="A1546" s="8"/>
      <c r="B1546" s="10"/>
      <c r="C1546" s="139"/>
      <c r="D1546" s="142"/>
      <c r="E1546" s="13"/>
      <c r="F1546" s="13"/>
      <c r="G1546" s="14" t="str">
        <f t="shared" si="46"/>
        <v/>
      </c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</row>
    <row r="1547" ht="14.25" customHeight="1">
      <c r="A1547" s="49"/>
      <c r="B1547" s="181">
        <v>1650.0</v>
      </c>
      <c r="C1547" s="182"/>
      <c r="D1547" s="183" t="s">
        <v>392</v>
      </c>
      <c r="E1547" s="184">
        <v>2025.0</v>
      </c>
      <c r="F1547" s="185">
        <v>2026.0</v>
      </c>
      <c r="G1547" s="14">
        <f t="shared" si="46"/>
        <v>0.0004938271605</v>
      </c>
      <c r="H1547" s="49"/>
      <c r="I1547" s="49"/>
      <c r="J1547" s="186"/>
      <c r="K1547" s="18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</row>
    <row r="1548" ht="14.25" customHeight="1">
      <c r="A1548" s="49"/>
      <c r="B1548" s="49"/>
      <c r="C1548" s="158" t="s">
        <v>376</v>
      </c>
      <c r="D1548" s="49" t="s">
        <v>377</v>
      </c>
      <c r="E1548" s="149">
        <v>340000.0</v>
      </c>
      <c r="F1548" s="149">
        <f>IFERROR(__xludf.DUMMYFUNCTION("IMPORTRANGE(""https://docs.google.com/spreadsheets/d/1GtVEW9YZse0IzniQ0R5fmny0v0Q2UBTfAmCwTvKHgjI"",""2026!p1650_619"")"),565000.0)</f>
        <v>565000</v>
      </c>
      <c r="G1548" s="14">
        <f t="shared" si="46"/>
        <v>0.6617647059</v>
      </c>
      <c r="H1548" s="49"/>
      <c r="I1548" s="49"/>
      <c r="J1548" s="186"/>
      <c r="K1548" s="18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</row>
    <row r="1549" ht="14.25" customHeight="1">
      <c r="A1549" s="49"/>
      <c r="B1549" s="160">
        <v>1650.0</v>
      </c>
      <c r="E1549" s="150">
        <v>340000.0</v>
      </c>
      <c r="F1549" s="150">
        <f>SUM(F1548)</f>
        <v>565000</v>
      </c>
      <c r="G1549" s="14">
        <f t="shared" si="46"/>
        <v>0.6617647059</v>
      </c>
      <c r="H1549" s="49"/>
      <c r="I1549" s="49"/>
      <c r="J1549" s="186"/>
      <c r="K1549" s="18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</row>
    <row r="1550" ht="14.25" customHeight="1">
      <c r="A1550" s="49"/>
      <c r="B1550" s="49"/>
      <c r="C1550" s="187"/>
      <c r="D1550" s="49"/>
      <c r="E1550" s="92"/>
      <c r="F1550" s="92"/>
      <c r="G1550" s="14" t="str">
        <f t="shared" si="46"/>
        <v/>
      </c>
      <c r="H1550" s="49"/>
      <c r="I1550" s="49"/>
      <c r="J1550" s="186"/>
      <c r="K1550" s="18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</row>
    <row r="1551" ht="14.25" customHeight="1">
      <c r="A1551" s="143"/>
      <c r="B1551" s="144">
        <v>1710.0</v>
      </c>
      <c r="C1551" s="145"/>
      <c r="D1551" s="132" t="s">
        <v>60</v>
      </c>
      <c r="E1551" s="146">
        <v>2025.0</v>
      </c>
      <c r="F1551" s="147">
        <v>2026.0</v>
      </c>
      <c r="G1551" s="14">
        <f t="shared" si="46"/>
        <v>0.0004938271605</v>
      </c>
      <c r="H1551" s="49"/>
      <c r="I1551" s="49"/>
      <c r="J1551" s="49"/>
      <c r="K1551" s="49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</row>
    <row r="1552" ht="14.25" customHeight="1">
      <c r="A1552" s="49"/>
      <c r="B1552" s="49"/>
      <c r="C1552" s="158" t="s">
        <v>376</v>
      </c>
      <c r="D1552" s="49" t="s">
        <v>393</v>
      </c>
      <c r="E1552" s="153">
        <v>740000.0</v>
      </c>
      <c r="F1552" s="180">
        <f>IFERROR(__xludf.DUMMYFUNCTION("IMPORTRANGE(""https://docs.google.com/spreadsheets/d/1GtVEW9YZse0IzniQ0R5fmny0v0Q2UBTfAmCwTvKHgjI"",""2026!p1710_619"")"),1175000.0)</f>
        <v>1175000</v>
      </c>
      <c r="G1552" s="14">
        <f t="shared" si="46"/>
        <v>0.5878378378</v>
      </c>
      <c r="H1552" s="49"/>
      <c r="I1552" s="49"/>
      <c r="J1552" s="49"/>
      <c r="K1552" s="49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</row>
    <row r="1553" ht="14.25" customHeight="1">
      <c r="A1553" s="49"/>
      <c r="B1553" s="49"/>
      <c r="C1553" s="188" t="s">
        <v>382</v>
      </c>
      <c r="D1553" s="134" t="s">
        <v>383</v>
      </c>
      <c r="E1553" s="13"/>
      <c r="F1553" s="60">
        <f>IFERROR(__xludf.DUMMYFUNCTION("IMPORTRANGE(""https://docs.google.com/spreadsheets/d/1GtVEW9YZse0IzniQ0R5fmny0v0Q2UBTfAmCwTvKHgjI"",""2026!p1710_627"")"),38200.0)</f>
        <v>38200</v>
      </c>
      <c r="G1553" s="14"/>
      <c r="H1553" s="49"/>
      <c r="I1553" s="49"/>
      <c r="J1553" s="49"/>
      <c r="K1553" s="49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</row>
    <row r="1554" ht="14.25" customHeight="1">
      <c r="A1554" s="49"/>
      <c r="B1554" s="49"/>
      <c r="C1554" s="158" t="s">
        <v>384</v>
      </c>
      <c r="D1554" s="49" t="s">
        <v>394</v>
      </c>
      <c r="E1554" s="156">
        <v>720000.0</v>
      </c>
      <c r="F1554" s="189">
        <f>IFERROR(__xludf.DUMMYFUNCTION("IMPORTRANGE(""https://docs.google.com/spreadsheets/d/1GtVEW9YZse0IzniQ0R5fmny0v0Q2UBTfAmCwTvKHgjI"",""2026!p1710_650"")"),720000.0)</f>
        <v>720000</v>
      </c>
      <c r="G1554" s="14">
        <f t="shared" ref="G1554:G1632" si="47">IFERROR(((F1554-E1554)/E1554), "")</f>
        <v>0</v>
      </c>
      <c r="H1554" s="49"/>
      <c r="I1554" s="49"/>
      <c r="J1554" s="49"/>
      <c r="K1554" s="49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</row>
    <row r="1555" ht="14.25" customHeight="1">
      <c r="A1555" s="49"/>
      <c r="B1555" s="160">
        <v>1710.0</v>
      </c>
      <c r="E1555" s="150">
        <v>1460000.0</v>
      </c>
      <c r="F1555" s="150">
        <f>SUM(F1552:F1554)</f>
        <v>1933200</v>
      </c>
      <c r="G1555" s="14">
        <f t="shared" si="47"/>
        <v>0.324109589</v>
      </c>
      <c r="H1555" s="49"/>
      <c r="I1555" s="49"/>
      <c r="J1555" s="49"/>
      <c r="K1555" s="49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</row>
    <row r="1556" ht="14.25" customHeight="1">
      <c r="A1556" s="8"/>
      <c r="B1556" s="10"/>
      <c r="C1556" s="139"/>
      <c r="D1556" s="142"/>
      <c r="E1556" s="13"/>
      <c r="F1556" s="13"/>
      <c r="G1556" s="14" t="str">
        <f t="shared" si="47"/>
        <v/>
      </c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</row>
    <row r="1557" ht="14.25" customHeight="1">
      <c r="A1557" s="143"/>
      <c r="B1557" s="144">
        <v>1721.0</v>
      </c>
      <c r="C1557" s="145"/>
      <c r="D1557" s="132" t="s">
        <v>208</v>
      </c>
      <c r="E1557" s="146">
        <v>2025.0</v>
      </c>
      <c r="F1557" s="147">
        <v>2026.0</v>
      </c>
      <c r="G1557" s="14">
        <f t="shared" si="47"/>
        <v>0.0004938271605</v>
      </c>
      <c r="H1557" s="49"/>
      <c r="I1557" s="49"/>
      <c r="J1557" s="49"/>
      <c r="K1557" s="49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</row>
    <row r="1558" ht="14.25" customHeight="1">
      <c r="A1558" s="49"/>
      <c r="B1558" s="49"/>
      <c r="C1558" s="188" t="s">
        <v>388</v>
      </c>
      <c r="D1558" s="51" t="s">
        <v>389</v>
      </c>
      <c r="E1558" s="190">
        <v>300000.0</v>
      </c>
      <c r="F1558" s="190">
        <f>IFERROR(__xludf.DUMMYFUNCTION("IMPORTRANGE(""https://docs.google.com/spreadsheets/d/1GtVEW9YZse0IzniQ0R5fmny0v0Q2UBTfAmCwTvKHgjI"",""2026!p1721_629"")"),200000.0)</f>
        <v>200000</v>
      </c>
      <c r="G1558" s="14">
        <f t="shared" si="47"/>
        <v>-0.3333333333</v>
      </c>
      <c r="H1558" s="49"/>
      <c r="I1558" s="49"/>
      <c r="J1558" s="49"/>
      <c r="K1558" s="49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</row>
    <row r="1559" ht="14.25" customHeight="1">
      <c r="A1559" s="49"/>
      <c r="B1559" s="160">
        <v>1721.0</v>
      </c>
      <c r="E1559" s="150">
        <v>300000.0</v>
      </c>
      <c r="F1559" s="150">
        <f>SUM(F1558)</f>
        <v>200000</v>
      </c>
      <c r="G1559" s="14">
        <f t="shared" si="47"/>
        <v>-0.3333333333</v>
      </c>
      <c r="H1559" s="49"/>
      <c r="I1559" s="49"/>
      <c r="J1559" s="49"/>
      <c r="K1559" s="49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</row>
    <row r="1560" ht="14.25" customHeight="1">
      <c r="A1560" s="8"/>
      <c r="B1560" s="10"/>
      <c r="C1560" s="139"/>
      <c r="D1560" s="142"/>
      <c r="E1560" s="13"/>
      <c r="F1560" s="13"/>
      <c r="G1560" s="14" t="str">
        <f t="shared" si="47"/>
        <v/>
      </c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</row>
    <row r="1561" ht="14.25" customHeight="1">
      <c r="A1561" s="143"/>
      <c r="B1561" s="144">
        <v>2310.0</v>
      </c>
      <c r="C1561" s="145"/>
      <c r="D1561" s="132" t="s">
        <v>74</v>
      </c>
      <c r="E1561" s="146">
        <v>2025.0</v>
      </c>
      <c r="F1561" s="147">
        <v>2026.0</v>
      </c>
      <c r="G1561" s="14">
        <f t="shared" si="47"/>
        <v>0.0004938271605</v>
      </c>
      <c r="H1561" s="49"/>
      <c r="I1561" s="49"/>
      <c r="J1561" s="49"/>
      <c r="K1561" s="49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</row>
    <row r="1562" ht="14.25" customHeight="1">
      <c r="A1562" s="49"/>
      <c r="B1562" s="49"/>
      <c r="C1562" s="158" t="s">
        <v>395</v>
      </c>
      <c r="D1562" s="49" t="s">
        <v>373</v>
      </c>
      <c r="E1562" s="153">
        <v>24000.0</v>
      </c>
      <c r="F1562" s="153">
        <f>IFERROR(__xludf.DUMMYFUNCTION("IMPORTRANGE(""https://docs.google.com/spreadsheets/d/1GtVEW9YZse0IzniQ0R5fmny0v0Q2UBTfAmCwTvKHgjI"",""2026!p2310_632"")"),156000.0)</f>
        <v>156000</v>
      </c>
      <c r="G1562" s="14">
        <f t="shared" si="47"/>
        <v>5.5</v>
      </c>
      <c r="H1562" s="49"/>
      <c r="I1562" s="49"/>
      <c r="J1562" s="49"/>
      <c r="K1562" s="49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</row>
    <row r="1563" ht="14.25" customHeight="1">
      <c r="A1563" s="49"/>
      <c r="B1563" s="49"/>
      <c r="C1563" s="158" t="s">
        <v>386</v>
      </c>
      <c r="D1563" s="49" t="s">
        <v>387</v>
      </c>
      <c r="E1563" s="156">
        <v>18000.0</v>
      </c>
      <c r="F1563" s="156">
        <f>IFERROR(__xludf.DUMMYFUNCTION("IMPORTRANGE(""https://docs.google.com/spreadsheets/d/1GtVEW9YZse0IzniQ0R5fmny0v0Q2UBTfAmCwTvKHgjI"",""2026!p2310_635"")"),18200.0)</f>
        <v>18200</v>
      </c>
      <c r="G1563" s="14">
        <f t="shared" si="47"/>
        <v>0.01111111111</v>
      </c>
      <c r="H1563" s="49"/>
      <c r="I1563" s="49"/>
      <c r="J1563" s="49"/>
      <c r="K1563" s="49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</row>
    <row r="1564" ht="14.25" customHeight="1">
      <c r="A1564" s="49"/>
      <c r="B1564" s="160">
        <v>2310.0</v>
      </c>
      <c r="E1564" s="150">
        <v>43500.0</v>
      </c>
      <c r="F1564" s="150">
        <f>SUM(F1562:F1563)</f>
        <v>174200</v>
      </c>
      <c r="G1564" s="14">
        <f t="shared" si="47"/>
        <v>3.004597701</v>
      </c>
      <c r="H1564" s="49"/>
      <c r="I1564" s="49"/>
      <c r="J1564" s="49"/>
      <c r="K1564" s="49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</row>
    <row r="1565" ht="14.25" customHeight="1">
      <c r="A1565" s="8"/>
      <c r="B1565" s="10"/>
      <c r="C1565" s="139"/>
      <c r="D1565" s="142"/>
      <c r="E1565" s="13"/>
      <c r="F1565" s="13"/>
      <c r="G1565" s="14" t="str">
        <f t="shared" si="47"/>
        <v/>
      </c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</row>
    <row r="1566" ht="14.25" customHeight="1">
      <c r="A1566" s="8"/>
      <c r="B1566" s="44">
        <v>3110.0</v>
      </c>
      <c r="C1566" s="103"/>
      <c r="D1566" s="157" t="s">
        <v>396</v>
      </c>
      <c r="E1566" s="151">
        <v>2025.0</v>
      </c>
      <c r="F1566" s="152">
        <v>2026.0</v>
      </c>
      <c r="G1566" s="14">
        <f t="shared" si="47"/>
        <v>0.0004938271605</v>
      </c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</row>
    <row r="1567" ht="14.25" customHeight="1">
      <c r="A1567" s="8"/>
      <c r="B1567" s="16"/>
      <c r="C1567" s="158" t="s">
        <v>397</v>
      </c>
      <c r="D1567" s="51" t="s">
        <v>398</v>
      </c>
      <c r="E1567" s="190">
        <v>18000.0</v>
      </c>
      <c r="F1567" s="190">
        <f>IFERROR(__xludf.DUMMYFUNCTION("IMPORTRANGE(""https://docs.google.com/spreadsheets/d/1GtVEW9YZse0IzniQ0R5fmny0v0Q2UBTfAmCwTvKHgjI"",""2026!p3110_609"")"),30000.0)</f>
        <v>30000</v>
      </c>
      <c r="G1567" s="14">
        <f t="shared" si="47"/>
        <v>0.6666666667</v>
      </c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</row>
    <row r="1568" ht="14.25" customHeight="1">
      <c r="A1568" s="8"/>
      <c r="B1568" s="160">
        <v>3110.0</v>
      </c>
      <c r="E1568" s="33">
        <v>18000.0</v>
      </c>
      <c r="F1568" s="33">
        <f>SUM(F1567)</f>
        <v>30000</v>
      </c>
      <c r="G1568" s="14">
        <f t="shared" si="47"/>
        <v>0.6666666667</v>
      </c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</row>
    <row r="1569" ht="14.25" customHeight="1">
      <c r="A1569" s="8"/>
      <c r="B1569" s="10"/>
      <c r="C1569" s="139"/>
      <c r="D1569" s="142"/>
      <c r="E1569" s="13"/>
      <c r="F1569" s="13"/>
      <c r="G1569" s="14" t="str">
        <f t="shared" si="47"/>
        <v/>
      </c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</row>
    <row r="1570" ht="14.25" customHeight="1">
      <c r="A1570" s="8"/>
      <c r="B1570" s="67">
        <v>3200.0</v>
      </c>
      <c r="C1570" s="103"/>
      <c r="D1570" s="157" t="s">
        <v>77</v>
      </c>
      <c r="E1570" s="151">
        <v>2025.0</v>
      </c>
      <c r="F1570" s="152">
        <v>2026.0</v>
      </c>
      <c r="G1570" s="14">
        <f t="shared" si="47"/>
        <v>0.0004938271605</v>
      </c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</row>
    <row r="1571" ht="14.25" customHeight="1">
      <c r="A1571" s="8"/>
      <c r="B1571" s="16"/>
      <c r="C1571" s="158" t="s">
        <v>399</v>
      </c>
      <c r="D1571" s="51" t="s">
        <v>400</v>
      </c>
      <c r="E1571" s="190">
        <v>10000.0</v>
      </c>
      <c r="F1571" s="190">
        <f>IFERROR(__xludf.DUMMYFUNCTION("IMPORTRANGE(""https://docs.google.com/spreadsheets/d/1GtVEW9YZse0IzniQ0R5fmny0v0Q2UBTfAmCwTvKHgjI"",""2026!p3200_641"")"),18200.0)</f>
        <v>18200</v>
      </c>
      <c r="G1571" s="14">
        <f t="shared" si="47"/>
        <v>0.82</v>
      </c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</row>
    <row r="1572" ht="14.25" customHeight="1">
      <c r="A1572" s="8"/>
      <c r="B1572" s="191">
        <v>3200.0</v>
      </c>
      <c r="E1572" s="33">
        <v>10000.0</v>
      </c>
      <c r="F1572" s="33">
        <f>SUM(F1571)</f>
        <v>18200</v>
      </c>
      <c r="G1572" s="14">
        <f t="shared" si="47"/>
        <v>0.82</v>
      </c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</row>
    <row r="1573" ht="14.25" customHeight="1">
      <c r="A1573" s="49"/>
      <c r="B1573" s="49"/>
      <c r="C1573" s="187"/>
      <c r="D1573" s="49"/>
      <c r="E1573" s="92"/>
      <c r="F1573" s="92"/>
      <c r="G1573" s="14" t="str">
        <f t="shared" si="47"/>
        <v/>
      </c>
      <c r="H1573" s="49"/>
      <c r="I1573" s="49"/>
      <c r="J1573" s="49"/>
      <c r="K1573" s="49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</row>
    <row r="1574" ht="14.25" customHeight="1">
      <c r="A1574" s="143"/>
      <c r="B1574" s="144">
        <v>3230.0</v>
      </c>
      <c r="C1574" s="145"/>
      <c r="D1574" s="132" t="s">
        <v>225</v>
      </c>
      <c r="E1574" s="146">
        <v>2025.0</v>
      </c>
      <c r="F1574" s="147">
        <v>2026.0</v>
      </c>
      <c r="G1574" s="14">
        <f t="shared" si="47"/>
        <v>0.0004938271605</v>
      </c>
      <c r="H1574" s="49"/>
      <c r="I1574" s="49"/>
      <c r="J1574" s="49"/>
      <c r="K1574" s="49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</row>
    <row r="1575" ht="14.25" customHeight="1">
      <c r="A1575" s="49"/>
      <c r="B1575" s="49"/>
      <c r="C1575" s="158" t="s">
        <v>376</v>
      </c>
      <c r="D1575" s="49" t="s">
        <v>393</v>
      </c>
      <c r="E1575" s="149">
        <v>10000.0</v>
      </c>
      <c r="F1575" s="149">
        <f>IFERROR(__xludf.DUMMYFUNCTION("IMPORTRANGE(""https://docs.google.com/spreadsheets/d/1GtVEW9YZse0IzniQ0R5fmny0v0Q2UBTfAmCwTvKHgjI"",""2026!p3230_619"")"),18200.0)</f>
        <v>18200</v>
      </c>
      <c r="G1575" s="14">
        <f t="shared" si="47"/>
        <v>0.82</v>
      </c>
      <c r="H1575" s="49"/>
      <c r="I1575" s="49"/>
      <c r="J1575" s="49"/>
      <c r="K1575" s="49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</row>
    <row r="1576" ht="14.25" customHeight="1">
      <c r="A1576" s="49"/>
      <c r="B1576" s="160">
        <v>3230.0</v>
      </c>
      <c r="E1576" s="150">
        <v>10000.0</v>
      </c>
      <c r="F1576" s="150">
        <f>SUM(F1575)</f>
        <v>18200</v>
      </c>
      <c r="G1576" s="14">
        <f t="shared" si="47"/>
        <v>0.82</v>
      </c>
      <c r="H1576" s="49"/>
      <c r="I1576" s="49"/>
      <c r="J1576" s="49"/>
      <c r="K1576" s="49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</row>
    <row r="1577" ht="14.25" customHeight="1">
      <c r="A1577" s="8"/>
      <c r="B1577" s="10"/>
      <c r="C1577" s="139"/>
      <c r="D1577" s="142"/>
      <c r="E1577" s="13"/>
      <c r="F1577" s="13"/>
      <c r="G1577" s="14" t="str">
        <f t="shared" si="47"/>
        <v/>
      </c>
      <c r="H1577" s="14" t="str">
        <f>IFERROR(((G1577-E1577)/E1577), "")</f>
        <v/>
      </c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</row>
    <row r="1578" ht="14.25" customHeight="1">
      <c r="A1578" s="143"/>
      <c r="B1578" s="144">
        <v>3261.0</v>
      </c>
      <c r="C1578" s="145"/>
      <c r="D1578" s="132" t="s">
        <v>78</v>
      </c>
      <c r="E1578" s="146">
        <v>2025.0</v>
      </c>
      <c r="F1578" s="147">
        <v>2026.0</v>
      </c>
      <c r="G1578" s="14">
        <f t="shared" si="47"/>
        <v>0.0004938271605</v>
      </c>
      <c r="H1578" s="49"/>
      <c r="I1578" s="49"/>
      <c r="J1578" s="49"/>
      <c r="K1578" s="49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</row>
    <row r="1579" ht="14.25" customHeight="1">
      <c r="A1579" s="49"/>
      <c r="B1579" s="49"/>
      <c r="C1579" s="158" t="s">
        <v>388</v>
      </c>
      <c r="D1579" s="49" t="s">
        <v>401</v>
      </c>
      <c r="E1579" s="190">
        <v>6000.0</v>
      </c>
      <c r="F1579" s="190">
        <f>IFERROR(__xludf.DUMMYFUNCTION("IMPORTRANGE(""https://docs.google.com/spreadsheets/d/1GtVEW9YZse0IzniQ0R5fmny0v0Q2UBTfAmCwTvKHgjI"",""2026!p3261_629"")"),36400.0)</f>
        <v>36400</v>
      </c>
      <c r="G1579" s="14">
        <f t="shared" si="47"/>
        <v>5.066666667</v>
      </c>
      <c r="H1579" s="49"/>
      <c r="I1579" s="49"/>
      <c r="J1579" s="49"/>
      <c r="K1579" s="49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</row>
    <row r="1580" ht="14.25" customHeight="1">
      <c r="A1580" s="49"/>
      <c r="B1580" s="160">
        <v>3261.0</v>
      </c>
      <c r="E1580" s="150">
        <v>6000.0</v>
      </c>
      <c r="F1580" s="150">
        <f>SUM(F1579)</f>
        <v>36400</v>
      </c>
      <c r="G1580" s="14">
        <f t="shared" si="47"/>
        <v>5.066666667</v>
      </c>
      <c r="H1580" s="49"/>
      <c r="I1580" s="49"/>
      <c r="J1580" s="49"/>
      <c r="K1580" s="49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</row>
    <row r="1581" ht="14.25" customHeight="1">
      <c r="A1581" s="8"/>
      <c r="B1581" s="10"/>
      <c r="C1581" s="139"/>
      <c r="D1581" s="142"/>
      <c r="E1581" s="13"/>
      <c r="F1581" s="13"/>
      <c r="G1581" s="14" t="str">
        <f t="shared" si="47"/>
        <v/>
      </c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</row>
    <row r="1582" ht="14.25" customHeight="1">
      <c r="A1582" s="143"/>
      <c r="B1582" s="144">
        <v>3262.0</v>
      </c>
      <c r="C1582" s="145"/>
      <c r="D1582" s="132" t="s">
        <v>79</v>
      </c>
      <c r="E1582" s="146">
        <v>2025.0</v>
      </c>
      <c r="F1582" s="147">
        <v>2026.0</v>
      </c>
      <c r="G1582" s="14">
        <f t="shared" si="47"/>
        <v>0.0004938271605</v>
      </c>
      <c r="H1582" s="49"/>
      <c r="I1582" s="49"/>
      <c r="J1582" s="49"/>
      <c r="K1582" s="49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</row>
    <row r="1583" ht="14.25" customHeight="1">
      <c r="A1583" s="49"/>
      <c r="B1583" s="49"/>
      <c r="C1583" s="158" t="s">
        <v>388</v>
      </c>
      <c r="D1583" s="49" t="s">
        <v>401</v>
      </c>
      <c r="E1583" s="190">
        <v>6000.0</v>
      </c>
      <c r="F1583" s="190">
        <f>IFERROR(__xludf.DUMMYFUNCTION("IMPORTRANGE(""https://docs.google.com/spreadsheets/d/1GtVEW9YZse0IzniQ0R5fmny0v0Q2UBTfAmCwTvKHgjI"",""2026!p3262_629"")"),18200.0)</f>
        <v>18200</v>
      </c>
      <c r="G1583" s="14">
        <f t="shared" si="47"/>
        <v>2.033333333</v>
      </c>
      <c r="H1583" s="49"/>
      <c r="I1583" s="49"/>
      <c r="J1583" s="49"/>
      <c r="K1583" s="49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</row>
    <row r="1584" ht="14.25" customHeight="1">
      <c r="A1584" s="49"/>
      <c r="B1584" s="160">
        <v>3262.0</v>
      </c>
      <c r="E1584" s="150">
        <v>6000.0</v>
      </c>
      <c r="F1584" s="150">
        <f>SUM(F1583)</f>
        <v>18200</v>
      </c>
      <c r="G1584" s="14">
        <f t="shared" si="47"/>
        <v>2.033333333</v>
      </c>
      <c r="H1584" s="49"/>
      <c r="I1584" s="49"/>
      <c r="J1584" s="49"/>
      <c r="K1584" s="49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</row>
    <row r="1585" ht="14.25" customHeight="1">
      <c r="A1585" s="8"/>
      <c r="B1585" s="10"/>
      <c r="C1585" s="139"/>
      <c r="D1585" s="142"/>
      <c r="E1585" s="13"/>
      <c r="F1585" s="13"/>
      <c r="G1585" s="14" t="str">
        <f t="shared" si="47"/>
        <v/>
      </c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</row>
    <row r="1586" ht="14.25" customHeight="1">
      <c r="A1586" s="143"/>
      <c r="B1586" s="144">
        <v>3321.0</v>
      </c>
      <c r="C1586" s="145"/>
      <c r="D1586" s="132" t="s">
        <v>81</v>
      </c>
      <c r="E1586" s="192">
        <v>2025.0</v>
      </c>
      <c r="F1586" s="193">
        <v>2026.0</v>
      </c>
      <c r="G1586" s="14">
        <f t="shared" si="47"/>
        <v>0.0004938271605</v>
      </c>
      <c r="H1586" s="49"/>
      <c r="I1586" s="49"/>
      <c r="J1586" s="49"/>
      <c r="K1586" s="49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</row>
    <row r="1587" ht="14.25" customHeight="1">
      <c r="A1587" s="49"/>
      <c r="B1587" s="49"/>
      <c r="C1587" s="158" t="s">
        <v>390</v>
      </c>
      <c r="D1587" s="49" t="s">
        <v>391</v>
      </c>
      <c r="E1587" s="13">
        <v>25000.0</v>
      </c>
      <c r="F1587" s="13">
        <f>IFERROR(__xludf.DUMMYFUNCTION("IMPORTRANGE(""https://docs.google.com/spreadsheets/d/1GtVEW9YZse0IzniQ0R5fmny0v0Q2UBTfAmCwTvKHgjI"",""2026!p3321_623"")"),25000.0)</f>
        <v>25000</v>
      </c>
      <c r="G1587" s="14">
        <f t="shared" si="47"/>
        <v>0</v>
      </c>
      <c r="H1587" s="49"/>
      <c r="I1587" s="49"/>
      <c r="J1587" s="49"/>
      <c r="K1587" s="49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</row>
    <row r="1588" ht="14.25" customHeight="1">
      <c r="A1588" s="49"/>
      <c r="B1588" s="49"/>
      <c r="C1588" s="188" t="s">
        <v>388</v>
      </c>
      <c r="D1588" s="49" t="s">
        <v>391</v>
      </c>
      <c r="E1588" s="60">
        <v>0.0</v>
      </c>
      <c r="F1588" s="13">
        <f>IFERROR(__xludf.DUMMYFUNCTION("IMPORTRANGE(""https://docs.google.com/spreadsheets/d/1GtVEW9YZse0IzniQ0R5fmny0v0Q2UBTfAmCwTvKHgjI"",""2026!p3321_629"")"),40000.0)</f>
        <v>40000</v>
      </c>
      <c r="G1588" s="14" t="str">
        <f t="shared" si="47"/>
        <v/>
      </c>
      <c r="H1588" s="49"/>
      <c r="I1588" s="49"/>
      <c r="J1588" s="49"/>
      <c r="K1588" s="49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</row>
    <row r="1589" ht="14.25" customHeight="1">
      <c r="A1589" s="49"/>
      <c r="B1589" s="160">
        <v>3321.0</v>
      </c>
      <c r="E1589" s="150">
        <v>25000.0</v>
      </c>
      <c r="F1589" s="150">
        <f>SUM(F1587:F1588)</f>
        <v>65000</v>
      </c>
      <c r="G1589" s="14">
        <f t="shared" si="47"/>
        <v>1.6</v>
      </c>
      <c r="H1589" s="49"/>
      <c r="I1589" s="49"/>
      <c r="J1589" s="49"/>
      <c r="K1589" s="49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</row>
    <row r="1590" ht="14.25" customHeight="1">
      <c r="A1590" s="49"/>
      <c r="B1590" s="49"/>
      <c r="C1590" s="187"/>
      <c r="D1590" s="49"/>
      <c r="E1590" s="92"/>
      <c r="F1590" s="92"/>
      <c r="G1590" s="14" t="str">
        <f t="shared" si="47"/>
        <v/>
      </c>
      <c r="H1590" s="49"/>
      <c r="I1590" s="49"/>
      <c r="J1590" s="49"/>
      <c r="K1590" s="49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</row>
    <row r="1591" ht="14.25" customHeight="1">
      <c r="A1591" s="143"/>
      <c r="B1591" s="144">
        <v>3330.0</v>
      </c>
      <c r="C1591" s="145"/>
      <c r="D1591" s="132" t="s">
        <v>241</v>
      </c>
      <c r="E1591" s="146">
        <v>2025.0</v>
      </c>
      <c r="F1591" s="147">
        <v>2026.0</v>
      </c>
      <c r="G1591" s="14">
        <f t="shared" si="47"/>
        <v>0.0004938271605</v>
      </c>
      <c r="H1591" s="49"/>
      <c r="I1591" s="49"/>
      <c r="J1591" s="49"/>
      <c r="K1591" s="49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</row>
    <row r="1592" ht="14.25" customHeight="1">
      <c r="A1592" s="49"/>
      <c r="B1592" s="49"/>
      <c r="C1592" s="158" t="s">
        <v>384</v>
      </c>
      <c r="D1592" s="49" t="s">
        <v>402</v>
      </c>
      <c r="E1592" s="90">
        <v>40000.0</v>
      </c>
      <c r="F1592" s="90">
        <f>IFERROR(__xludf.DUMMYFUNCTION("IMPORTRANGE(""https://docs.google.com/spreadsheets/d/1GtVEW9YZse0IzniQ0R5fmny0v0Q2UBTfAmCwTvKHgjI"",""2026!p3330_650"")"),40000.0)</f>
        <v>40000</v>
      </c>
      <c r="G1592" s="14">
        <f t="shared" si="47"/>
        <v>0</v>
      </c>
      <c r="H1592" s="49"/>
      <c r="I1592" s="49"/>
      <c r="J1592" s="49"/>
      <c r="K1592" s="49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</row>
    <row r="1593" ht="14.25" customHeight="1">
      <c r="A1593" s="49"/>
      <c r="B1593" s="160">
        <v>3330.0</v>
      </c>
      <c r="E1593" s="150">
        <v>45000.0</v>
      </c>
      <c r="F1593" s="150">
        <f>SUM(F1592)</f>
        <v>40000</v>
      </c>
      <c r="G1593" s="14">
        <f t="shared" si="47"/>
        <v>-0.1111111111</v>
      </c>
      <c r="H1593" s="49"/>
      <c r="I1593" s="49"/>
      <c r="J1593" s="49"/>
      <c r="K1593" s="49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</row>
    <row r="1594" ht="14.25" customHeight="1">
      <c r="A1594" s="49"/>
      <c r="B1594" s="160"/>
      <c r="C1594" s="194"/>
      <c r="D1594" s="160"/>
      <c r="E1594" s="195"/>
      <c r="F1594" s="195"/>
      <c r="G1594" s="14" t="str">
        <f t="shared" si="47"/>
        <v/>
      </c>
      <c r="H1594" s="49"/>
      <c r="I1594" s="49"/>
      <c r="J1594" s="49"/>
      <c r="K1594" s="49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</row>
    <row r="1595" ht="14.25" customHeight="1">
      <c r="A1595" s="143"/>
      <c r="B1595" s="196">
        <v>3331.0</v>
      </c>
      <c r="C1595" s="145"/>
      <c r="D1595" s="197" t="s">
        <v>247</v>
      </c>
      <c r="E1595" s="146">
        <v>2025.0</v>
      </c>
      <c r="F1595" s="147">
        <v>2026.0</v>
      </c>
      <c r="G1595" s="14">
        <f t="shared" si="47"/>
        <v>0.0004938271605</v>
      </c>
      <c r="H1595" s="49"/>
      <c r="I1595" s="49"/>
      <c r="J1595" s="49"/>
      <c r="K1595" s="49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</row>
    <row r="1596" ht="14.25" customHeight="1">
      <c r="A1596" s="49"/>
      <c r="B1596" s="49"/>
      <c r="C1596" s="188" t="s">
        <v>376</v>
      </c>
      <c r="D1596" s="49" t="s">
        <v>393</v>
      </c>
      <c r="E1596" s="91">
        <v>0.0</v>
      </c>
      <c r="F1596" s="90">
        <f>IFERROR(__xludf.DUMMYFUNCTION("IMPORTRANGE(""https://docs.google.com/spreadsheets/d/1GtVEW9YZse0IzniQ0R5fmny0v0Q2UBTfAmCwTvKHgjI"",""2026!p3331_619"")"),50000.0)</f>
        <v>50000</v>
      </c>
      <c r="G1596" s="14" t="str">
        <f t="shared" si="47"/>
        <v/>
      </c>
      <c r="H1596" s="49"/>
      <c r="I1596" s="49"/>
      <c r="J1596" s="49"/>
      <c r="K1596" s="49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</row>
    <row r="1597" ht="14.25" customHeight="1">
      <c r="A1597" s="49"/>
      <c r="B1597" s="191">
        <v>3331.0</v>
      </c>
      <c r="E1597" s="198">
        <v>0.0</v>
      </c>
      <c r="F1597" s="150">
        <f>SUM(F1596)</f>
        <v>50000</v>
      </c>
      <c r="G1597" s="14" t="str">
        <f t="shared" si="47"/>
        <v/>
      </c>
      <c r="H1597" s="49"/>
      <c r="I1597" s="49"/>
      <c r="J1597" s="49"/>
      <c r="K1597" s="49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</row>
    <row r="1598" ht="14.25" customHeight="1">
      <c r="A1598" s="49"/>
      <c r="B1598" s="160"/>
      <c r="C1598" s="194"/>
      <c r="D1598" s="160"/>
      <c r="E1598" s="195"/>
      <c r="F1598" s="195"/>
      <c r="G1598" s="14" t="str">
        <f t="shared" si="47"/>
        <v/>
      </c>
      <c r="H1598" s="49"/>
      <c r="I1598" s="49"/>
      <c r="J1598" s="49"/>
      <c r="K1598" s="49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</row>
    <row r="1599" ht="14.25" customHeight="1">
      <c r="A1599" s="143"/>
      <c r="B1599" s="144">
        <v>3340.0</v>
      </c>
      <c r="C1599" s="145"/>
      <c r="D1599" s="197" t="s">
        <v>82</v>
      </c>
      <c r="E1599" s="146">
        <v>2025.0</v>
      </c>
      <c r="F1599" s="147">
        <v>2026.0</v>
      </c>
      <c r="G1599" s="14">
        <f t="shared" si="47"/>
        <v>0.0004938271605</v>
      </c>
      <c r="H1599" s="49"/>
      <c r="I1599" s="49"/>
      <c r="J1599" s="49"/>
      <c r="K1599" s="49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</row>
    <row r="1600" ht="14.25" customHeight="1">
      <c r="A1600" s="49"/>
      <c r="B1600" s="49"/>
      <c r="C1600" s="158" t="s">
        <v>395</v>
      </c>
      <c r="D1600" s="49" t="s">
        <v>373</v>
      </c>
      <c r="E1600" s="190">
        <v>650000.0</v>
      </c>
      <c r="F1600" s="190">
        <f>IFERROR(__xludf.DUMMYFUNCTION("IMPORTRANGE(""https://docs.google.com/spreadsheets/d/1GtVEW9YZse0IzniQ0R5fmny0v0Q2UBTfAmCwTvKHgjI"",""2026!p3340_632"")"),318200.0)</f>
        <v>318200</v>
      </c>
      <c r="G1600" s="14">
        <f t="shared" si="47"/>
        <v>-0.5104615385</v>
      </c>
      <c r="H1600" s="49"/>
      <c r="I1600" s="49"/>
      <c r="J1600" s="49"/>
      <c r="K1600" s="49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</row>
    <row r="1601" ht="14.25" customHeight="1">
      <c r="A1601" s="49"/>
      <c r="B1601" s="160">
        <v>3340.0</v>
      </c>
      <c r="E1601" s="150">
        <v>650000.0</v>
      </c>
      <c r="F1601" s="150">
        <f>SUM(F1600)</f>
        <v>318200</v>
      </c>
      <c r="G1601" s="14">
        <f t="shared" si="47"/>
        <v>-0.5104615385</v>
      </c>
      <c r="H1601" s="49"/>
      <c r="I1601" s="49"/>
      <c r="J1601" s="49"/>
      <c r="K1601" s="49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</row>
    <row r="1602" ht="14.25" customHeight="1">
      <c r="A1602" s="49"/>
      <c r="B1602" s="160"/>
      <c r="C1602" s="194"/>
      <c r="D1602" s="160"/>
      <c r="E1602" s="195"/>
      <c r="F1602" s="195"/>
      <c r="G1602" s="14" t="str">
        <f t="shared" si="47"/>
        <v/>
      </c>
      <c r="H1602" s="49"/>
      <c r="I1602" s="49"/>
      <c r="J1602" s="49"/>
      <c r="K1602" s="49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</row>
    <row r="1603" ht="14.25" customHeight="1">
      <c r="A1603" s="143"/>
      <c r="B1603" s="196">
        <v>3341.0</v>
      </c>
      <c r="C1603" s="145"/>
      <c r="D1603" s="197" t="s">
        <v>254</v>
      </c>
      <c r="E1603" s="146">
        <v>2025.0</v>
      </c>
      <c r="F1603" s="147">
        <v>2026.0</v>
      </c>
      <c r="G1603" s="14">
        <f t="shared" si="47"/>
        <v>0.0004938271605</v>
      </c>
      <c r="H1603" s="49"/>
      <c r="I1603" s="49"/>
      <c r="J1603" s="49"/>
      <c r="K1603" s="49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</row>
    <row r="1604" ht="14.25" customHeight="1">
      <c r="A1604" s="49"/>
      <c r="B1604" s="49"/>
      <c r="C1604" s="188" t="s">
        <v>388</v>
      </c>
      <c r="D1604" s="49" t="s">
        <v>401</v>
      </c>
      <c r="E1604" s="199">
        <v>0.0</v>
      </c>
      <c r="F1604" s="190">
        <f>IFERROR(__xludf.DUMMYFUNCTION("IMPORTRANGE(""https://docs.google.com/spreadsheets/d/1GtVEW9YZse0IzniQ0R5fmny0v0Q2UBTfAmCwTvKHgjI"",""2026!p3341_629"")"),18200.0)</f>
        <v>18200</v>
      </c>
      <c r="G1604" s="14" t="str">
        <f t="shared" si="47"/>
        <v/>
      </c>
      <c r="H1604" s="49"/>
      <c r="I1604" s="49"/>
      <c r="J1604" s="49"/>
      <c r="K1604" s="49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</row>
    <row r="1605" ht="14.25" customHeight="1">
      <c r="A1605" s="49"/>
      <c r="B1605" s="191">
        <v>3341.0</v>
      </c>
      <c r="E1605" s="198">
        <v>0.0</v>
      </c>
      <c r="F1605" s="150">
        <f>SUM(F1604)</f>
        <v>18200</v>
      </c>
      <c r="G1605" s="14" t="str">
        <f t="shared" si="47"/>
        <v/>
      </c>
      <c r="H1605" s="49"/>
      <c r="I1605" s="49"/>
      <c r="J1605" s="49"/>
      <c r="K1605" s="49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</row>
    <row r="1606" ht="14.25" customHeight="1">
      <c r="A1606" s="49"/>
      <c r="B1606" s="160"/>
      <c r="C1606" s="194"/>
      <c r="D1606" s="160"/>
      <c r="E1606" s="195"/>
      <c r="F1606" s="195"/>
      <c r="G1606" s="14" t="str">
        <f t="shared" si="47"/>
        <v/>
      </c>
      <c r="H1606" s="49"/>
      <c r="I1606" s="49"/>
      <c r="J1606" s="49"/>
      <c r="K1606" s="49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</row>
    <row r="1607" ht="14.25" customHeight="1">
      <c r="A1607" s="143"/>
      <c r="B1607" s="144">
        <v>3370.0</v>
      </c>
      <c r="C1607" s="145"/>
      <c r="D1607" s="132" t="s">
        <v>83</v>
      </c>
      <c r="E1607" s="146">
        <v>2025.0</v>
      </c>
      <c r="F1607" s="147">
        <v>2026.0</v>
      </c>
      <c r="G1607" s="14">
        <f t="shared" si="47"/>
        <v>0.0004938271605</v>
      </c>
      <c r="H1607" s="49"/>
      <c r="I1607" s="49"/>
      <c r="J1607" s="49"/>
      <c r="K1607" s="49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</row>
    <row r="1608" ht="14.25" customHeight="1">
      <c r="A1608" s="49"/>
      <c r="B1608" s="49"/>
      <c r="C1608" s="158" t="s">
        <v>403</v>
      </c>
      <c r="D1608" s="49" t="s">
        <v>387</v>
      </c>
      <c r="E1608" s="13">
        <v>40000.0</v>
      </c>
      <c r="F1608" s="13">
        <f>IFERROR(__xludf.DUMMYFUNCTION("IMPORTRANGE(""https://docs.google.com/spreadsheets/d/1GtVEW9YZse0IzniQ0R5fmny0v0Q2UBTfAmCwTvKHgjI"",""2026!p3370_625"")"),18200.0)</f>
        <v>18200</v>
      </c>
      <c r="G1608" s="14">
        <f t="shared" si="47"/>
        <v>-0.545</v>
      </c>
      <c r="H1608" s="49"/>
      <c r="I1608" s="49"/>
      <c r="J1608" s="49"/>
      <c r="K1608" s="49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</row>
    <row r="1609" ht="14.25" customHeight="1">
      <c r="A1609" s="49"/>
      <c r="B1609" s="49"/>
      <c r="C1609" s="158" t="s">
        <v>395</v>
      </c>
      <c r="D1609" s="49" t="s">
        <v>373</v>
      </c>
      <c r="E1609" s="156">
        <v>5956984.949999999</v>
      </c>
      <c r="F1609" s="156">
        <f>IFERROR(__xludf.DUMMYFUNCTION("IMPORTRANGE(""https://docs.google.com/spreadsheets/d/1GtVEW9YZse0IzniQ0R5fmny0v0Q2UBTfAmCwTvKHgjI"",""2026!p3370_632"")"),1627000.0)</f>
        <v>1627000</v>
      </c>
      <c r="G1609" s="14">
        <f t="shared" si="47"/>
        <v>-0.7268752542</v>
      </c>
      <c r="H1609" s="49"/>
      <c r="I1609" s="49"/>
      <c r="J1609" s="49"/>
      <c r="K1609" s="49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</row>
    <row r="1610" ht="14.25" customHeight="1">
      <c r="A1610" s="49"/>
      <c r="B1610" s="160">
        <v>3370.0</v>
      </c>
      <c r="E1610" s="150">
        <v>6026984.949999999</v>
      </c>
      <c r="F1610" s="150">
        <f>SUM(F1608:F1609)</f>
        <v>1645200</v>
      </c>
      <c r="G1610" s="14">
        <f t="shared" si="47"/>
        <v>-0.7270276907</v>
      </c>
      <c r="H1610" s="49"/>
      <c r="I1610" s="49"/>
      <c r="J1610" s="49"/>
      <c r="K1610" s="49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</row>
    <row r="1611" ht="14.25" customHeight="1">
      <c r="A1611" s="3"/>
      <c r="B1611" s="3"/>
      <c r="C1611" s="177"/>
      <c r="D1611" s="170"/>
      <c r="E1611" s="178"/>
      <c r="F1611" s="178"/>
      <c r="G1611" s="179" t="str">
        <f t="shared" si="47"/>
        <v/>
      </c>
      <c r="H1611" s="3"/>
      <c r="I1611" s="3"/>
      <c r="J1611" s="3"/>
      <c r="K1611" s="3"/>
      <c r="L1611" s="168"/>
      <c r="M1611" s="168"/>
      <c r="N1611" s="168"/>
      <c r="O1611" s="168"/>
      <c r="P1611" s="168"/>
      <c r="Q1611" s="168"/>
      <c r="R1611" s="168"/>
      <c r="S1611" s="168"/>
      <c r="T1611" s="168"/>
      <c r="U1611" s="168"/>
      <c r="V1611" s="168"/>
      <c r="W1611" s="168"/>
      <c r="X1611" s="168"/>
      <c r="Y1611" s="168"/>
      <c r="Z1611" s="168"/>
    </row>
    <row r="1612" ht="14.25" customHeight="1">
      <c r="A1612" s="143"/>
      <c r="B1612" s="144">
        <v>3373.0</v>
      </c>
      <c r="C1612" s="145"/>
      <c r="D1612" s="132" t="s">
        <v>84</v>
      </c>
      <c r="E1612" s="146">
        <v>2025.0</v>
      </c>
      <c r="F1612" s="147">
        <v>2026.0</v>
      </c>
      <c r="G1612" s="14">
        <f t="shared" si="47"/>
        <v>0.0004938271605</v>
      </c>
      <c r="H1612" s="49"/>
      <c r="I1612" s="49"/>
      <c r="J1612" s="49"/>
      <c r="K1612" s="49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</row>
    <row r="1613" ht="14.25" customHeight="1">
      <c r="A1613" s="49"/>
      <c r="B1613" s="49"/>
      <c r="C1613" s="158" t="s">
        <v>395</v>
      </c>
      <c r="D1613" s="49" t="s">
        <v>373</v>
      </c>
      <c r="E1613" s="149">
        <v>1300000.0</v>
      </c>
      <c r="F1613" s="149">
        <f>IFERROR(__xludf.DUMMYFUNCTION("IMPORTRANGE(""https://docs.google.com/spreadsheets/d/1GtVEW9YZse0IzniQ0R5fmny0v0Q2UBTfAmCwTvKHgjI"",""2026!p3373_632"")"),915000.0)</f>
        <v>915000</v>
      </c>
      <c r="G1613" s="14">
        <f t="shared" si="47"/>
        <v>-0.2961538462</v>
      </c>
      <c r="H1613" s="49"/>
      <c r="I1613" s="49"/>
      <c r="J1613" s="49"/>
      <c r="K1613" s="49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</row>
    <row r="1614" ht="14.25" customHeight="1">
      <c r="A1614" s="49"/>
      <c r="B1614" s="160">
        <v>3373.0</v>
      </c>
      <c r="E1614" s="150">
        <v>1300000.0</v>
      </c>
      <c r="F1614" s="150">
        <f>SUM(F1613)</f>
        <v>915000</v>
      </c>
      <c r="G1614" s="14">
        <f t="shared" si="47"/>
        <v>-0.2961538462</v>
      </c>
      <c r="H1614" s="49"/>
      <c r="I1614" s="49"/>
      <c r="J1614" s="49"/>
      <c r="K1614" s="49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</row>
    <row r="1615" ht="14.25" customHeight="1">
      <c r="A1615" s="49"/>
      <c r="B1615" s="160"/>
      <c r="C1615" s="194"/>
      <c r="D1615" s="160"/>
      <c r="E1615" s="195"/>
      <c r="F1615" s="195"/>
      <c r="G1615" s="14" t="str">
        <f t="shared" si="47"/>
        <v/>
      </c>
      <c r="H1615" s="49"/>
      <c r="I1615" s="49"/>
      <c r="J1615" s="49"/>
      <c r="K1615" s="49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</row>
    <row r="1616" ht="14.25" customHeight="1">
      <c r="A1616" s="143"/>
      <c r="B1616" s="196">
        <v>3374.0</v>
      </c>
      <c r="C1616" s="145"/>
      <c r="D1616" s="197" t="s">
        <v>404</v>
      </c>
      <c r="E1616" s="146">
        <v>2025.0</v>
      </c>
      <c r="F1616" s="147">
        <v>2026.0</v>
      </c>
      <c r="G1616" s="14">
        <f t="shared" si="47"/>
        <v>0.0004938271605</v>
      </c>
      <c r="H1616" s="49"/>
      <c r="I1616" s="49"/>
      <c r="J1616" s="49"/>
      <c r="K1616" s="49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</row>
    <row r="1617" ht="14.25" customHeight="1">
      <c r="A1617" s="49"/>
      <c r="B1617" s="49"/>
      <c r="C1617" s="158" t="s">
        <v>395</v>
      </c>
      <c r="D1617" s="49" t="s">
        <v>373</v>
      </c>
      <c r="E1617" s="200">
        <v>0.0</v>
      </c>
      <c r="F1617" s="149">
        <f>IFERROR(__xludf.DUMMYFUNCTION("IMPORTRANGE(""https://docs.google.com/spreadsheets/d/1GtVEW9YZse0IzniQ0R5fmny0v0Q2UBTfAmCwTvKHgjI"",""2026!p3374_629"")"),18200.0)</f>
        <v>18200</v>
      </c>
      <c r="G1617" s="14" t="str">
        <f t="shared" si="47"/>
        <v/>
      </c>
      <c r="H1617" s="49"/>
      <c r="I1617" s="49"/>
      <c r="J1617" s="49"/>
      <c r="K1617" s="49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</row>
    <row r="1618" ht="14.25" customHeight="1">
      <c r="A1618" s="49"/>
      <c r="B1618" s="191">
        <v>3374.0</v>
      </c>
      <c r="E1618" s="198">
        <v>0.0</v>
      </c>
      <c r="F1618" s="150">
        <f>SUM(F1617)</f>
        <v>18200</v>
      </c>
      <c r="G1618" s="14" t="str">
        <f t="shared" si="47"/>
        <v/>
      </c>
      <c r="H1618" s="49"/>
      <c r="I1618" s="49"/>
      <c r="J1618" s="49"/>
      <c r="K1618" s="49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</row>
    <row r="1619" ht="14.25" customHeight="1">
      <c r="A1619" s="49"/>
      <c r="B1619" s="160"/>
      <c r="C1619" s="194"/>
      <c r="D1619" s="160"/>
      <c r="E1619" s="195"/>
      <c r="F1619" s="195"/>
      <c r="G1619" s="14" t="str">
        <f t="shared" si="47"/>
        <v/>
      </c>
      <c r="H1619" s="49"/>
      <c r="I1619" s="49"/>
      <c r="J1619" s="49"/>
      <c r="K1619" s="49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</row>
    <row r="1620" ht="14.25" customHeight="1">
      <c r="A1620" s="143"/>
      <c r="B1620" s="196">
        <v>3375.0</v>
      </c>
      <c r="C1620" s="145"/>
      <c r="D1620" s="197" t="s">
        <v>405</v>
      </c>
      <c r="E1620" s="146">
        <v>2025.0</v>
      </c>
      <c r="F1620" s="147">
        <v>2026.0</v>
      </c>
      <c r="G1620" s="14">
        <f t="shared" si="47"/>
        <v>0.0004938271605</v>
      </c>
      <c r="H1620" s="49"/>
      <c r="I1620" s="49"/>
      <c r="J1620" s="49"/>
      <c r="K1620" s="49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</row>
    <row r="1621" ht="14.25" customHeight="1">
      <c r="A1621" s="49"/>
      <c r="B1621" s="49"/>
      <c r="C1621" s="188" t="s">
        <v>388</v>
      </c>
      <c r="D1621" s="49" t="s">
        <v>401</v>
      </c>
      <c r="E1621" s="200">
        <v>0.0</v>
      </c>
      <c r="F1621" s="149">
        <f>IFERROR(__xludf.DUMMYFUNCTION("IMPORTRANGE(""https://docs.google.com/spreadsheets/d/1GtVEW9YZse0IzniQ0R5fmny0v0Q2UBTfAmCwTvKHgjI"",""2026!p3375_629"")"),50000.0)</f>
        <v>50000</v>
      </c>
      <c r="G1621" s="14" t="str">
        <f t="shared" si="47"/>
        <v/>
      </c>
      <c r="H1621" s="49"/>
      <c r="I1621" s="49"/>
      <c r="J1621" s="49"/>
      <c r="K1621" s="49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</row>
    <row r="1622" ht="14.25" customHeight="1">
      <c r="A1622" s="49"/>
      <c r="B1622" s="191">
        <v>3375.0</v>
      </c>
      <c r="E1622" s="198">
        <v>0.0</v>
      </c>
      <c r="F1622" s="150">
        <f>SUM(F1621)</f>
        <v>50000</v>
      </c>
      <c r="G1622" s="14" t="str">
        <f t="shared" si="47"/>
        <v/>
      </c>
      <c r="H1622" s="49"/>
      <c r="I1622" s="49"/>
      <c r="J1622" s="49"/>
      <c r="K1622" s="49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</row>
    <row r="1623" ht="14.25" customHeight="1">
      <c r="A1623" s="49"/>
      <c r="B1623" s="160"/>
      <c r="C1623" s="194"/>
      <c r="D1623" s="160"/>
      <c r="E1623" s="195"/>
      <c r="F1623" s="195"/>
      <c r="G1623" s="14" t="str">
        <f t="shared" si="47"/>
        <v/>
      </c>
      <c r="H1623" s="49"/>
      <c r="I1623" s="49"/>
      <c r="J1623" s="49"/>
      <c r="K1623" s="49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</row>
    <row r="1624" ht="14.25" customHeight="1">
      <c r="A1624" s="143"/>
      <c r="B1624" s="144">
        <v>3380.0</v>
      </c>
      <c r="C1624" s="145"/>
      <c r="D1624" s="132" t="s">
        <v>85</v>
      </c>
      <c r="E1624" s="146">
        <v>2025.0</v>
      </c>
      <c r="F1624" s="147">
        <v>2026.0</v>
      </c>
      <c r="G1624" s="14">
        <f t="shared" si="47"/>
        <v>0.0004938271605</v>
      </c>
      <c r="H1624" s="49"/>
      <c r="I1624" s="49"/>
      <c r="J1624" s="49"/>
      <c r="K1624" s="49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</row>
    <row r="1625" ht="14.25" customHeight="1">
      <c r="A1625" s="49"/>
      <c r="B1625" s="49"/>
      <c r="C1625" s="158" t="s">
        <v>390</v>
      </c>
      <c r="D1625" s="49" t="s">
        <v>391</v>
      </c>
      <c r="E1625" s="149">
        <v>71000.0</v>
      </c>
      <c r="F1625" s="149">
        <f>IFERROR(__xludf.DUMMYFUNCTION("IMPORTRANGE(""https://docs.google.com/spreadsheets/d/1GtVEW9YZse0IzniQ0R5fmny0v0Q2UBTfAmCwTvKHgjI"",""2026!p3380_623"")"),140000.0)</f>
        <v>140000</v>
      </c>
      <c r="G1625" s="14">
        <f t="shared" si="47"/>
        <v>0.9718309859</v>
      </c>
      <c r="H1625" s="49"/>
      <c r="I1625" s="49"/>
      <c r="J1625" s="49"/>
      <c r="K1625" s="49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</row>
    <row r="1626" ht="14.25" customHeight="1">
      <c r="A1626" s="49"/>
      <c r="B1626" s="160">
        <v>3380.0</v>
      </c>
      <c r="E1626" s="150">
        <v>71000.0</v>
      </c>
      <c r="F1626" s="150">
        <f>SUM(F1625)</f>
        <v>140000</v>
      </c>
      <c r="G1626" s="14">
        <f t="shared" si="47"/>
        <v>0.9718309859</v>
      </c>
      <c r="H1626" s="49"/>
      <c r="I1626" s="49"/>
      <c r="J1626" s="49"/>
      <c r="K1626" s="49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</row>
    <row r="1627" ht="14.25" customHeight="1">
      <c r="A1627" s="49"/>
      <c r="B1627" s="160"/>
      <c r="C1627" s="194"/>
      <c r="D1627" s="160"/>
      <c r="E1627" s="195"/>
      <c r="F1627" s="195"/>
      <c r="G1627" s="14" t="str">
        <f t="shared" si="47"/>
        <v/>
      </c>
      <c r="H1627" s="49"/>
      <c r="I1627" s="49"/>
      <c r="J1627" s="49"/>
      <c r="K1627" s="49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</row>
    <row r="1628" ht="14.25" customHeight="1">
      <c r="A1628" s="201"/>
      <c r="B1628" s="202">
        <v>3410.0</v>
      </c>
      <c r="C1628" s="203"/>
      <c r="D1628" s="204" t="s">
        <v>86</v>
      </c>
      <c r="E1628" s="205">
        <v>2025.0</v>
      </c>
      <c r="F1628" s="205">
        <v>2026.0</v>
      </c>
      <c r="G1628" s="167">
        <f t="shared" si="47"/>
        <v>0.0004938271605</v>
      </c>
      <c r="H1628" s="3"/>
      <c r="I1628" s="3"/>
      <c r="J1628" s="3"/>
      <c r="K1628" s="3"/>
      <c r="L1628" s="168"/>
      <c r="M1628" s="168"/>
      <c r="N1628" s="168"/>
      <c r="O1628" s="168"/>
      <c r="P1628" s="168"/>
      <c r="Q1628" s="168"/>
      <c r="R1628" s="168"/>
      <c r="S1628" s="168"/>
      <c r="T1628" s="168"/>
      <c r="U1628" s="168"/>
      <c r="V1628" s="168"/>
      <c r="W1628" s="168"/>
      <c r="X1628" s="168"/>
      <c r="Y1628" s="168"/>
      <c r="Z1628" s="168"/>
    </row>
    <row r="1629" ht="14.25" customHeight="1">
      <c r="A1629" s="3"/>
      <c r="B1629" s="3"/>
      <c r="C1629" s="206" t="s">
        <v>399</v>
      </c>
      <c r="D1629" s="207" t="s">
        <v>400</v>
      </c>
      <c r="E1629" s="208">
        <v>559000.0</v>
      </c>
      <c r="F1629" s="208">
        <f>IFERROR(__xludf.DUMMYFUNCTION("IMPORTRANGE(""https://docs.google.com/spreadsheets/d/1GtVEW9YZse0IzniQ0R5fmny0v0Q2UBTfAmCwTvKHgjI"",""2026!p3410_641"")"),45000.0)</f>
        <v>45000</v>
      </c>
      <c r="G1629" s="179">
        <f t="shared" si="47"/>
        <v>-0.9194991055</v>
      </c>
      <c r="H1629" s="3"/>
      <c r="I1629" s="3"/>
      <c r="J1629" s="3"/>
      <c r="K1629" s="3"/>
      <c r="L1629" s="168"/>
      <c r="M1629" s="168"/>
      <c r="N1629" s="168"/>
      <c r="O1629" s="168"/>
      <c r="P1629" s="168"/>
      <c r="Q1629" s="168"/>
      <c r="R1629" s="168"/>
      <c r="S1629" s="168"/>
      <c r="T1629" s="168"/>
      <c r="U1629" s="168"/>
      <c r="V1629" s="168"/>
      <c r="W1629" s="168"/>
      <c r="X1629" s="168"/>
      <c r="Y1629" s="168"/>
      <c r="Z1629" s="168"/>
    </row>
    <row r="1630" ht="14.25" customHeight="1">
      <c r="A1630" s="3"/>
      <c r="B1630" s="209">
        <v>3410.0</v>
      </c>
      <c r="E1630" s="176">
        <v>559000.0</v>
      </c>
      <c r="F1630" s="176">
        <f>SUM(F1629)</f>
        <v>45000</v>
      </c>
      <c r="G1630" s="179">
        <f t="shared" si="47"/>
        <v>-0.9194991055</v>
      </c>
      <c r="H1630" s="3"/>
      <c r="I1630" s="3"/>
      <c r="J1630" s="3"/>
      <c r="K1630" s="3"/>
      <c r="L1630" s="168"/>
      <c r="M1630" s="168"/>
      <c r="N1630" s="168"/>
      <c r="O1630" s="168"/>
      <c r="P1630" s="168"/>
      <c r="Q1630" s="168"/>
      <c r="R1630" s="168"/>
      <c r="S1630" s="168"/>
      <c r="T1630" s="168"/>
      <c r="U1630" s="168"/>
      <c r="V1630" s="168"/>
      <c r="W1630" s="168"/>
      <c r="X1630" s="168"/>
      <c r="Y1630" s="168"/>
      <c r="Z1630" s="168"/>
    </row>
    <row r="1631" ht="14.25" customHeight="1">
      <c r="A1631" s="3"/>
      <c r="B1631" s="3"/>
      <c r="C1631" s="177"/>
      <c r="D1631" s="170"/>
      <c r="E1631" s="178"/>
      <c r="F1631" s="178"/>
      <c r="G1631" s="179" t="str">
        <f t="shared" si="47"/>
        <v/>
      </c>
      <c r="H1631" s="3"/>
      <c r="I1631" s="3"/>
      <c r="J1631" s="3"/>
      <c r="K1631" s="3"/>
      <c r="L1631" s="168"/>
      <c r="M1631" s="168"/>
      <c r="N1631" s="168"/>
      <c r="O1631" s="168"/>
      <c r="P1631" s="168"/>
      <c r="Q1631" s="168"/>
      <c r="R1631" s="168"/>
      <c r="S1631" s="168"/>
      <c r="T1631" s="168"/>
      <c r="U1631" s="168"/>
      <c r="V1631" s="168"/>
      <c r="W1631" s="168"/>
      <c r="X1631" s="168"/>
      <c r="Y1631" s="168"/>
      <c r="Z1631" s="168"/>
    </row>
    <row r="1632" ht="14.25" customHeight="1">
      <c r="A1632" s="143"/>
      <c r="B1632" s="144">
        <v>3420.0</v>
      </c>
      <c r="C1632" s="145"/>
      <c r="D1632" s="132" t="s">
        <v>87</v>
      </c>
      <c r="E1632" s="192">
        <v>2025.0</v>
      </c>
      <c r="F1632" s="193">
        <v>2026.0</v>
      </c>
      <c r="G1632" s="14">
        <f t="shared" si="47"/>
        <v>0.0004938271605</v>
      </c>
      <c r="H1632" s="49"/>
      <c r="I1632" s="49"/>
      <c r="J1632" s="49"/>
      <c r="K1632" s="49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</row>
    <row r="1633" ht="14.25" customHeight="1">
      <c r="A1633" s="49"/>
      <c r="B1633" s="49"/>
      <c r="C1633" s="188" t="s">
        <v>374</v>
      </c>
      <c r="D1633" s="49" t="s">
        <v>375</v>
      </c>
      <c r="E1633" s="92"/>
      <c r="F1633" s="92">
        <f>IFERROR(__xludf.DUMMYFUNCTION("IMPORTRANGE(""https://docs.google.com/spreadsheets/d/1GtVEW9YZse0IzniQ0R5fmny0v0Q2UBTfAmCwTvKHgjI"",""2026!p3420_624"")"),45000.0)</f>
        <v>45000</v>
      </c>
      <c r="G1633" s="14"/>
      <c r="H1633" s="49"/>
      <c r="I1633" s="49"/>
      <c r="J1633" s="49"/>
      <c r="K1633" s="49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</row>
    <row r="1634" ht="14.25" customHeight="1">
      <c r="A1634" s="49"/>
      <c r="B1634" s="49"/>
      <c r="C1634" s="158" t="s">
        <v>395</v>
      </c>
      <c r="D1634" s="49" t="s">
        <v>373</v>
      </c>
      <c r="E1634" s="92">
        <v>559000.0</v>
      </c>
      <c r="F1634" s="92">
        <f>IFERROR(__xludf.DUMMYFUNCTION("IMPORTRANGE(""https://docs.google.com/spreadsheets/d/1GtVEW9YZse0IzniQ0R5fmny0v0Q2UBTfAmCwTvKHgjI"",""2026!p3420_632"")"),720000.0)</f>
        <v>720000</v>
      </c>
      <c r="G1634" s="14">
        <f t="shared" ref="G1634:G1639" si="48">IFERROR(((F1634-E1634)/E1634), "")</f>
        <v>0.2880143113</v>
      </c>
      <c r="H1634" s="49"/>
      <c r="I1634" s="49"/>
      <c r="J1634" s="49"/>
      <c r="K1634" s="49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</row>
    <row r="1635" ht="14.25" customHeight="1">
      <c r="A1635" s="49"/>
      <c r="B1635" s="160">
        <v>3420.0</v>
      </c>
      <c r="E1635" s="150">
        <v>559000.0</v>
      </c>
      <c r="F1635" s="150">
        <f>SUM(F1633:F1634)</f>
        <v>765000</v>
      </c>
      <c r="G1635" s="14">
        <f t="shared" si="48"/>
        <v>0.3685152057</v>
      </c>
      <c r="H1635" s="49"/>
      <c r="I1635" s="49"/>
      <c r="J1635" s="49"/>
      <c r="K1635" s="49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</row>
    <row r="1636" ht="14.25" customHeight="1">
      <c r="A1636" s="49"/>
      <c r="B1636" s="160"/>
      <c r="C1636" s="194"/>
      <c r="D1636" s="160"/>
      <c r="E1636" s="195"/>
      <c r="F1636" s="195"/>
      <c r="G1636" s="14" t="str">
        <f t="shared" si="48"/>
        <v/>
      </c>
      <c r="H1636" s="49"/>
      <c r="I1636" s="49"/>
      <c r="J1636" s="49"/>
      <c r="K1636" s="49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</row>
    <row r="1637" ht="14.25" customHeight="1">
      <c r="A1637" s="143"/>
      <c r="B1637" s="144">
        <v>4320.0</v>
      </c>
      <c r="C1637" s="145"/>
      <c r="D1637" s="132" t="s">
        <v>88</v>
      </c>
      <c r="E1637" s="146">
        <v>2025.0</v>
      </c>
      <c r="F1637" s="147">
        <v>2026.0</v>
      </c>
      <c r="G1637" s="14">
        <f t="shared" si="48"/>
        <v>0.0004938271605</v>
      </c>
      <c r="H1637" s="49"/>
      <c r="I1637" s="49"/>
      <c r="J1637" s="49"/>
      <c r="K1637" s="49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</row>
    <row r="1638" ht="14.25" customHeight="1">
      <c r="A1638" s="49"/>
      <c r="B1638" s="49"/>
      <c r="C1638" s="158" t="s">
        <v>376</v>
      </c>
      <c r="D1638" s="8" t="s">
        <v>377</v>
      </c>
      <c r="E1638" s="92">
        <v>1123904.27</v>
      </c>
      <c r="F1638" s="92">
        <f>IFERROR(__xludf.DUMMYFUNCTION("IMPORTRANGE(""https://docs.google.com/spreadsheets/d/1GtVEW9YZse0IzniQ0R5fmny0v0Q2UBTfAmCwTvKHgjI"",""2026!p4320_619"")"),200000.0)</f>
        <v>200000</v>
      </c>
      <c r="G1638" s="14">
        <f t="shared" si="48"/>
        <v>-0.822048901</v>
      </c>
      <c r="H1638" s="49"/>
      <c r="I1638" s="49"/>
      <c r="J1638" s="49"/>
      <c r="K1638" s="49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</row>
    <row r="1639" ht="14.25" customHeight="1">
      <c r="A1639" s="49"/>
      <c r="B1639" s="49"/>
      <c r="C1639" s="158" t="s">
        <v>372</v>
      </c>
      <c r="D1639" s="8" t="s">
        <v>373</v>
      </c>
      <c r="E1639" s="92">
        <v>3535930.79</v>
      </c>
      <c r="F1639" s="92">
        <f>IFERROR(__xludf.DUMMYFUNCTION("IMPORTRANGE(""https://docs.google.com/spreadsheets/d/1GtVEW9YZse0IzniQ0R5fmny0v0Q2UBTfAmCwTvKHgjI"",""2026!p4320_622"")"),370000.0)</f>
        <v>370000</v>
      </c>
      <c r="G1639" s="14">
        <f t="shared" si="48"/>
        <v>-0.8953599428</v>
      </c>
      <c r="H1639" s="49"/>
      <c r="I1639" s="49"/>
      <c r="J1639" s="49"/>
      <c r="K1639" s="49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</row>
    <row r="1640" ht="14.25" customHeight="1">
      <c r="A1640" s="49"/>
      <c r="B1640" s="49"/>
      <c r="C1640" s="188" t="s">
        <v>403</v>
      </c>
      <c r="D1640" s="210" t="s">
        <v>387</v>
      </c>
      <c r="E1640" s="96">
        <v>0.0</v>
      </c>
      <c r="F1640" s="92">
        <f>IFERROR(__xludf.DUMMYFUNCTION("IMPORTRANGE(""https://docs.google.com/spreadsheets/d/1GtVEW9YZse0IzniQ0R5fmny0v0Q2UBTfAmCwTvKHgjI"",""2026!p4320_625"")"),150000.0)</f>
        <v>150000</v>
      </c>
      <c r="G1640" s="14"/>
      <c r="H1640" s="49"/>
      <c r="I1640" s="49"/>
      <c r="J1640" s="49"/>
      <c r="K1640" s="49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</row>
    <row r="1641" ht="14.25" customHeight="1">
      <c r="A1641" s="49"/>
      <c r="B1641" s="49"/>
      <c r="C1641" s="158" t="s">
        <v>395</v>
      </c>
      <c r="D1641" s="49" t="s">
        <v>373</v>
      </c>
      <c r="E1641" s="96">
        <v>0.0</v>
      </c>
      <c r="F1641" s="92">
        <f>IFERROR(__xludf.DUMMYFUNCTION("IMPORTRANGE(""https://docs.google.com/spreadsheets/d/1GtVEW9YZse0IzniQ0R5fmny0v0Q2UBTfAmCwTvKHgjI"",""2026!p4320_632"")"),260000.0)</f>
        <v>260000</v>
      </c>
      <c r="G1641" s="14" t="str">
        <f t="shared" ref="G1641:G1642" si="49">IFERROR(((F1641-E1641)/E1641), "")</f>
        <v/>
      </c>
      <c r="H1641" s="49"/>
      <c r="I1641" s="49"/>
      <c r="J1641" s="49"/>
      <c r="K1641" s="49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</row>
    <row r="1642" ht="14.25" customHeight="1">
      <c r="A1642" s="49"/>
      <c r="B1642" s="49"/>
      <c r="C1642" s="188" t="s">
        <v>406</v>
      </c>
      <c r="D1642" s="210" t="s">
        <v>391</v>
      </c>
      <c r="E1642" s="92">
        <v>422420.5</v>
      </c>
      <c r="F1642" s="92">
        <f>IFERROR(__xludf.DUMMYFUNCTION("IMPORTRANGE(""https://docs.google.com/spreadsheets/d/1GtVEW9YZse0IzniQ0R5fmny0v0Q2UBTfAmCwTvKHgjI"",""2026!p4320_633"")"),31000.0)</f>
        <v>31000</v>
      </c>
      <c r="G1642" s="14">
        <f t="shared" si="49"/>
        <v>-0.9266134101</v>
      </c>
      <c r="H1642" s="49"/>
      <c r="I1642" s="49"/>
      <c r="J1642" s="49"/>
      <c r="K1642" s="49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</row>
    <row r="1643" ht="14.25" customHeight="1">
      <c r="A1643" s="49"/>
      <c r="B1643" s="49"/>
      <c r="C1643" s="188" t="s">
        <v>407</v>
      </c>
      <c r="D1643" s="210" t="s">
        <v>373</v>
      </c>
      <c r="E1643" s="96">
        <v>0.0</v>
      </c>
      <c r="F1643" s="92">
        <f>IFERROR(__xludf.DUMMYFUNCTION("IMPORTRANGE(""https://docs.google.com/spreadsheets/d/1GtVEW9YZse0IzniQ0R5fmny0v0Q2UBTfAmCwTvKHgjI"",""2026!p4320_682"")"),100000.0)</f>
        <v>100000</v>
      </c>
      <c r="G1643" s="14"/>
      <c r="H1643" s="49"/>
      <c r="I1643" s="49"/>
      <c r="J1643" s="49"/>
      <c r="K1643" s="49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</row>
    <row r="1644" ht="14.25" customHeight="1">
      <c r="A1644" s="49"/>
      <c r="B1644" s="160">
        <v>4320.0</v>
      </c>
      <c r="E1644" s="150">
        <v>6254517.0600000005</v>
      </c>
      <c r="F1644" s="150">
        <f>SUM(F1638:F1643)</f>
        <v>1111000</v>
      </c>
      <c r="G1644" s="14">
        <f t="shared" ref="G1644:G1647" si="50">IFERROR(((F1644-E1644)/E1644), "")</f>
        <v>-0.8223683796</v>
      </c>
      <c r="H1644" s="49"/>
      <c r="I1644" s="49"/>
      <c r="J1644" s="49"/>
      <c r="K1644" s="49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</row>
    <row r="1645" ht="14.25" customHeight="1">
      <c r="A1645" s="49"/>
      <c r="B1645" s="160"/>
      <c r="C1645" s="194"/>
      <c r="D1645" s="160"/>
      <c r="E1645" s="195"/>
      <c r="F1645" s="195"/>
      <c r="G1645" s="14" t="str">
        <f t="shared" si="50"/>
        <v/>
      </c>
      <c r="H1645" s="49"/>
      <c r="I1645" s="49"/>
      <c r="J1645" s="49"/>
      <c r="K1645" s="49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</row>
    <row r="1646" ht="14.25" customHeight="1">
      <c r="A1646" s="143"/>
      <c r="B1646" s="144">
        <v>4330.0</v>
      </c>
      <c r="C1646" s="145"/>
      <c r="D1646" s="132" t="s">
        <v>89</v>
      </c>
      <c r="E1646" s="146">
        <v>2025.0</v>
      </c>
      <c r="F1646" s="147">
        <v>2026.0</v>
      </c>
      <c r="G1646" s="14">
        <f t="shared" si="50"/>
        <v>0.0004938271605</v>
      </c>
      <c r="H1646" s="49"/>
      <c r="I1646" s="49"/>
      <c r="J1646" s="49"/>
      <c r="K1646" s="49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</row>
    <row r="1647" ht="14.25" customHeight="1">
      <c r="A1647" s="49"/>
      <c r="B1647" s="49"/>
      <c r="C1647" s="158" t="s">
        <v>397</v>
      </c>
      <c r="D1647" s="49" t="s">
        <v>398</v>
      </c>
      <c r="E1647" s="155">
        <v>315000.0</v>
      </c>
      <c r="F1647" s="155">
        <f>IFERROR(__xludf.DUMMYFUNCTION("IMPORTRANGE(""https://docs.google.com/spreadsheets/d/1GtVEW9YZse0IzniQ0R5fmny0v0Q2UBTfAmCwTvKHgjI"",""2026!p4330_609"")"),300000.0)</f>
        <v>300000</v>
      </c>
      <c r="G1647" s="14">
        <f t="shared" si="50"/>
        <v>-0.04761904762</v>
      </c>
      <c r="H1647" s="49"/>
      <c r="I1647" s="49"/>
      <c r="J1647" s="49"/>
      <c r="K1647" s="49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</row>
    <row r="1648" ht="14.25" customHeight="1">
      <c r="A1648" s="49"/>
      <c r="B1648" s="49"/>
      <c r="C1648" s="158" t="s">
        <v>372</v>
      </c>
      <c r="D1648" s="49" t="s">
        <v>373</v>
      </c>
      <c r="E1648" s="92"/>
      <c r="F1648" s="92">
        <f>IFERROR(__xludf.DUMMYFUNCTION("IMPORTRANGE(""https://docs.google.com/spreadsheets/d/1GtVEW9YZse0IzniQ0R5fmny0v0Q2UBTfAmCwTvKHgjI"",""2026!p4330_622"")"),40000.0)</f>
        <v>40000</v>
      </c>
      <c r="G1648" s="14"/>
      <c r="H1648" s="49"/>
      <c r="I1648" s="49"/>
      <c r="J1648" s="49"/>
      <c r="K1648" s="49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</row>
    <row r="1649" ht="14.25" customHeight="1">
      <c r="A1649" s="49"/>
      <c r="B1649" s="49"/>
      <c r="C1649" s="158" t="s">
        <v>403</v>
      </c>
      <c r="D1649" s="49" t="s">
        <v>387</v>
      </c>
      <c r="E1649" s="90">
        <v>15000.0</v>
      </c>
      <c r="F1649" s="90">
        <f>IFERROR(__xludf.DUMMYFUNCTION("IMPORTRANGE(""https://docs.google.com/spreadsheets/d/1GtVEW9YZse0IzniQ0R5fmny0v0Q2UBTfAmCwTvKHgjI"",""2026!p4330_625"")"),20000.0)</f>
        <v>20000</v>
      </c>
      <c r="G1649" s="14">
        <f t="shared" ref="G1649:G1668" si="51">IFERROR(((F1649-E1649)/E1649), "")</f>
        <v>0.3333333333</v>
      </c>
      <c r="H1649" s="49"/>
      <c r="I1649" s="49"/>
      <c r="J1649" s="49"/>
      <c r="K1649" s="49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</row>
    <row r="1650" ht="14.25" customHeight="1">
      <c r="A1650" s="49"/>
      <c r="B1650" s="160">
        <v>4330.0</v>
      </c>
      <c r="E1650" s="150">
        <v>330000.0</v>
      </c>
      <c r="F1650" s="150">
        <f>SUM(F1647:F1649)</f>
        <v>360000</v>
      </c>
      <c r="G1650" s="14">
        <f t="shared" si="51"/>
        <v>0.09090909091</v>
      </c>
      <c r="H1650" s="49"/>
      <c r="I1650" s="49"/>
      <c r="J1650" s="49"/>
      <c r="K1650" s="49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</row>
    <row r="1651" ht="14.25" customHeight="1">
      <c r="A1651" s="49"/>
      <c r="B1651" s="160"/>
      <c r="C1651" s="194"/>
      <c r="D1651" s="160"/>
      <c r="E1651" s="195"/>
      <c r="F1651" s="195"/>
      <c r="G1651" s="14" t="str">
        <f t="shared" si="51"/>
        <v/>
      </c>
      <c r="H1651" s="49"/>
      <c r="I1651" s="49"/>
      <c r="J1651" s="49"/>
      <c r="K1651" s="49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</row>
    <row r="1652" ht="14.25" customHeight="1">
      <c r="A1652" s="143"/>
      <c r="B1652" s="144">
        <v>4411.0</v>
      </c>
      <c r="C1652" s="145"/>
      <c r="D1652" s="132" t="s">
        <v>306</v>
      </c>
      <c r="E1652" s="146">
        <v>2025.0</v>
      </c>
      <c r="F1652" s="147">
        <v>2026.0</v>
      </c>
      <c r="G1652" s="14">
        <f t="shared" si="51"/>
        <v>0.0004938271605</v>
      </c>
      <c r="H1652" s="49"/>
      <c r="I1652" s="49"/>
      <c r="J1652" s="49"/>
      <c r="K1652" s="49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</row>
    <row r="1653" ht="14.25" customHeight="1">
      <c r="A1653" s="49"/>
      <c r="B1653" s="49"/>
      <c r="C1653" s="158" t="s">
        <v>378</v>
      </c>
      <c r="D1653" s="49" t="s">
        <v>379</v>
      </c>
      <c r="E1653" s="149">
        <v>40000.0</v>
      </c>
      <c r="F1653" s="149">
        <f>IFERROR(__xludf.DUMMYFUNCTION("IMPORTRANGE(""https://docs.google.com/spreadsheets/d/1GtVEW9YZse0IzniQ0R5fmny0v0Q2UBTfAmCwTvKHgjI"",""2026!p4411_639"")"),30000.0)</f>
        <v>30000</v>
      </c>
      <c r="G1653" s="14">
        <f t="shared" si="51"/>
        <v>-0.25</v>
      </c>
      <c r="H1653" s="49"/>
      <c r="I1653" s="49"/>
      <c r="J1653" s="49"/>
      <c r="K1653" s="49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</row>
    <row r="1654" ht="14.25" customHeight="1">
      <c r="A1654" s="49"/>
      <c r="B1654" s="160">
        <v>4411.0</v>
      </c>
      <c r="E1654" s="150">
        <v>40000.0</v>
      </c>
      <c r="F1654" s="150">
        <f>SUM(F1653)</f>
        <v>30000</v>
      </c>
      <c r="G1654" s="14">
        <f t="shared" si="51"/>
        <v>-0.25</v>
      </c>
      <c r="H1654" s="49"/>
      <c r="I1654" s="49"/>
      <c r="J1654" s="49"/>
      <c r="K1654" s="49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</row>
    <row r="1655" ht="14.25" customHeight="1">
      <c r="A1655" s="49"/>
      <c r="B1655" s="160"/>
      <c r="C1655" s="194"/>
      <c r="D1655" s="160"/>
      <c r="E1655" s="195"/>
      <c r="F1655" s="195"/>
      <c r="G1655" s="14" t="str">
        <f t="shared" si="51"/>
        <v/>
      </c>
      <c r="H1655" s="49"/>
      <c r="I1655" s="49"/>
      <c r="J1655" s="49"/>
      <c r="K1655" s="49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</row>
    <row r="1656" ht="14.25" customHeight="1">
      <c r="A1656" s="143"/>
      <c r="B1656" s="144">
        <v>4540.0</v>
      </c>
      <c r="C1656" s="145"/>
      <c r="D1656" s="132" t="s">
        <v>408</v>
      </c>
      <c r="E1656" s="146">
        <v>2025.0</v>
      </c>
      <c r="F1656" s="147">
        <v>2026.0</v>
      </c>
      <c r="G1656" s="14">
        <f t="shared" si="51"/>
        <v>0.0004938271605</v>
      </c>
      <c r="H1656" s="49"/>
      <c r="I1656" s="49"/>
      <c r="J1656" s="49"/>
      <c r="K1656" s="49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</row>
    <row r="1657" ht="14.25" customHeight="1">
      <c r="A1657" s="49"/>
      <c r="B1657" s="49"/>
      <c r="C1657" s="158" t="s">
        <v>397</v>
      </c>
      <c r="D1657" s="49" t="s">
        <v>398</v>
      </c>
      <c r="E1657" s="149">
        <v>100000.0</v>
      </c>
      <c r="F1657" s="149">
        <f>IFERROR(__xludf.DUMMYFUNCTION("IMPORTRANGE(""https://docs.google.com/spreadsheets/d/1GtVEW9YZse0IzniQ0R5fmny0v0Q2UBTfAmCwTvKHgjI"",""2026!p4540_609"")"),300000.0)</f>
        <v>300000</v>
      </c>
      <c r="G1657" s="14">
        <f t="shared" si="51"/>
        <v>2</v>
      </c>
      <c r="H1657" s="49"/>
      <c r="I1657" s="49"/>
      <c r="J1657" s="49"/>
      <c r="K1657" s="49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</row>
    <row r="1658" ht="14.25" customHeight="1">
      <c r="A1658" s="49"/>
      <c r="B1658" s="160">
        <v>4540.0</v>
      </c>
      <c r="E1658" s="150">
        <v>100000.0</v>
      </c>
      <c r="F1658" s="150">
        <f>SUM(F1657)</f>
        <v>300000</v>
      </c>
      <c r="G1658" s="14">
        <f t="shared" si="51"/>
        <v>2</v>
      </c>
      <c r="H1658" s="49"/>
      <c r="I1658" s="49"/>
      <c r="J1658" s="49"/>
      <c r="K1658" s="49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</row>
    <row r="1659" ht="14.25" customHeight="1">
      <c r="A1659" s="49"/>
      <c r="B1659" s="160"/>
      <c r="C1659" s="194"/>
      <c r="D1659" s="160"/>
      <c r="E1659" s="195"/>
      <c r="F1659" s="195"/>
      <c r="G1659" s="14" t="str">
        <f t="shared" si="51"/>
        <v/>
      </c>
      <c r="H1659" s="49"/>
      <c r="I1659" s="49"/>
      <c r="J1659" s="49"/>
      <c r="K1659" s="49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</row>
    <row r="1660" ht="14.25" customHeight="1">
      <c r="A1660" s="143"/>
      <c r="B1660" s="196">
        <v>4620.0</v>
      </c>
      <c r="C1660" s="145"/>
      <c r="D1660" s="197" t="s">
        <v>90</v>
      </c>
      <c r="E1660" s="146">
        <v>2025.0</v>
      </c>
      <c r="F1660" s="147">
        <v>2026.0</v>
      </c>
      <c r="G1660" s="14">
        <f t="shared" si="51"/>
        <v>0.0004938271605</v>
      </c>
      <c r="H1660" s="49"/>
      <c r="I1660" s="49"/>
      <c r="J1660" s="49"/>
      <c r="K1660" s="49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</row>
    <row r="1661" ht="14.25" customHeight="1">
      <c r="A1661" s="49"/>
      <c r="B1661" s="49"/>
      <c r="C1661" s="188" t="s">
        <v>399</v>
      </c>
      <c r="D1661" s="134" t="s">
        <v>409</v>
      </c>
      <c r="E1661" s="200">
        <v>0.0</v>
      </c>
      <c r="F1661" s="149">
        <f>IFERROR(__xludf.DUMMYFUNCTION("IMPORTRANGE(""https://docs.google.com/spreadsheets/d/1GtVEW9YZse0IzniQ0R5fmny0v0Q2UBTfAmCwTvKHgjI"",""2026!p4620_641"")"),20000.0)</f>
        <v>20000</v>
      </c>
      <c r="G1661" s="14" t="str">
        <f t="shared" si="51"/>
        <v/>
      </c>
      <c r="H1661" s="49"/>
      <c r="I1661" s="49"/>
      <c r="J1661" s="49"/>
      <c r="K1661" s="49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</row>
    <row r="1662" ht="14.25" customHeight="1">
      <c r="A1662" s="49"/>
      <c r="B1662" s="191">
        <v>4620.0</v>
      </c>
      <c r="E1662" s="198">
        <v>0.0</v>
      </c>
      <c r="F1662" s="150">
        <f>SUM(F1661)</f>
        <v>20000</v>
      </c>
      <c r="G1662" s="14" t="str">
        <f t="shared" si="51"/>
        <v/>
      </c>
      <c r="H1662" s="49"/>
      <c r="I1662" s="49"/>
      <c r="J1662" s="49"/>
      <c r="K1662" s="49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</row>
    <row r="1663" ht="14.25" customHeight="1">
      <c r="A1663" s="49"/>
      <c r="B1663" s="160"/>
      <c r="C1663" s="194"/>
      <c r="D1663" s="160"/>
      <c r="E1663" s="195"/>
      <c r="F1663" s="195"/>
      <c r="G1663" s="14" t="str">
        <f t="shared" si="51"/>
        <v/>
      </c>
      <c r="H1663" s="49"/>
      <c r="I1663" s="49"/>
      <c r="J1663" s="49"/>
      <c r="K1663" s="49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</row>
    <row r="1664" ht="14.25" customHeight="1">
      <c r="A1664" s="143"/>
      <c r="B1664" s="144">
        <v>9200.0</v>
      </c>
      <c r="C1664" s="145"/>
      <c r="D1664" s="132" t="s">
        <v>97</v>
      </c>
      <c r="E1664" s="146">
        <v>2025.0</v>
      </c>
      <c r="F1664" s="147">
        <v>2026.0</v>
      </c>
      <c r="G1664" s="14">
        <f t="shared" si="51"/>
        <v>0.0004938271605</v>
      </c>
      <c r="H1664" s="49"/>
      <c r="I1664" s="49"/>
      <c r="J1664" s="49"/>
      <c r="K1664" s="49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</row>
    <row r="1665" ht="14.25" customHeight="1">
      <c r="A1665" s="49"/>
      <c r="B1665" s="49"/>
      <c r="C1665" s="158" t="s">
        <v>390</v>
      </c>
      <c r="D1665" s="49" t="s">
        <v>391</v>
      </c>
      <c r="E1665" s="155">
        <v>40000.0</v>
      </c>
      <c r="F1665" s="155">
        <f>IFERROR(__xludf.DUMMYFUNCTION("IMPORTRANGE(""https://docs.google.com/spreadsheets/d/1GtVEW9YZse0IzniQ0R5fmny0v0Q2UBTfAmCwTvKHgjI"",""2026!p9200_623"")"),40000.0)</f>
        <v>40000</v>
      </c>
      <c r="G1665" s="14">
        <f t="shared" si="51"/>
        <v>0</v>
      </c>
      <c r="H1665" s="49"/>
      <c r="I1665" s="49"/>
      <c r="J1665" s="49"/>
      <c r="K1665" s="49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</row>
    <row r="1666" ht="14.25" customHeight="1">
      <c r="A1666" s="49"/>
      <c r="B1666" s="49"/>
      <c r="C1666" s="158" t="s">
        <v>403</v>
      </c>
      <c r="D1666" s="49" t="s">
        <v>387</v>
      </c>
      <c r="E1666" s="92">
        <v>50000.0</v>
      </c>
      <c r="F1666" s="92">
        <f>IFERROR(__xludf.DUMMYFUNCTION("IMPORTRANGE(""https://docs.google.com/spreadsheets/d/1GtVEW9YZse0IzniQ0R5fmny0v0Q2UBTfAmCwTvKHgjI"",""2026!p9200_625"")"),50000.0)</f>
        <v>50000</v>
      </c>
      <c r="G1666" s="14">
        <f t="shared" si="51"/>
        <v>0</v>
      </c>
      <c r="H1666" s="49"/>
      <c r="I1666" s="49"/>
      <c r="J1666" s="49"/>
      <c r="K1666" s="49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</row>
    <row r="1667" ht="14.25" customHeight="1">
      <c r="A1667" s="49"/>
      <c r="B1667" s="49"/>
      <c r="C1667" s="158" t="s">
        <v>410</v>
      </c>
      <c r="D1667" s="49" t="s">
        <v>411</v>
      </c>
      <c r="E1667" s="92">
        <v>50000.0</v>
      </c>
      <c r="F1667" s="92">
        <f>IFERROR(__xludf.DUMMYFUNCTION("IMPORTRANGE(""https://docs.google.com/spreadsheets/d/1GtVEW9YZse0IzniQ0R5fmny0v0Q2UBTfAmCwTvKHgjI"",""2026!p9200_626"")"),50000.0)</f>
        <v>50000</v>
      </c>
      <c r="G1667" s="14">
        <f t="shared" si="51"/>
        <v>0</v>
      </c>
      <c r="H1667" s="49"/>
      <c r="I1667" s="49"/>
      <c r="J1667" s="49"/>
      <c r="K1667" s="49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</row>
    <row r="1668" ht="14.25" customHeight="1">
      <c r="A1668" s="49"/>
      <c r="B1668" s="49"/>
      <c r="C1668" s="158" t="s">
        <v>388</v>
      </c>
      <c r="D1668" s="49" t="s">
        <v>412</v>
      </c>
      <c r="E1668" s="92">
        <v>100000.0</v>
      </c>
      <c r="F1668" s="92">
        <f>IFERROR(__xludf.DUMMYFUNCTION("IMPORTRANGE(""https://docs.google.com/spreadsheets/d/1GtVEW9YZse0IzniQ0R5fmny0v0Q2UBTfAmCwTvKHgjI"",""2026!p9200_629"")"),72600.0)</f>
        <v>72600</v>
      </c>
      <c r="G1668" s="14">
        <f t="shared" si="51"/>
        <v>-0.274</v>
      </c>
      <c r="H1668" s="49"/>
      <c r="I1668" s="49"/>
      <c r="J1668" s="49"/>
      <c r="K1668" s="49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</row>
    <row r="1669" ht="14.25" customHeight="1">
      <c r="A1669" s="49"/>
      <c r="B1669" s="49"/>
      <c r="C1669" s="158" t="s">
        <v>395</v>
      </c>
      <c r="D1669" s="49" t="s">
        <v>373</v>
      </c>
      <c r="E1669" s="92"/>
      <c r="F1669" s="92">
        <f>IFERROR(__xludf.DUMMYFUNCTION("IMPORTRANGE(""https://docs.google.com/spreadsheets/d/1GtVEW9YZse0IzniQ0R5fmny0v0Q2UBTfAmCwTvKHgjI"",""2026!p9200_632"")"),40000.0)</f>
        <v>40000</v>
      </c>
      <c r="G1669" s="14"/>
      <c r="H1669" s="49"/>
      <c r="I1669" s="49"/>
      <c r="J1669" s="49"/>
      <c r="K1669" s="49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</row>
    <row r="1670" ht="14.25" customHeight="1">
      <c r="A1670" s="49"/>
      <c r="B1670" s="49"/>
      <c r="C1670" s="158" t="s">
        <v>399</v>
      </c>
      <c r="D1670" s="49" t="s">
        <v>400</v>
      </c>
      <c r="E1670" s="90">
        <v>300000.0</v>
      </c>
      <c r="F1670" s="90">
        <f>IFERROR(__xludf.DUMMYFUNCTION("IMPORTRANGE(""https://docs.google.com/spreadsheets/d/1GtVEW9YZse0IzniQ0R5fmny0v0Q2UBTfAmCwTvKHgjI"",""2026!p9200_641"")"),450000.0)</f>
        <v>450000</v>
      </c>
      <c r="G1670" s="14">
        <f t="shared" ref="G1670:G1719" si="52">IFERROR(((F1670-E1670)/E1670), "")</f>
        <v>0.5</v>
      </c>
      <c r="H1670" s="49"/>
      <c r="I1670" s="49"/>
      <c r="J1670" s="49"/>
      <c r="K1670" s="49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</row>
    <row r="1671" ht="14.25" customHeight="1">
      <c r="A1671" s="49"/>
      <c r="B1671" s="160">
        <v>9200.0</v>
      </c>
      <c r="E1671" s="150">
        <v>540000.0</v>
      </c>
      <c r="F1671" s="150">
        <f>SUM(F1665:F1670)</f>
        <v>702600</v>
      </c>
      <c r="G1671" s="14">
        <f t="shared" si="52"/>
        <v>0.3011111111</v>
      </c>
      <c r="H1671" s="49"/>
      <c r="I1671" s="49"/>
      <c r="J1671" s="49"/>
      <c r="K1671" s="49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</row>
    <row r="1672" ht="14.25" customHeight="1">
      <c r="A1672" s="49"/>
      <c r="B1672" s="49"/>
      <c r="C1672" s="187"/>
      <c r="D1672" s="89"/>
      <c r="E1672" s="92"/>
      <c r="F1672" s="92"/>
      <c r="G1672" s="14" t="str">
        <f t="shared" si="52"/>
        <v/>
      </c>
      <c r="H1672" s="211"/>
      <c r="I1672" s="77"/>
      <c r="J1672" s="76"/>
      <c r="K1672" s="18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</row>
    <row r="1673" ht="14.25" customHeight="1">
      <c r="A1673" s="143"/>
      <c r="B1673" s="144">
        <v>9240.0</v>
      </c>
      <c r="C1673" s="145"/>
      <c r="D1673" s="132" t="s">
        <v>327</v>
      </c>
      <c r="E1673" s="192">
        <v>2025.0</v>
      </c>
      <c r="F1673" s="193">
        <v>2026.0</v>
      </c>
      <c r="G1673" s="14">
        <f t="shared" si="52"/>
        <v>0.0004938271605</v>
      </c>
      <c r="H1673" s="212"/>
      <c r="I1673" s="76"/>
      <c r="J1673" s="76"/>
      <c r="K1673" s="18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</row>
    <row r="1674" ht="14.25" customHeight="1">
      <c r="A1674" s="3"/>
      <c r="B1674" s="3"/>
      <c r="C1674" s="206" t="s">
        <v>382</v>
      </c>
      <c r="D1674" s="213" t="s">
        <v>383</v>
      </c>
      <c r="E1674" s="214">
        <v>0.0</v>
      </c>
      <c r="F1674" s="215">
        <f>IFERROR(__xludf.DUMMYFUNCTION("IMPORTRANGE(""https://docs.google.com/spreadsheets/d/1GtVEW9YZse0IzniQ0R5fmny0v0Q2UBTfAmCwTvKHgjI"",""2026!p9240_627"")"),200000.0)</f>
        <v>200000</v>
      </c>
      <c r="G1674" s="216" t="str">
        <f t="shared" si="52"/>
        <v/>
      </c>
      <c r="H1674" s="179"/>
      <c r="I1674" s="178"/>
      <c r="J1674" s="178"/>
      <c r="K1674" s="217"/>
      <c r="L1674" s="168"/>
      <c r="M1674" s="168"/>
      <c r="N1674" s="168"/>
      <c r="O1674" s="168"/>
      <c r="P1674" s="168"/>
      <c r="Q1674" s="168"/>
      <c r="R1674" s="168"/>
      <c r="S1674" s="168"/>
      <c r="T1674" s="168"/>
      <c r="U1674" s="168"/>
      <c r="V1674" s="168"/>
      <c r="W1674" s="168"/>
      <c r="X1674" s="168"/>
      <c r="Y1674" s="168"/>
      <c r="Z1674" s="168"/>
    </row>
    <row r="1675" ht="14.25" customHeight="1">
      <c r="A1675" s="49"/>
      <c r="B1675" s="49"/>
      <c r="C1675" s="158" t="s">
        <v>395</v>
      </c>
      <c r="D1675" s="218" t="s">
        <v>373</v>
      </c>
      <c r="E1675" s="92">
        <v>345000.0</v>
      </c>
      <c r="F1675" s="92">
        <f>IFERROR(__xludf.DUMMYFUNCTION("IMPORTRANGE(""https://docs.google.com/spreadsheets/d/1GtVEW9YZse0IzniQ0R5fmny0v0Q2UBTfAmCwTvKHgjI"",""2026!p9240_632"")"),255000.0)</f>
        <v>255000</v>
      </c>
      <c r="G1675" s="14">
        <f t="shared" si="52"/>
        <v>-0.2608695652</v>
      </c>
      <c r="H1675" s="211"/>
      <c r="I1675" s="76"/>
      <c r="J1675" s="76"/>
      <c r="K1675" s="18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</row>
    <row r="1676" ht="14.25" customHeight="1">
      <c r="A1676" s="49"/>
      <c r="B1676" s="160">
        <v>9240.0</v>
      </c>
      <c r="E1676" s="150">
        <v>345000.0</v>
      </c>
      <c r="F1676" s="150">
        <f>SUM(F1674:F1675)</f>
        <v>455000</v>
      </c>
      <c r="G1676" s="14">
        <f t="shared" si="52"/>
        <v>0.3188405797</v>
      </c>
      <c r="H1676" s="211"/>
      <c r="I1676" s="76"/>
      <c r="J1676" s="76"/>
      <c r="K1676" s="18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</row>
    <row r="1677" ht="14.25" customHeight="1">
      <c r="A1677" s="49"/>
      <c r="B1677" s="49"/>
      <c r="C1677" s="187"/>
      <c r="D1677" s="89"/>
      <c r="E1677" s="92"/>
      <c r="F1677" s="92"/>
      <c r="G1677" s="14" t="str">
        <f t="shared" si="52"/>
        <v/>
      </c>
      <c r="H1677" s="211"/>
      <c r="I1677" s="76"/>
      <c r="J1677" s="76"/>
      <c r="K1677" s="18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</row>
    <row r="1678" ht="14.25" customHeight="1">
      <c r="A1678" s="143"/>
      <c r="B1678" s="196">
        <v>9300.0</v>
      </c>
      <c r="C1678" s="145"/>
      <c r="D1678" s="197" t="s">
        <v>413</v>
      </c>
      <c r="E1678" s="192">
        <v>2025.0</v>
      </c>
      <c r="F1678" s="193">
        <v>2026.0</v>
      </c>
      <c r="G1678" s="14">
        <f t="shared" si="52"/>
        <v>0.0004938271605</v>
      </c>
      <c r="H1678" s="212"/>
      <c r="I1678" s="76"/>
      <c r="J1678" s="76"/>
      <c r="K1678" s="18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</row>
    <row r="1679" ht="14.25" customHeight="1">
      <c r="A1679" s="49"/>
      <c r="B1679" s="49"/>
      <c r="C1679" s="158" t="s">
        <v>395</v>
      </c>
      <c r="D1679" s="218" t="s">
        <v>373</v>
      </c>
      <c r="E1679" s="96">
        <v>0.0</v>
      </c>
      <c r="F1679" s="92">
        <f>IFERROR(__xludf.DUMMYFUNCTION("IMPORTRANGE(""https://docs.google.com/spreadsheets/d/1GtVEW9YZse0IzniQ0R5fmny0v0Q2UBTfAmCwTvKHgjI"",""2026!p9300_632"")"),6000.0)</f>
        <v>6000</v>
      </c>
      <c r="G1679" s="14" t="str">
        <f t="shared" si="52"/>
        <v/>
      </c>
      <c r="H1679" s="211"/>
      <c r="I1679" s="76"/>
      <c r="J1679" s="76"/>
      <c r="K1679" s="18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</row>
    <row r="1680" ht="14.25" customHeight="1">
      <c r="A1680" s="49"/>
      <c r="B1680" s="191">
        <v>9300.0</v>
      </c>
      <c r="E1680" s="198">
        <v>0.0</v>
      </c>
      <c r="F1680" s="150">
        <f>SUM(F1679)</f>
        <v>6000</v>
      </c>
      <c r="G1680" s="14" t="str">
        <f t="shared" si="52"/>
        <v/>
      </c>
      <c r="H1680" s="211"/>
      <c r="I1680" s="76"/>
      <c r="J1680" s="76"/>
      <c r="K1680" s="18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</row>
    <row r="1681" ht="14.25" customHeight="1">
      <c r="A1681" s="49"/>
      <c r="B1681" s="49"/>
      <c r="C1681" s="187"/>
      <c r="D1681" s="89"/>
      <c r="E1681" s="92"/>
      <c r="F1681" s="92"/>
      <c r="G1681" s="14" t="str">
        <f t="shared" si="52"/>
        <v/>
      </c>
      <c r="H1681" s="211"/>
      <c r="I1681" s="76"/>
      <c r="J1681" s="76"/>
      <c r="K1681" s="18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</row>
    <row r="1682" ht="14.25" customHeight="1">
      <c r="A1682" s="8"/>
      <c r="B1682" s="10"/>
      <c r="C1682" s="11"/>
      <c r="D1682" s="32" t="s">
        <v>414</v>
      </c>
      <c r="E1682" s="75">
        <v>2.7237906700000003E7</v>
      </c>
      <c r="F1682" s="75">
        <f>SUM(F1492,F1496,F1501,F1506,F1510,F1515,F1521,F1526,F1532,F1536,F1540,F1545,F1549,F1555,F1559,F1564,F1568,F1572,F1576,F1580,F1584,F1589,F1593,F1597,F1601,F1605,F1610,F1614,F1618,F1622,F1626,F1630,F1635,F1644,F1650,F1654,F1658,F1662,F1671,F1676,F1680)</f>
        <v>24206942.85</v>
      </c>
      <c r="G1682" s="14">
        <f t="shared" si="52"/>
        <v>-0.1112774151</v>
      </c>
      <c r="I1682" s="219">
        <f>IFERROR(__xludf.DUMMYFUNCTION("IMPORTRANGE(""https://docs.google.com/spreadsheets/d/1GtVEW9YZse0IzniQ0R5fmny0v0Q2UBTfAmCwTvKHgjI"",""2026!suma_cap6"") - F1682"),0.0)</f>
        <v>0</v>
      </c>
      <c r="J1682" s="220" t="s">
        <v>415</v>
      </c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</row>
    <row r="1683" ht="14.25" customHeight="1">
      <c r="A1683" s="8"/>
      <c r="B1683" s="10"/>
      <c r="C1683" s="11"/>
      <c r="D1683" s="32"/>
      <c r="E1683" s="43"/>
      <c r="F1683" s="43"/>
      <c r="G1683" s="14" t="str">
        <f t="shared" si="52"/>
        <v/>
      </c>
      <c r="H1683" s="16"/>
      <c r="I1683" s="16"/>
      <c r="J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</row>
    <row r="1684" ht="14.25" customHeight="1">
      <c r="A1684" s="8"/>
      <c r="B1684" s="10"/>
      <c r="C1684" s="11"/>
      <c r="D1684" s="12"/>
      <c r="E1684" s="13"/>
      <c r="F1684" s="13"/>
      <c r="G1684" s="14" t="str">
        <f t="shared" si="52"/>
        <v/>
      </c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</row>
    <row r="1685" ht="14.25" customHeight="1">
      <c r="A1685" s="8"/>
      <c r="B1685" s="10"/>
      <c r="C1685" s="11"/>
      <c r="D1685" s="12"/>
      <c r="E1685" s="13"/>
      <c r="F1685" s="13"/>
      <c r="G1685" s="14" t="str">
        <f t="shared" si="52"/>
        <v/>
      </c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</row>
    <row r="1686" ht="14.25" customHeight="1">
      <c r="A1686" s="8"/>
      <c r="B1686" s="104" t="s">
        <v>11</v>
      </c>
      <c r="C1686" s="20"/>
      <c r="D1686" s="105" t="s">
        <v>416</v>
      </c>
      <c r="E1686" s="106"/>
      <c r="F1686" s="106"/>
      <c r="G1686" s="14" t="str">
        <f t="shared" si="52"/>
        <v/>
      </c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</row>
    <row r="1687" ht="14.25" customHeight="1">
      <c r="A1687" s="8"/>
      <c r="B1687" s="107" t="s">
        <v>13</v>
      </c>
      <c r="C1687" s="108" t="s">
        <v>14</v>
      </c>
      <c r="D1687" s="25"/>
      <c r="E1687" s="109">
        <v>2025.0</v>
      </c>
      <c r="F1687" s="110">
        <v>2026.0</v>
      </c>
      <c r="G1687" s="14">
        <f t="shared" si="52"/>
        <v>0.0004938271605</v>
      </c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</row>
    <row r="1688" ht="14.25" customHeight="1">
      <c r="A1688" s="8"/>
      <c r="B1688" s="44">
        <v>1522.0</v>
      </c>
      <c r="C1688" s="221"/>
      <c r="D1688" s="222" t="s">
        <v>417</v>
      </c>
      <c r="E1688" s="47">
        <v>2025.0</v>
      </c>
      <c r="F1688" s="48">
        <v>2026.0</v>
      </c>
      <c r="G1688" s="14">
        <f t="shared" si="52"/>
        <v>0.0004938271605</v>
      </c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</row>
    <row r="1689" ht="14.25" customHeight="1">
      <c r="A1689" s="8"/>
      <c r="B1689" s="10"/>
      <c r="C1689" s="139" t="s">
        <v>418</v>
      </c>
      <c r="D1689" s="12" t="s">
        <v>419</v>
      </c>
      <c r="E1689" s="13">
        <v>20000.0</v>
      </c>
      <c r="F1689" s="13">
        <v>20000.0</v>
      </c>
      <c r="G1689" s="14">
        <f t="shared" si="52"/>
        <v>0</v>
      </c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</row>
    <row r="1690" ht="14.25" customHeight="1">
      <c r="A1690" s="8"/>
      <c r="B1690" s="10"/>
      <c r="C1690" s="139" t="s">
        <v>420</v>
      </c>
      <c r="D1690" s="12" t="s">
        <v>421</v>
      </c>
      <c r="E1690" s="13">
        <v>30000.0</v>
      </c>
      <c r="F1690" s="13">
        <v>30000.0</v>
      </c>
      <c r="G1690" s="14">
        <f t="shared" si="52"/>
        <v>0</v>
      </c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</row>
    <row r="1691" ht="14.25" customHeight="1">
      <c r="A1691" s="8"/>
      <c r="B1691" s="32">
        <v>1522.0</v>
      </c>
      <c r="E1691" s="33">
        <v>50000.0</v>
      </c>
      <c r="F1691" s="33">
        <f>SUM(F1689:F1690)</f>
        <v>50000</v>
      </c>
      <c r="G1691" s="14">
        <f t="shared" si="52"/>
        <v>0</v>
      </c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</row>
    <row r="1692" ht="14.25" customHeight="1">
      <c r="A1692" s="8"/>
      <c r="B1692" s="10"/>
      <c r="C1692" s="11"/>
      <c r="D1692" s="12"/>
      <c r="E1692" s="13"/>
      <c r="F1692" s="13"/>
      <c r="G1692" s="14" t="str">
        <f t="shared" si="52"/>
        <v/>
      </c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</row>
    <row r="1693" ht="14.25" customHeight="1">
      <c r="A1693" s="8"/>
      <c r="B1693" s="44">
        <v>3360.0</v>
      </c>
      <c r="C1693" s="45"/>
      <c r="D1693" s="46" t="s">
        <v>422</v>
      </c>
      <c r="E1693" s="47">
        <v>2025.0</v>
      </c>
      <c r="F1693" s="48">
        <v>2026.0</v>
      </c>
      <c r="G1693" s="14">
        <f t="shared" si="52"/>
        <v>0.0004938271605</v>
      </c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</row>
    <row r="1694" ht="14.25" customHeight="1">
      <c r="A1694" s="8"/>
      <c r="B1694" s="10"/>
      <c r="C1694" s="139" t="s">
        <v>418</v>
      </c>
      <c r="D1694" s="12" t="s">
        <v>348</v>
      </c>
      <c r="E1694" s="13">
        <v>50000.0</v>
      </c>
      <c r="F1694" s="60">
        <v>70000.0</v>
      </c>
      <c r="G1694" s="14">
        <f t="shared" si="52"/>
        <v>0.4</v>
      </c>
      <c r="I1694" s="49" t="s">
        <v>423</v>
      </c>
      <c r="J1694" s="49"/>
      <c r="K1694" s="49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</row>
    <row r="1695" ht="14.25" customHeight="1">
      <c r="A1695" s="8"/>
      <c r="B1695" s="32">
        <v>3360.0</v>
      </c>
      <c r="E1695" s="33">
        <v>50000.0</v>
      </c>
      <c r="F1695" s="33">
        <f>SUM(F1694)</f>
        <v>70000</v>
      </c>
      <c r="G1695" s="14">
        <f t="shared" si="52"/>
        <v>0.4</v>
      </c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</row>
    <row r="1696" ht="14.25" customHeight="1">
      <c r="A1696" s="8"/>
      <c r="B1696" s="10"/>
      <c r="C1696" s="11"/>
      <c r="D1696" s="32"/>
      <c r="E1696" s="43"/>
      <c r="F1696" s="43"/>
      <c r="G1696" s="14" t="str">
        <f t="shared" si="52"/>
        <v/>
      </c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</row>
    <row r="1697" ht="14.25" customHeight="1">
      <c r="A1697" s="8"/>
      <c r="B1697" s="10"/>
      <c r="C1697" s="11"/>
      <c r="D1697" s="32" t="s">
        <v>424</v>
      </c>
      <c r="E1697" s="75">
        <v>100000.0</v>
      </c>
      <c r="F1697" s="75">
        <f>F1695+F1691</f>
        <v>120000</v>
      </c>
      <c r="G1697" s="14">
        <f t="shared" si="52"/>
        <v>0.2</v>
      </c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</row>
    <row r="1698" ht="14.25" customHeight="1">
      <c r="A1698" s="8"/>
      <c r="B1698" s="10"/>
      <c r="C1698" s="11"/>
      <c r="D1698" s="12"/>
      <c r="E1698" s="13"/>
      <c r="F1698" s="13"/>
      <c r="G1698" s="14" t="str">
        <f t="shared" si="52"/>
        <v/>
      </c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</row>
    <row r="1699" ht="14.25" customHeight="1">
      <c r="A1699" s="8"/>
      <c r="B1699" s="10"/>
      <c r="C1699" s="11"/>
      <c r="D1699" s="12"/>
      <c r="E1699" s="13"/>
      <c r="F1699" s="13"/>
      <c r="G1699" s="14" t="str">
        <f t="shared" si="52"/>
        <v/>
      </c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</row>
    <row r="1700" ht="14.25" customHeight="1">
      <c r="A1700" s="8"/>
      <c r="B1700" s="10"/>
      <c r="C1700" s="11"/>
      <c r="D1700" s="12"/>
      <c r="E1700" s="13"/>
      <c r="F1700" s="13"/>
      <c r="G1700" s="14" t="str">
        <f t="shared" si="52"/>
        <v/>
      </c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</row>
    <row r="1701" ht="14.25" customHeight="1">
      <c r="A1701" s="8"/>
      <c r="B1701" s="18" t="s">
        <v>11</v>
      </c>
      <c r="C1701" s="20"/>
      <c r="D1701" s="21" t="s">
        <v>425</v>
      </c>
      <c r="E1701" s="22"/>
      <c r="F1701" s="22"/>
      <c r="G1701" s="14" t="str">
        <f t="shared" si="52"/>
        <v/>
      </c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</row>
    <row r="1702" ht="14.25" customHeight="1">
      <c r="A1702" s="8"/>
      <c r="B1702" s="23" t="s">
        <v>13</v>
      </c>
      <c r="C1702" s="24" t="s">
        <v>14</v>
      </c>
      <c r="D1702" s="25"/>
      <c r="E1702" s="223">
        <v>2025.0</v>
      </c>
      <c r="F1702" s="224">
        <v>2026.0</v>
      </c>
      <c r="G1702" s="14">
        <f t="shared" si="52"/>
        <v>0.0004938271605</v>
      </c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</row>
    <row r="1703" ht="14.25" customHeight="1">
      <c r="A1703" s="8"/>
      <c r="B1703" s="225">
        <v>2210.0</v>
      </c>
      <c r="C1703" s="226"/>
      <c r="D1703" s="113" t="s">
        <v>426</v>
      </c>
      <c r="E1703" s="47">
        <v>2025.0</v>
      </c>
      <c r="F1703" s="48">
        <v>2026.0</v>
      </c>
      <c r="G1703" s="14">
        <f t="shared" si="52"/>
        <v>0.0004938271605</v>
      </c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</row>
    <row r="1704" ht="14.25" customHeight="1">
      <c r="A1704" s="8"/>
      <c r="B1704" s="10"/>
      <c r="C1704" s="139" t="s">
        <v>427</v>
      </c>
      <c r="D1704" s="12" t="s">
        <v>428</v>
      </c>
      <c r="E1704" s="13">
        <v>15000.0</v>
      </c>
      <c r="F1704" s="13">
        <v>15000.0</v>
      </c>
      <c r="G1704" s="14">
        <f t="shared" si="52"/>
        <v>0</v>
      </c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</row>
    <row r="1705" ht="14.25" customHeight="1">
      <c r="A1705" s="8"/>
      <c r="B1705" s="32">
        <v>2210.0</v>
      </c>
      <c r="E1705" s="33">
        <v>15000.0</v>
      </c>
      <c r="F1705" s="33">
        <f>SUM(F1704)</f>
        <v>15000</v>
      </c>
      <c r="G1705" s="14">
        <f t="shared" si="52"/>
        <v>0</v>
      </c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</row>
    <row r="1706" ht="14.25" customHeight="1">
      <c r="A1706" s="8"/>
      <c r="B1706" s="10"/>
      <c r="C1706" s="11"/>
      <c r="D1706" s="12"/>
      <c r="E1706" s="13"/>
      <c r="F1706" s="13"/>
      <c r="G1706" s="14" t="str">
        <f t="shared" si="52"/>
        <v/>
      </c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</row>
    <row r="1707" ht="14.25" customHeight="1">
      <c r="A1707" s="8"/>
      <c r="B1707" s="10"/>
      <c r="C1707" s="11"/>
      <c r="D1707" s="32" t="s">
        <v>429</v>
      </c>
      <c r="E1707" s="75">
        <v>15000.0</v>
      </c>
      <c r="F1707" s="75">
        <f>F1705</f>
        <v>15000</v>
      </c>
      <c r="G1707" s="14">
        <f t="shared" si="52"/>
        <v>0</v>
      </c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</row>
    <row r="1708" ht="14.25" customHeight="1">
      <c r="A1708" s="8"/>
      <c r="B1708" s="10"/>
      <c r="C1708" s="11"/>
      <c r="D1708" s="32"/>
      <c r="E1708" s="43"/>
      <c r="F1708" s="43"/>
      <c r="G1708" s="14" t="str">
        <f t="shared" si="52"/>
        <v/>
      </c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</row>
    <row r="1709" ht="14.25" customHeight="1">
      <c r="A1709" s="8"/>
      <c r="B1709" s="10"/>
      <c r="C1709" s="11"/>
      <c r="D1709" s="12"/>
      <c r="E1709" s="13"/>
      <c r="F1709" s="13"/>
      <c r="G1709" s="14" t="str">
        <f t="shared" si="52"/>
        <v/>
      </c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</row>
    <row r="1710" ht="14.25" customHeight="1">
      <c r="A1710" s="8"/>
      <c r="B1710" s="10"/>
      <c r="C1710" s="11"/>
      <c r="D1710" s="12"/>
      <c r="E1710" s="13"/>
      <c r="F1710" s="13"/>
      <c r="G1710" s="14" t="str">
        <f t="shared" si="52"/>
        <v/>
      </c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</row>
    <row r="1711" ht="14.25" customHeight="1">
      <c r="A1711" s="8"/>
      <c r="B1711" s="18" t="s">
        <v>11</v>
      </c>
      <c r="C1711" s="20"/>
      <c r="D1711" s="21" t="s">
        <v>430</v>
      </c>
      <c r="E1711" s="22"/>
      <c r="F1711" s="22"/>
      <c r="G1711" s="14" t="str">
        <f t="shared" si="52"/>
        <v/>
      </c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</row>
    <row r="1712" ht="14.25" customHeight="1">
      <c r="A1712" s="8"/>
      <c r="B1712" s="23" t="s">
        <v>13</v>
      </c>
      <c r="C1712" s="24" t="s">
        <v>14</v>
      </c>
      <c r="D1712" s="25"/>
      <c r="E1712" s="223">
        <v>2025.0</v>
      </c>
      <c r="F1712" s="224">
        <v>2026.0</v>
      </c>
      <c r="G1712" s="14">
        <f t="shared" si="52"/>
        <v>0.0004938271605</v>
      </c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</row>
    <row r="1713" ht="14.25" customHeight="1">
      <c r="A1713" s="8"/>
      <c r="B1713" s="103" t="s">
        <v>337</v>
      </c>
      <c r="C1713" s="45"/>
      <c r="D1713" s="46" t="s">
        <v>338</v>
      </c>
      <c r="E1713" s="47">
        <v>2025.0</v>
      </c>
      <c r="F1713" s="48">
        <v>2026.0</v>
      </c>
      <c r="G1713" s="14">
        <f t="shared" si="52"/>
        <v>0.0004938271605</v>
      </c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</row>
    <row r="1714" ht="14.25" customHeight="1">
      <c r="A1714" s="8"/>
      <c r="B1714" s="10"/>
      <c r="C1714" s="139" t="s">
        <v>431</v>
      </c>
      <c r="D1714" s="12" t="s">
        <v>432</v>
      </c>
      <c r="E1714" s="13">
        <v>535000.0</v>
      </c>
      <c r="F1714" s="13">
        <v>535000.0</v>
      </c>
      <c r="G1714" s="14">
        <f t="shared" si="52"/>
        <v>0</v>
      </c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</row>
    <row r="1715" ht="14.25" customHeight="1">
      <c r="A1715" s="8"/>
      <c r="B1715" s="53" t="s">
        <v>337</v>
      </c>
      <c r="E1715" s="33">
        <v>535000.0</v>
      </c>
      <c r="F1715" s="33">
        <f>SUM(F1714)</f>
        <v>535000</v>
      </c>
      <c r="G1715" s="14">
        <f t="shared" si="52"/>
        <v>0</v>
      </c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</row>
    <row r="1716" ht="14.25" customHeight="1">
      <c r="A1716" s="8"/>
      <c r="B1716" s="10"/>
      <c r="C1716" s="11"/>
      <c r="D1716" s="12"/>
      <c r="E1716" s="13"/>
      <c r="F1716" s="13"/>
      <c r="G1716" s="14" t="str">
        <f t="shared" si="52"/>
        <v/>
      </c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</row>
    <row r="1717" ht="14.25" customHeight="1">
      <c r="A1717" s="8"/>
      <c r="B1717" s="10"/>
      <c r="C1717" s="11"/>
      <c r="D1717" s="32" t="s">
        <v>433</v>
      </c>
      <c r="E1717" s="75">
        <v>535000.0</v>
      </c>
      <c r="F1717" s="75">
        <f>F1715</f>
        <v>535000</v>
      </c>
      <c r="G1717" s="14">
        <f t="shared" si="52"/>
        <v>0</v>
      </c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</row>
    <row r="1718" ht="14.25" customHeight="1">
      <c r="A1718" s="8"/>
      <c r="B1718" s="10"/>
      <c r="C1718" s="11"/>
      <c r="D1718" s="12"/>
      <c r="E1718" s="13"/>
      <c r="F1718" s="13"/>
      <c r="G1718" s="14" t="str">
        <f t="shared" si="52"/>
        <v/>
      </c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</row>
    <row r="1719" ht="14.25" customHeight="1">
      <c r="A1719" s="8"/>
      <c r="B1719" s="10"/>
      <c r="C1719" s="11"/>
      <c r="D1719" s="227" t="s">
        <v>434</v>
      </c>
      <c r="E1719" s="228">
        <v>6.50783152E7</v>
      </c>
      <c r="F1719" s="229">
        <f>F1717+F1707+F1697+F1682+F1473+F1386+F1371+F508+F1483</f>
        <v>64280861.35</v>
      </c>
      <c r="G1719" s="14">
        <f t="shared" si="52"/>
        <v>-0.01225375684</v>
      </c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</row>
    <row r="1720" ht="14.25" customHeight="1">
      <c r="A1720" s="8"/>
      <c r="B1720" s="10"/>
      <c r="C1720" s="11"/>
      <c r="D1720" s="227"/>
      <c r="E1720" s="230"/>
      <c r="F1720" s="230"/>
      <c r="G1720" s="14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</row>
    <row r="1721" ht="14.25" customHeight="1">
      <c r="A1721" s="8"/>
      <c r="B1721" s="10"/>
      <c r="C1721" s="11"/>
      <c r="D1721" s="227"/>
      <c r="E1721" s="230"/>
      <c r="F1721" s="230"/>
      <c r="G1721" s="14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</row>
  </sheetData>
  <mergeCells count="184">
    <mergeCell ref="B3:C3"/>
    <mergeCell ref="D3:D4"/>
    <mergeCell ref="B40:D40"/>
    <mergeCell ref="B50:D50"/>
    <mergeCell ref="B64:D64"/>
    <mergeCell ref="B71:D71"/>
    <mergeCell ref="B88:D88"/>
    <mergeCell ref="B106:D106"/>
    <mergeCell ref="B117:D117"/>
    <mergeCell ref="B129:D129"/>
    <mergeCell ref="B147:D147"/>
    <mergeCell ref="B160:D160"/>
    <mergeCell ref="B171:D171"/>
    <mergeCell ref="B180:D180"/>
    <mergeCell ref="B197:D197"/>
    <mergeCell ref="B215:D215"/>
    <mergeCell ref="B220:D220"/>
    <mergeCell ref="B237:D237"/>
    <mergeCell ref="B244:D244"/>
    <mergeCell ref="B251:D251"/>
    <mergeCell ref="B265:D265"/>
    <mergeCell ref="B280:D280"/>
    <mergeCell ref="B287:D287"/>
    <mergeCell ref="B300:D300"/>
    <mergeCell ref="B315:D315"/>
    <mergeCell ref="B325:D325"/>
    <mergeCell ref="B336:D336"/>
    <mergeCell ref="B353:D353"/>
    <mergeCell ref="B365:D365"/>
    <mergeCell ref="B381:D381"/>
    <mergeCell ref="B386:D386"/>
    <mergeCell ref="B396:D396"/>
    <mergeCell ref="B409:D409"/>
    <mergeCell ref="B420:D420"/>
    <mergeCell ref="B436:D436"/>
    <mergeCell ref="B448:D448"/>
    <mergeCell ref="B462:D462"/>
    <mergeCell ref="B479:D479"/>
    <mergeCell ref="B492:D492"/>
    <mergeCell ref="B506:D506"/>
    <mergeCell ref="B512:C512"/>
    <mergeCell ref="D512:D513"/>
    <mergeCell ref="B538:D538"/>
    <mergeCell ref="B548:D548"/>
    <mergeCell ref="B567:D567"/>
    <mergeCell ref="B588:D588"/>
    <mergeCell ref="B605:D605"/>
    <mergeCell ref="B614:D614"/>
    <mergeCell ref="B620:D620"/>
    <mergeCell ref="B643:D643"/>
    <mergeCell ref="B654:D654"/>
    <mergeCell ref="B679:D679"/>
    <mergeCell ref="B684:D684"/>
    <mergeCell ref="B692:D692"/>
    <mergeCell ref="B696:D696"/>
    <mergeCell ref="B711:D711"/>
    <mergeCell ref="B732:D732"/>
    <mergeCell ref="B751:D751"/>
    <mergeCell ref="B759:D759"/>
    <mergeCell ref="B763:D763"/>
    <mergeCell ref="B783:D783"/>
    <mergeCell ref="B791:D791"/>
    <mergeCell ref="B808:D808"/>
    <mergeCell ref="B820:D820"/>
    <mergeCell ref="B841:D841"/>
    <mergeCell ref="B845:D845"/>
    <mergeCell ref="B852:D852"/>
    <mergeCell ref="B865:D865"/>
    <mergeCell ref="B878:D878"/>
    <mergeCell ref="B900:D900"/>
    <mergeCell ref="B917:D917"/>
    <mergeCell ref="B934:D934"/>
    <mergeCell ref="B950:D950"/>
    <mergeCell ref="B968:D968"/>
    <mergeCell ref="B984:D984"/>
    <mergeCell ref="B1001:D1001"/>
    <mergeCell ref="B1018:D1018"/>
    <mergeCell ref="B1036:D1036"/>
    <mergeCell ref="B1057:D1057"/>
    <mergeCell ref="B1063:D1063"/>
    <mergeCell ref="B1068:D1068"/>
    <mergeCell ref="B1089:D1089"/>
    <mergeCell ref="B1105:D1105"/>
    <mergeCell ref="B1131:D1131"/>
    <mergeCell ref="B1136:D1136"/>
    <mergeCell ref="B1143:D1143"/>
    <mergeCell ref="B1151:D1151"/>
    <mergeCell ref="B1178:D1178"/>
    <mergeCell ref="B1185:D1185"/>
    <mergeCell ref="B1206:D1206"/>
    <mergeCell ref="B1211:D1211"/>
    <mergeCell ref="B1217:D1217"/>
    <mergeCell ref="B1233:D1233"/>
    <mergeCell ref="B1252:D1252"/>
    <mergeCell ref="B1289:D1289"/>
    <mergeCell ref="B1301:D1301"/>
    <mergeCell ref="B1309:D1309"/>
    <mergeCell ref="B1321:D1321"/>
    <mergeCell ref="B1526:D1526"/>
    <mergeCell ref="B1532:D1532"/>
    <mergeCell ref="B1536:D1536"/>
    <mergeCell ref="B1540:D1540"/>
    <mergeCell ref="B1545:D1545"/>
    <mergeCell ref="B1549:D1549"/>
    <mergeCell ref="B1555:D1555"/>
    <mergeCell ref="B1559:D1559"/>
    <mergeCell ref="B1564:D1564"/>
    <mergeCell ref="B1568:D1568"/>
    <mergeCell ref="B1572:D1572"/>
    <mergeCell ref="B1576:D1576"/>
    <mergeCell ref="B1580:D1580"/>
    <mergeCell ref="B1584:D1584"/>
    <mergeCell ref="B1618:D1618"/>
    <mergeCell ref="B1622:D1622"/>
    <mergeCell ref="B1626:D1626"/>
    <mergeCell ref="B1630:D1630"/>
    <mergeCell ref="B1635:D1635"/>
    <mergeCell ref="B1644:D1644"/>
    <mergeCell ref="B1650:D1650"/>
    <mergeCell ref="B1654:D1654"/>
    <mergeCell ref="B1658:D1658"/>
    <mergeCell ref="B1662:D1662"/>
    <mergeCell ref="B1671:D1671"/>
    <mergeCell ref="B1676:D1676"/>
    <mergeCell ref="B1680:D1680"/>
    <mergeCell ref="B1686:C1686"/>
    <mergeCell ref="D1711:D1712"/>
    <mergeCell ref="B1715:D1715"/>
    <mergeCell ref="D1686:D1687"/>
    <mergeCell ref="B1691:D1691"/>
    <mergeCell ref="B1695:D1695"/>
    <mergeCell ref="B1701:C1701"/>
    <mergeCell ref="D1701:D1702"/>
    <mergeCell ref="B1705:D1705"/>
    <mergeCell ref="B1711:C1711"/>
    <mergeCell ref="B1327:D1327"/>
    <mergeCell ref="B1338:D1338"/>
    <mergeCell ref="B1353:D1353"/>
    <mergeCell ref="B1362:D1362"/>
    <mergeCell ref="B1369:D1369"/>
    <mergeCell ref="B1375:C1375"/>
    <mergeCell ref="D1375:D1376"/>
    <mergeCell ref="B1380:D1380"/>
    <mergeCell ref="B1384:D1384"/>
    <mergeCell ref="B1390:C1390"/>
    <mergeCell ref="D1390:D1391"/>
    <mergeCell ref="B1394:D1394"/>
    <mergeCell ref="B1398:D1398"/>
    <mergeCell ref="B1402:D1402"/>
    <mergeCell ref="B1408:D1408"/>
    <mergeCell ref="B1412:D1412"/>
    <mergeCell ref="B1416:D1416"/>
    <mergeCell ref="B1420:D1420"/>
    <mergeCell ref="B1424:D1424"/>
    <mergeCell ref="B1428:D1428"/>
    <mergeCell ref="B1432:D1432"/>
    <mergeCell ref="B1436:D1436"/>
    <mergeCell ref="B1440:D1440"/>
    <mergeCell ref="B1445:D1445"/>
    <mergeCell ref="B1450:D1450"/>
    <mergeCell ref="B1455:D1455"/>
    <mergeCell ref="B1459:D1459"/>
    <mergeCell ref="B1463:D1463"/>
    <mergeCell ref="B1467:D1467"/>
    <mergeCell ref="B1471:D1471"/>
    <mergeCell ref="B1477:C1477"/>
    <mergeCell ref="D1477:D1478"/>
    <mergeCell ref="B1481:D1481"/>
    <mergeCell ref="B1487:C1487"/>
    <mergeCell ref="D1487:D1488"/>
    <mergeCell ref="B1492:D1492"/>
    <mergeCell ref="B1496:D1496"/>
    <mergeCell ref="B1501:D1501"/>
    <mergeCell ref="B1506:D1506"/>
    <mergeCell ref="B1510:D1510"/>
    <mergeCell ref="B1515:D1515"/>
    <mergeCell ref="B1521:D1521"/>
    <mergeCell ref="B1589:D1589"/>
    <mergeCell ref="B1593:D1593"/>
    <mergeCell ref="B1597:D1597"/>
    <mergeCell ref="B1601:D1601"/>
    <mergeCell ref="B1605:D1605"/>
    <mergeCell ref="B1610:D1610"/>
    <mergeCell ref="B1614:D1614"/>
  </mergeCells>
  <conditionalFormatting sqref="G1:G1721 H34 H1577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hyperlinks>
    <hyperlink r:id="rId4" ref="D1306"/>
  </hyperlinks>
  <printOptions/>
  <pageMargins bottom="0.7480314960629921" footer="0.0" header="0.0" left="0.2362204724409449" right="0.23622047244094488" top="0.7480314960629921"/>
  <pageSetup fitToHeight="0" paperSize="9" orientation="portrait"/>
  <headerFooter>
    <oddHeader>&amp;L&amp;F</oddHeader>
    <oddFooter>&amp;CPresupuesto Ayuntamiento Aranda de Duero 2026</oddFooter>
  </headerFooter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0.75"/>
    <col customWidth="1" min="11" max="11" width="16.5"/>
  </cols>
  <sheetData>
    <row r="1">
      <c r="A1" s="1"/>
      <c r="B1" s="1"/>
      <c r="C1" s="1"/>
      <c r="D1" s="1"/>
    </row>
    <row r="2">
      <c r="A2" s="1"/>
      <c r="B2" s="1"/>
      <c r="C2" s="2" t="s">
        <v>0</v>
      </c>
      <c r="D2" s="2" t="s">
        <v>1</v>
      </c>
      <c r="H2" s="2"/>
      <c r="I2" s="2" t="s">
        <v>2</v>
      </c>
      <c r="J2" s="2" t="s">
        <v>3</v>
      </c>
      <c r="K2" s="2" t="s">
        <v>4</v>
      </c>
      <c r="L2" s="2" t="s">
        <v>5</v>
      </c>
    </row>
    <row r="3">
      <c r="A3" s="3"/>
      <c r="B3" s="4" t="s">
        <v>6</v>
      </c>
      <c r="C3" s="5">
        <v>4.0</v>
      </c>
      <c r="D3" s="6">
        <v>2.0</v>
      </c>
      <c r="F3" s="7" t="s">
        <v>7</v>
      </c>
      <c r="H3" s="2" t="s">
        <v>8</v>
      </c>
      <c r="I3" s="9">
        <f>C4 * C3</f>
        <v>168000</v>
      </c>
      <c r="J3" s="9">
        <f> (C4*0.3) * C3</f>
        <v>50400</v>
      </c>
      <c r="K3" s="9">
        <f> 1380 * 12 * C3</f>
        <v>66240</v>
      </c>
      <c r="L3" s="9">
        <f>SUM(I3:J3) - K3</f>
        <v>152160</v>
      </c>
    </row>
    <row r="4">
      <c r="B4" s="4" t="s">
        <v>9</v>
      </c>
      <c r="C4" s="9">
        <v>42000.0</v>
      </c>
      <c r="D4" s="9">
        <v>35000.0</v>
      </c>
      <c r="F4" s="15">
        <v>332320.0</v>
      </c>
      <c r="H4" s="2" t="s">
        <v>10</v>
      </c>
      <c r="I4" s="9">
        <f> D4 * D3</f>
        <v>70000</v>
      </c>
      <c r="J4" s="9">
        <f> (D4*0.3) * D3</f>
        <v>21000</v>
      </c>
      <c r="K4" s="9">
        <v>0.0</v>
      </c>
      <c r="L4" s="9">
        <f>SUM(I4:K4)</f>
        <v>91000</v>
      </c>
    </row>
    <row r="5">
      <c r="A5" s="3"/>
      <c r="B5" s="3"/>
      <c r="K5" s="19" t="s">
        <v>5</v>
      </c>
      <c r="L5" s="9">
        <f>SUM(L3:L4)</f>
        <v>243160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