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<sst xmlns="http://schemas.openxmlformats.org/spreadsheetml/2006/main" count="72" uniqueCount="37">
  <si>
    <t>PREVISIÓN CARGA FINANCIERA 2026</t>
  </si>
  <si>
    <t>PRESTAMO 2017</t>
  </si>
  <si>
    <t>DIFERENCIAL:</t>
  </si>
  <si>
    <t xml:space="preserve">                  AMORTIZ TRIMESTRAL:</t>
  </si>
  <si>
    <t>(EURIBOR TRIM)</t>
  </si>
  <si>
    <t>PRIMER TRIMESTRE:</t>
  </si>
  <si>
    <t>CAPITAL VIVO:</t>
  </si>
  <si>
    <t>TIPO DE INTERES (EURIBOR +0,600)</t>
  </si>
  <si>
    <t>INTERESES PRIMER TRIMESTRE:</t>
  </si>
  <si>
    <t>SEGUNDO TRIMESTRE</t>
  </si>
  <si>
    <t>INTERESES SEGUNDO TRIMESTRE:</t>
  </si>
  <si>
    <t>TERCER TRIMESTRE</t>
  </si>
  <si>
    <t>INTERESES TERCER TRIMESTRE:</t>
  </si>
  <si>
    <t>CUARTO TRIMESTRE</t>
  </si>
  <si>
    <t>INTERESES CUARTO TRIMESTRE:</t>
  </si>
  <si>
    <t>INTERESES PRESTAMO PTO. 2017</t>
  </si>
  <si>
    <t>AMORTIZ. PRESTAMO PTO. 2017</t>
  </si>
  <si>
    <t>PRESTAMO 2018</t>
  </si>
  <si>
    <t>TIPO DE INTERES (EURIBOR +0,35%)</t>
  </si>
  <si>
    <t>INTERESES PRESTAMO PTO. 2025</t>
  </si>
  <si>
    <t>AMORTIZ. PRESTAMO PTO. 2025</t>
  </si>
  <si>
    <t>PRESTAMO 2021</t>
  </si>
  <si>
    <t xml:space="preserve">FIN CARENCIA Y DISPOSICION: </t>
  </si>
  <si>
    <t>(EURIBOR ANUAL)</t>
  </si>
  <si>
    <t>AMORTIZACION ANUAL</t>
  </si>
  <si>
    <t>TOTAL INTERESES 2026</t>
  </si>
  <si>
    <t>TOTAL  AMORTIZACIÓN 2026</t>
  </si>
  <si>
    <t>PREVISIÓN EVOLUCIÓN TIPOS DE INTERÉS</t>
  </si>
  <si>
    <t>EURIBOR ANUAL (DIC 2025)*</t>
  </si>
  <si>
    <t>EURIBOR TRIMESTRAL</t>
  </si>
  <si>
    <t>1º TRIM</t>
  </si>
  <si>
    <t>2º TRIM</t>
  </si>
  <si>
    <t>3º TRIM</t>
  </si>
  <si>
    <t>4º TRIM*</t>
  </si>
  <si>
    <t>PRESTAMO 2026</t>
  </si>
  <si>
    <t>INTERESES PRESTAMO PTO. 2026</t>
  </si>
  <si>
    <t>AMORTIZ. PRESTAMO PTO.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</si>
</sst>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0"/>
      <name val="Arial"/>
    </font>
    <font/>
    <font>
      <sz val="10.0"/>
      <color rgb="FF993300"/>
      <name val="Arial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5.0"/>
      <color theme="1"/>
      <name val="Arial"/>
    </font>
    <font>
      <b/>
      <sz val="6.0"/>
      <color theme="1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10.0"/>
      <color rgb="FF548DD4"/>
      <name val="Arial"/>
    </font>
    <font>
      <b/>
      <sz val="7.0"/>
      <color theme="1"/>
      <name val="Arial"/>
    </font>
    <font>
      <sz val="7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548DD4"/>
        <bgColor rgb="FF548DD4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4" xfId="0" applyFont="1" applyNumberFormat="1"/>
    <xf borderId="4" fillId="3" fontId="5" numFmtId="0" xfId="0" applyBorder="1" applyFill="1" applyFont="1"/>
    <xf borderId="5" fillId="3" fontId="5" numFmtId="0" xfId="0" applyBorder="1" applyFill="1" applyFont="1"/>
    <xf borderId="6" fillId="3" fontId="5" numFmtId="4" xfId="0" applyBorder="1" applyFill="1" applyFont="1" applyNumberFormat="1"/>
    <xf borderId="7" fillId="0" fontId="5" numFmtId="4" xfId="0" applyAlignment="1" applyBorder="1" applyFont="1" applyNumberFormat="1">
      <alignment horizontal="center"/>
    </xf>
    <xf borderId="0" fillId="0" fontId="1" numFmtId="0" xfId="0" applyFont="1"/>
    <xf borderId="0" fillId="0" fontId="6" numFmtId="4" xfId="0" applyFont="1" applyNumberFormat="1"/>
    <xf borderId="0" fillId="0" fontId="7" numFmtId="0" xfId="0" applyFont="1"/>
    <xf borderId="0" fillId="0" fontId="7" numFmtId="164" xfId="0" applyFont="1" applyNumberFormat="1"/>
    <xf borderId="0" fillId="0" fontId="5" numFmtId="0" xfId="0" applyAlignment="1" applyFont="1">
      <alignment horizontal="left"/>
    </xf>
    <xf borderId="0" fillId="0" fontId="5" numFmtId="4" xfId="0" applyFont="1" applyNumberFormat="1"/>
    <xf borderId="0" fillId="0" fontId="7" numFmtId="0" xfId="0" applyFont="1"/>
    <xf borderId="0" fillId="0" fontId="7" numFmtId="4" xfId="0" applyFont="1" applyNumberFormat="1"/>
    <xf borderId="0" fillId="0" fontId="1" numFmtId="4" xfId="0" applyFont="1" applyNumberFormat="1"/>
    <xf borderId="0" fillId="0" fontId="5" numFmtId="4" xfId="0" applyAlignment="1" applyFont="1" applyNumberFormat="1">
      <alignment horizontal="center"/>
    </xf>
    <xf borderId="0" fillId="0" fontId="7" numFmtId="4" xfId="0" applyFont="1" applyNumberFormat="1"/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49" xfId="0" applyAlignment="1" applyFont="1" applyNumberFormat="1">
      <alignment horizontal="left"/>
    </xf>
    <xf borderId="0" fillId="0" fontId="5" numFmtId="0" xfId="0" applyFont="1"/>
    <xf borderId="0" fillId="0" fontId="5" numFmtId="4" xfId="0" applyFont="1" applyNumberFormat="1"/>
    <xf borderId="8" fillId="3" fontId="5" numFmtId="4" xfId="0" applyBorder="1" applyFill="1" applyFont="1" applyNumberFormat="1"/>
    <xf borderId="0" fillId="0" fontId="5" numFmtId="4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7" fillId="0" fontId="1" numFmtId="0" xfId="0" applyBorder="1" applyFont="1"/>
    <xf borderId="0" fillId="0" fontId="8" numFmtId="4" xfId="0" applyAlignment="1" applyFont="1" applyNumberFormat="1">
      <alignment horizontal="right"/>
    </xf>
    <xf borderId="0" fillId="0" fontId="5" numFmtId="165" xfId="0" applyFont="1" applyNumberFormat="1"/>
    <xf borderId="0" fillId="0" fontId="9" numFmtId="4" xfId="0" applyAlignment="1" applyFont="1" applyNumberFormat="1">
      <alignment horizontal="right"/>
    </xf>
    <xf borderId="0" fillId="0" fontId="6" numFmtId="165" xfId="0" applyFont="1" applyNumberFormat="1"/>
    <xf borderId="0" fillId="0" fontId="7" numFmtId="165" xfId="0" applyFont="1" applyNumberFormat="1"/>
    <xf borderId="0" fillId="0" fontId="1" numFmtId="4" xfId="0" applyFont="1" applyNumberFormat="1"/>
    <xf borderId="4" fillId="3" fontId="10" numFmtId="0" xfId="0" applyAlignment="1" applyBorder="1" applyFill="1" applyFont="1">
      <alignment vertical="center"/>
    </xf>
    <xf borderId="5" fillId="3" fontId="10" numFmtId="0" xfId="0" applyAlignment="1" applyBorder="1" applyFill="1" applyFont="1">
      <alignment vertical="center"/>
    </xf>
    <xf borderId="4" fillId="3" fontId="11" numFmtId="0" xfId="0" applyAlignment="1" applyBorder="1" applyFill="1" applyFont="1">
      <alignment horizontal="right" readingOrder="0" vertical="center"/>
    </xf>
    <xf borderId="9" fillId="3" fontId="10" numFmtId="4" xfId="0" applyAlignment="1" applyBorder="1" applyFill="1" applyFont="1" applyNumberFormat="1">
      <alignment horizontal="right" vertical="center"/>
    </xf>
    <xf borderId="0" fillId="0" fontId="12" numFmtId="0" xfId="0" applyFont="1"/>
    <xf borderId="10" fillId="0" fontId="13" numFmtId="0" xfId="0" applyAlignment="1" applyBorder="1" applyFont="1">
      <alignment horizontal="center" readingOrder="0"/>
    </xf>
    <xf borderId="11" fillId="0" fontId="3" numFmtId="0" xfId="0" applyBorder="1" applyFont="1"/>
    <xf borderId="10" fillId="0" fontId="13" numFmtId="0" xfId="0" applyAlignment="1" applyBorder="1" applyFont="1">
      <alignment horizontal="center"/>
    </xf>
    <xf borderId="12" fillId="0" fontId="3" numFmtId="0" xfId="0" applyBorder="1" applyFont="1"/>
    <xf borderId="13" fillId="0" fontId="1" numFmtId="10" xfId="0" applyAlignment="1" applyBorder="1" applyFont="1" applyNumberFormat="1">
      <alignment horizontal="center"/>
    </xf>
    <xf borderId="14" fillId="0" fontId="3" numFmtId="0" xfId="0" applyBorder="1" applyFont="1"/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5" numFmtId="0" xfId="0" applyAlignment="1" applyFont="1">
      <alignment horizontal="right"/>
    </xf>
    <xf borderId="0" fillId="0" fontId="15" numFmtId="164" xfId="0" applyFont="1" applyNumberFormat="1"/>
    <xf borderId="16" fillId="0" fontId="1" numFmtId="0" xfId="0" applyBorder="1" applyFont="1"/>
    <xf borderId="5" fillId="3" fontId="11" numFmtId="0" xfId="0" applyAlignment="1" applyBorder="1" applyFill="1" applyFont="1">
      <alignment readingOrder="0"/>
    </xf>
    <xf borderId="5" fillId="3" fontId="10" numFmtId="0" xfId="0" applyBorder="1" applyFill="1" applyFont="1"/>
    <xf borderId="8" fillId="3" fontId="10" numFmtId="4" xfId="0" applyBorder="1" applyFill="1" applyFont="1" applyNumberFormat="1"/>
    <xf borderId="17" fillId="0" fontId="1" numFmtId="0" xfId="0" applyBorder="1" applyFont="1"/>
    <xf borderId="17" fillId="0" fontId="8" numFmtId="4" xfId="0" applyAlignment="1" applyBorder="1" applyFont="1" applyNumberFormat="1">
      <alignment horizontal="right"/>
    </xf>
    <xf borderId="17" fillId="0" fontId="5" numFmtId="165" xfId="0" applyAlignment="1" applyBorder="1" applyFont="1" applyNumberFormat="1">
      <alignment readingOrder="0"/>
    </xf>
    <xf borderId="0" fillId="0" fontId="7" numFmtId="164" xfId="0" applyFont="1" applyNumberFormat="1"/>
    <xf borderId="0" fillId="0" fontId="9" numFmtId="4" xfId="0" applyAlignment="1" applyFont="1" applyNumberFormat="1">
      <alignment horizontal="right"/>
    </xf>
    <xf borderId="0" fillId="0" fontId="6" numFmtId="165" xfId="0" applyFont="1" applyNumberFormat="1"/>
    <xf borderId="0" fillId="0" fontId="7" numFmtId="165" xfId="0" applyFont="1" applyNumberFormat="1"/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4" pivot="0" name="Hoja1-style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2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3">
      <tableStyleElement dxfId="1" type="headerRow"/>
      <tableStyleElement dxfId="2" type="firstRowStripe"/>
      <tableStyleElement dxfId="2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B3:G31" displayName="Table_1" name="Table_1" id="1">
  <tableColumns count="6">
    <tableColumn name="Column1" id="1"/>
    <tableColumn name="Column2" id="2"/>
    <tableColumn name="Column3" id="3"/>
    <tableColumn name="Column4" id="4"/>
    <tableColumn totalsRowLabel="AMORTIZ. PRESTAMO PTO. 2017" name="Column5" id="5"/>
    <tableColumn totalsRowFunction="custom" name="Column6" id="6"/>
  </tableColumns>
  <tableStyleInfo name="Hoj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B34:G62" displayName="Table_2" name="Table_2" id="2">
  <tableColumns count="6">
    <tableColumn name="Column1" id="1"/>
    <tableColumn name="Column2" id="2"/>
    <tableColumn name="Column3" id="3"/>
    <tableColumn name="Column4" id="4"/>
    <tableColumn totalsRowLabel="AMORTIZ. PRESTAMO PTO. 2025" name="Column5" id="5"/>
    <tableColumn totalsRowFunction="custom" name="Column6" id="6"/>
  </tableColumns>
  <tableStyleInfo name="Hoja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headerRowCount="0" ref="B64:G70" displayName="Table_3" name="Table_3" id="3">
  <tableColumns count="6">
    <tableColumn name="Column1" id="1"/>
    <tableColumn name="Column2" id="2"/>
    <tableColumn name="Column3" id="3"/>
    <tableColumn name="Column4" id="4"/>
    <tableColumn totalsRowLabel="AMORTIZ. PRESTAMO PTO. 2025" name="Column5" id="5"/>
    <tableColumn totalsRowFunction="custom" name="Column6" id="6"/>
  </tableColumns>
  <tableStyleInfo name="Hoja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11.38"/>
    <col customWidth="1" min="4" max="4" width="17.63"/>
    <col customWidth="1" min="5" max="5" width="10.88"/>
    <col customWidth="1" min="6" max="6" width="9.0"/>
    <col customWidth="1" min="7" max="7" width="15.63"/>
    <col customWidth="1" min="8" max="8" width="11.38"/>
  </cols>
  <sheetData>
    <row r="1" ht="17.25" customHeight="1">
      <c r="A1" s="1"/>
      <c r="B1" s="1"/>
      <c r="C1" s="2" t="s">
        <v>0</v>
      </c>
      <c r="D1" s="3"/>
      <c r="E1" s="3"/>
      <c r="F1" s="4"/>
      <c r="G1" s="1"/>
      <c r="H1" s="1"/>
    </row>
    <row r="2" ht="13.5" customHeight="1">
      <c r="A2" s="1"/>
      <c r="B2" s="1"/>
      <c r="C2" s="1"/>
      <c r="D2" s="1"/>
      <c r="E2" s="1"/>
      <c r="F2" s="1"/>
      <c r="G2" s="1"/>
      <c r="H2" s="5"/>
    </row>
    <row r="3" ht="13.5" customHeight="1">
      <c r="A3" s="1"/>
      <c r="B3" s="6" t="s">
        <v>1</v>
      </c>
      <c r="C3" s="7"/>
      <c r="D3" s="8">
        <v>362528.65</v>
      </c>
      <c r="E3" s="9"/>
      <c r="F3" s="10"/>
      <c r="G3" s="11"/>
      <c r="H3" s="5"/>
    </row>
    <row r="4" ht="12.75" customHeight="1">
      <c r="A4" s="1"/>
      <c r="B4" s="12" t="s">
        <v>2</v>
      </c>
      <c r="C4" s="13">
        <v>0.006</v>
      </c>
      <c r="D4" s="14" t="s">
        <v>3</v>
      </c>
      <c r="E4" s="10"/>
      <c r="F4" s="15"/>
      <c r="G4" s="11">
        <v>9063.21</v>
      </c>
      <c r="H4" s="16"/>
    </row>
    <row r="5" ht="12.75" customHeight="1">
      <c r="A5" s="1"/>
      <c r="B5" s="12" t="s">
        <v>4</v>
      </c>
      <c r="C5" s="12"/>
      <c r="D5" s="12"/>
      <c r="E5" s="12"/>
      <c r="F5" s="12"/>
      <c r="G5" s="17"/>
      <c r="H5" s="16"/>
    </row>
    <row r="6" ht="12.75" customHeight="1">
      <c r="A6" s="1"/>
      <c r="B6" s="12" t="s">
        <v>5</v>
      </c>
      <c r="C6" s="12"/>
      <c r="D6" s="12" t="s">
        <v>6</v>
      </c>
      <c r="E6" s="12"/>
      <c r="F6" s="12"/>
      <c r="G6" s="18">
        <v>63442.59</v>
      </c>
      <c r="H6" s="16"/>
    </row>
    <row r="7" ht="12.75" customHeight="1">
      <c r="A7" s="1"/>
      <c r="B7" s="12"/>
      <c r="C7" s="12"/>
      <c r="D7" s="12"/>
      <c r="E7" s="12"/>
      <c r="F7" s="12"/>
      <c r="G7" s="17"/>
      <c r="H7" s="16"/>
    </row>
    <row r="8" ht="12.75" customHeight="1">
      <c r="A8" s="1"/>
      <c r="B8" s="12"/>
      <c r="C8" s="12"/>
      <c r="D8" s="12" t="s">
        <v>7</v>
      </c>
      <c r="E8" s="12"/>
      <c r="F8" s="12"/>
      <c r="G8" s="13">
        <f>D80+C4</f>
        <v>0.031</v>
      </c>
      <c r="H8" s="16"/>
    </row>
    <row r="9" ht="12.75" customHeight="1">
      <c r="A9" s="1"/>
      <c r="B9" s="12"/>
      <c r="C9" s="12"/>
      <c r="D9" s="12"/>
      <c r="E9" s="12"/>
      <c r="F9" s="12"/>
      <c r="G9" s="17"/>
      <c r="H9" s="16"/>
    </row>
    <row r="10" ht="12.75" customHeight="1">
      <c r="A10" s="1"/>
      <c r="B10" s="12"/>
      <c r="C10" s="12"/>
      <c r="D10" s="12" t="s">
        <v>8</v>
      </c>
      <c r="E10" s="12"/>
      <c r="F10" s="12"/>
      <c r="G10" s="17">
        <f>((G6*G8)/365)*90</f>
        <v>484.944729</v>
      </c>
      <c r="H10" s="16"/>
    </row>
    <row r="11" ht="12.75" customHeight="1">
      <c r="A11" s="1"/>
      <c r="B11" s="12"/>
      <c r="C11" s="12"/>
      <c r="D11" s="12"/>
      <c r="E11" s="12"/>
      <c r="F11" s="12"/>
      <c r="G11" s="17"/>
      <c r="H11" s="1"/>
    </row>
    <row r="12" ht="12.75" customHeight="1">
      <c r="A12" s="1"/>
      <c r="B12" s="12" t="s">
        <v>9</v>
      </c>
      <c r="C12" s="12"/>
      <c r="D12" s="12" t="s">
        <v>6</v>
      </c>
      <c r="E12" s="12"/>
      <c r="F12" s="12"/>
      <c r="G12" s="17">
        <f>G6-G4</f>
        <v>54379.38</v>
      </c>
      <c r="H12" s="16"/>
    </row>
    <row r="13" ht="12.75" customHeight="1">
      <c r="A13" s="1"/>
      <c r="B13" s="12"/>
      <c r="C13" s="12"/>
      <c r="D13" s="12"/>
      <c r="E13" s="12"/>
      <c r="F13" s="12"/>
      <c r="G13" s="17"/>
      <c r="H13" s="16"/>
    </row>
    <row r="14" ht="12.75" customHeight="1">
      <c r="A14" s="1"/>
      <c r="B14" s="12"/>
      <c r="C14" s="12"/>
      <c r="D14" s="12" t="s">
        <v>7</v>
      </c>
      <c r="E14" s="12"/>
      <c r="F14" s="12"/>
      <c r="G14" s="13">
        <f>E80+C4</f>
        <v>0.029</v>
      </c>
      <c r="H14" s="16"/>
    </row>
    <row r="15" ht="12.75" customHeight="1">
      <c r="A15" s="1"/>
      <c r="B15" s="12"/>
      <c r="C15" s="12"/>
      <c r="D15" s="12"/>
      <c r="E15" s="12"/>
      <c r="F15" s="12"/>
      <c r="G15" s="17"/>
      <c r="H15" s="16"/>
    </row>
    <row r="16" ht="12.75" customHeight="1">
      <c r="A16" s="1"/>
      <c r="B16" s="12"/>
      <c r="C16" s="12"/>
      <c r="D16" s="12" t="s">
        <v>10</v>
      </c>
      <c r="E16" s="12"/>
      <c r="F16" s="12"/>
      <c r="G16" s="17">
        <f>((G12*G14)/365)*90</f>
        <v>388.8498132</v>
      </c>
      <c r="H16" s="16"/>
    </row>
    <row r="17" ht="12.75" customHeight="1">
      <c r="A17" s="1"/>
      <c r="B17" s="12"/>
      <c r="C17" s="12"/>
      <c r="D17" s="12"/>
      <c r="E17" s="12"/>
      <c r="F17" s="12"/>
      <c r="G17" s="17"/>
      <c r="H17" s="16"/>
    </row>
    <row r="18" ht="12.75" customHeight="1">
      <c r="A18" s="1"/>
      <c r="B18" s="12" t="s">
        <v>11</v>
      </c>
      <c r="C18" s="12"/>
      <c r="D18" s="12" t="s">
        <v>6</v>
      </c>
      <c r="E18" s="12"/>
      <c r="F18" s="12"/>
      <c r="G18" s="17">
        <f>G12-G4</f>
        <v>45316.17</v>
      </c>
      <c r="H18" s="16"/>
    </row>
    <row r="19" ht="12.75" customHeight="1">
      <c r="A19" s="1"/>
      <c r="B19" s="12"/>
      <c r="C19" s="12"/>
      <c r="D19" s="12"/>
      <c r="E19" s="12"/>
      <c r="F19" s="12"/>
      <c r="G19" s="17"/>
      <c r="H19" s="16"/>
    </row>
    <row r="20" ht="12.75" customHeight="1">
      <c r="A20" s="1"/>
      <c r="B20" s="12"/>
      <c r="C20" s="12"/>
      <c r="D20" s="12" t="s">
        <v>7</v>
      </c>
      <c r="E20" s="12"/>
      <c r="F20" s="12"/>
      <c r="G20" s="13">
        <f>C4+F80</f>
        <v>0.028</v>
      </c>
      <c r="H20" s="19"/>
    </row>
    <row r="21" ht="12.75" customHeight="1">
      <c r="A21" s="1"/>
      <c r="B21" s="12"/>
      <c r="C21" s="12"/>
      <c r="D21" s="12"/>
      <c r="E21" s="12"/>
      <c r="F21" s="12"/>
      <c r="G21" s="17"/>
      <c r="H21" s="19"/>
    </row>
    <row r="22" ht="12.75" customHeight="1">
      <c r="A22" s="1"/>
      <c r="B22" s="12"/>
      <c r="C22" s="12"/>
      <c r="D22" s="12" t="s">
        <v>12</v>
      </c>
      <c r="E22" s="12"/>
      <c r="F22" s="12"/>
      <c r="G22" s="17">
        <f>((G18*G20)/365)*90</f>
        <v>312.8678038</v>
      </c>
      <c r="H22" s="19"/>
    </row>
    <row r="23" ht="12.75" customHeight="1">
      <c r="A23" s="1"/>
      <c r="B23" s="12"/>
      <c r="C23" s="12"/>
      <c r="D23" s="12"/>
      <c r="E23" s="12"/>
      <c r="F23" s="12"/>
      <c r="G23" s="17"/>
      <c r="H23" s="16"/>
    </row>
    <row r="24" ht="12.75" customHeight="1">
      <c r="A24" s="1"/>
      <c r="B24" s="12" t="s">
        <v>13</v>
      </c>
      <c r="C24" s="12"/>
      <c r="D24" s="12" t="s">
        <v>6</v>
      </c>
      <c r="E24" s="12"/>
      <c r="F24" s="12"/>
      <c r="G24" s="17">
        <f>G18-G4</f>
        <v>36252.96</v>
      </c>
      <c r="H24" s="20"/>
    </row>
    <row r="25" ht="12.75" customHeight="1">
      <c r="A25" s="1"/>
      <c r="B25" s="12"/>
      <c r="C25" s="12"/>
      <c r="D25" s="12"/>
      <c r="E25" s="12"/>
      <c r="F25" s="12"/>
      <c r="G25" s="17"/>
      <c r="H25" s="20"/>
    </row>
    <row r="26" ht="12.75" customHeight="1">
      <c r="A26" s="1"/>
      <c r="B26" s="12"/>
      <c r="C26" s="12"/>
      <c r="D26" s="12" t="s">
        <v>7</v>
      </c>
      <c r="E26" s="12"/>
      <c r="F26" s="12"/>
      <c r="G26" s="13">
        <f>G80+C4</f>
        <v>0.026</v>
      </c>
      <c r="H26" s="16"/>
    </row>
    <row r="27" ht="12.75" customHeight="1">
      <c r="A27" s="1"/>
      <c r="B27" s="12"/>
      <c r="C27" s="12"/>
      <c r="D27" s="12"/>
      <c r="E27" s="12"/>
      <c r="F27" s="12"/>
      <c r="G27" s="17"/>
      <c r="H27" s="16"/>
    </row>
    <row r="28" ht="12.75" customHeight="1">
      <c r="A28" s="1"/>
      <c r="B28" s="12"/>
      <c r="C28" s="12"/>
      <c r="D28" s="12" t="s">
        <v>14</v>
      </c>
      <c r="E28" s="12"/>
      <c r="F28" s="12"/>
      <c r="G28" s="17">
        <f>((G24*G26)/365)*90</f>
        <v>232.4162367</v>
      </c>
      <c r="H28" s="16"/>
    </row>
    <row r="29" ht="12.75" customHeight="1">
      <c r="A29" s="1"/>
      <c r="B29" s="12"/>
      <c r="C29" s="12"/>
      <c r="D29" s="12"/>
      <c r="E29" s="12"/>
      <c r="F29" s="12"/>
      <c r="G29" s="17"/>
      <c r="H29" s="16"/>
    </row>
    <row r="30" ht="12.75" customHeight="1">
      <c r="A30" s="1"/>
      <c r="B30" s="12"/>
      <c r="C30" s="21"/>
      <c r="D30" s="21"/>
      <c r="E30" s="21"/>
      <c r="F30" s="22" t="s">
        <v>15</v>
      </c>
      <c r="G30" s="15">
        <f>G10+G16+G22+G28</f>
        <v>1419.078583</v>
      </c>
      <c r="H30" s="16"/>
    </row>
    <row r="31" ht="12.75" customHeight="1">
      <c r="A31" s="1"/>
      <c r="B31" s="12"/>
      <c r="C31" s="21"/>
      <c r="D31" s="21"/>
      <c r="E31" s="21"/>
      <c r="F31" s="22" t="s">
        <v>16</v>
      </c>
      <c r="G31" s="15">
        <f>G4*4</f>
        <v>36252.84</v>
      </c>
      <c r="H31" s="16"/>
    </row>
    <row r="32" ht="12.75" customHeight="1">
      <c r="A32" s="1"/>
      <c r="B32" s="23"/>
      <c r="C32" s="24"/>
      <c r="D32" s="24"/>
      <c r="E32" s="24"/>
      <c r="F32" s="24"/>
      <c r="G32" s="25"/>
      <c r="H32" s="16"/>
    </row>
    <row r="33" ht="13.5" customHeight="1">
      <c r="A33" s="1"/>
      <c r="B33" s="23"/>
      <c r="C33" s="24"/>
      <c r="D33" s="24"/>
      <c r="E33" s="24"/>
      <c r="F33" s="24"/>
      <c r="G33" s="25"/>
      <c r="H33" s="16"/>
    </row>
    <row r="34" ht="13.5" customHeight="1">
      <c r="A34" s="1"/>
      <c r="B34" s="6" t="s">
        <v>17</v>
      </c>
      <c r="C34" s="7"/>
      <c r="D34" s="26">
        <v>2051624.51</v>
      </c>
      <c r="E34" s="27"/>
      <c r="F34" s="10"/>
      <c r="G34" s="11"/>
      <c r="H34" s="1"/>
    </row>
    <row r="35" ht="12.75" customHeight="1">
      <c r="A35" s="1"/>
      <c r="B35" s="12" t="s">
        <v>2</v>
      </c>
      <c r="C35" s="13">
        <v>0.0035</v>
      </c>
      <c r="D35" s="14" t="s">
        <v>3</v>
      </c>
      <c r="E35" s="10"/>
      <c r="F35" s="15"/>
      <c r="G35" s="11">
        <f>D34/40</f>
        <v>51290.61275</v>
      </c>
      <c r="H35" s="1"/>
    </row>
    <row r="36" ht="12.75" customHeight="1">
      <c r="A36" s="1"/>
      <c r="B36" s="12" t="s">
        <v>4</v>
      </c>
      <c r="C36" s="12"/>
      <c r="D36" s="12"/>
      <c r="E36" s="12"/>
      <c r="F36" s="12"/>
      <c r="G36" s="17"/>
      <c r="H36" s="1"/>
    </row>
    <row r="37" ht="12.75" customHeight="1">
      <c r="A37" s="1"/>
      <c r="B37" s="12" t="s">
        <v>5</v>
      </c>
      <c r="C37" s="12"/>
      <c r="D37" s="12" t="s">
        <v>6</v>
      </c>
      <c r="E37" s="12"/>
      <c r="F37" s="12"/>
      <c r="G37" s="18">
        <v>615487.39</v>
      </c>
      <c r="H37" s="1"/>
    </row>
    <row r="38" ht="12.75" customHeight="1">
      <c r="A38" s="1"/>
      <c r="B38" s="12"/>
      <c r="C38" s="12"/>
      <c r="D38" s="12"/>
      <c r="E38" s="12"/>
      <c r="F38" s="12"/>
      <c r="G38" s="17"/>
      <c r="H38" s="1"/>
    </row>
    <row r="39" ht="12.75" customHeight="1">
      <c r="A39" s="1"/>
      <c r="B39" s="12"/>
      <c r="C39" s="12"/>
      <c r="D39" s="12" t="s">
        <v>18</v>
      </c>
      <c r="E39" s="12"/>
      <c r="F39" s="12"/>
      <c r="G39" s="13">
        <f>C35+D80</f>
        <v>0.0285</v>
      </c>
      <c r="H39" s="1"/>
    </row>
    <row r="40" ht="12.75" customHeight="1">
      <c r="A40" s="1"/>
      <c r="B40" s="12"/>
      <c r="C40" s="12"/>
      <c r="D40" s="12"/>
      <c r="E40" s="12"/>
      <c r="F40" s="12"/>
      <c r="G40" s="17"/>
      <c r="H40" s="1"/>
    </row>
    <row r="41" ht="12.75" customHeight="1">
      <c r="A41" s="1"/>
      <c r="B41" s="12"/>
      <c r="C41" s="12"/>
      <c r="D41" s="12" t="s">
        <v>8</v>
      </c>
      <c r="E41" s="12"/>
      <c r="F41" s="12"/>
      <c r="G41" s="17">
        <f>G37*G39*90/365</f>
        <v>4325.274398</v>
      </c>
      <c r="H41" s="1"/>
    </row>
    <row r="42" ht="12.75" customHeight="1">
      <c r="A42" s="1"/>
      <c r="B42" s="12"/>
      <c r="C42" s="12"/>
      <c r="D42" s="12"/>
      <c r="E42" s="12"/>
      <c r="F42" s="12"/>
      <c r="G42" s="17"/>
      <c r="H42" s="1"/>
    </row>
    <row r="43" ht="12.75" customHeight="1">
      <c r="A43" s="1"/>
      <c r="B43" s="12" t="s">
        <v>9</v>
      </c>
      <c r="C43" s="12"/>
      <c r="D43" s="12" t="s">
        <v>6</v>
      </c>
      <c r="E43" s="12"/>
      <c r="F43" s="12"/>
      <c r="G43" s="18">
        <f>G37-G35</f>
        <v>564196.7773</v>
      </c>
      <c r="H43" s="1"/>
    </row>
    <row r="44" ht="12.75" customHeight="1">
      <c r="A44" s="1"/>
      <c r="B44" s="12"/>
      <c r="C44" s="12"/>
      <c r="D44" s="12"/>
      <c r="E44" s="12"/>
      <c r="F44" s="12"/>
      <c r="G44" s="17"/>
      <c r="H44" s="1"/>
    </row>
    <row r="45" ht="12.75" customHeight="1">
      <c r="A45" s="1"/>
      <c r="B45" s="12"/>
      <c r="C45" s="12"/>
      <c r="D45" s="12" t="s">
        <v>18</v>
      </c>
      <c r="E45" s="12"/>
      <c r="F45" s="12"/>
      <c r="G45" s="13">
        <f>C35+E80</f>
        <v>0.0265</v>
      </c>
      <c r="H45" s="1"/>
    </row>
    <row r="46" ht="12.75" customHeight="1">
      <c r="A46" s="1"/>
      <c r="B46" s="12"/>
      <c r="C46" s="12"/>
      <c r="D46" s="12"/>
      <c r="E46" s="12"/>
      <c r="F46" s="12"/>
      <c r="G46" s="17"/>
      <c r="H46" s="1"/>
    </row>
    <row r="47" ht="12.75" customHeight="1">
      <c r="A47" s="1"/>
      <c r="B47" s="12"/>
      <c r="C47" s="12"/>
      <c r="D47" s="12" t="s">
        <v>10</v>
      </c>
      <c r="E47" s="12"/>
      <c r="F47" s="12"/>
      <c r="G47" s="17">
        <f>G43*G45*90/365</f>
        <v>3686.60086</v>
      </c>
      <c r="H47" s="1"/>
    </row>
    <row r="48" ht="12.75" customHeight="1">
      <c r="A48" s="1"/>
      <c r="B48" s="12"/>
      <c r="C48" s="12"/>
      <c r="D48" s="12"/>
      <c r="E48" s="12"/>
      <c r="F48" s="12"/>
      <c r="G48" s="17"/>
      <c r="H48" s="1"/>
    </row>
    <row r="49" ht="12.75" customHeight="1">
      <c r="A49" s="1"/>
      <c r="B49" s="12" t="s">
        <v>11</v>
      </c>
      <c r="C49" s="12"/>
      <c r="D49" s="12" t="s">
        <v>6</v>
      </c>
      <c r="E49" s="12"/>
      <c r="F49" s="12"/>
      <c r="G49" s="17">
        <f>G43-G35</f>
        <v>512906.1645</v>
      </c>
      <c r="H49" s="1"/>
    </row>
    <row r="50" ht="12.75" customHeight="1">
      <c r="A50" s="1"/>
      <c r="B50" s="12"/>
      <c r="C50" s="12"/>
      <c r="D50" s="12"/>
      <c r="E50" s="12"/>
      <c r="F50" s="12"/>
      <c r="G50" s="17"/>
      <c r="H50" s="1"/>
    </row>
    <row r="51" ht="12.75" customHeight="1">
      <c r="A51" s="1"/>
      <c r="B51" s="12"/>
      <c r="C51" s="12"/>
      <c r="D51" s="12" t="s">
        <v>18</v>
      </c>
      <c r="E51" s="12"/>
      <c r="F51" s="12"/>
      <c r="G51" s="13">
        <f>C35+F80</f>
        <v>0.0255</v>
      </c>
      <c r="H51" s="1"/>
    </row>
    <row r="52" ht="12.75" customHeight="1">
      <c r="A52" s="1"/>
      <c r="B52" s="12"/>
      <c r="C52" s="12"/>
      <c r="D52" s="12"/>
      <c r="E52" s="12"/>
      <c r="F52" s="12"/>
      <c r="G52" s="17"/>
      <c r="H52" s="1"/>
    </row>
    <row r="53" ht="12.75" customHeight="1">
      <c r="A53" s="1"/>
      <c r="B53" s="12"/>
      <c r="C53" s="12"/>
      <c r="D53" s="12" t="s">
        <v>12</v>
      </c>
      <c r="E53" s="12"/>
      <c r="F53" s="12"/>
      <c r="G53" s="17">
        <f>G49*G51*90/365</f>
        <v>3224.985336</v>
      </c>
      <c r="H53" s="1"/>
    </row>
    <row r="54" ht="12.75" customHeight="1">
      <c r="A54" s="1"/>
      <c r="B54" s="12"/>
      <c r="C54" s="12"/>
      <c r="D54" s="12"/>
      <c r="E54" s="12"/>
      <c r="F54" s="12"/>
      <c r="G54" s="17"/>
      <c r="H54" s="1"/>
    </row>
    <row r="55" ht="12.75" customHeight="1">
      <c r="A55" s="1"/>
      <c r="B55" s="12" t="s">
        <v>13</v>
      </c>
      <c r="C55" s="12"/>
      <c r="D55" s="12" t="s">
        <v>6</v>
      </c>
      <c r="E55" s="12"/>
      <c r="F55" s="12"/>
      <c r="G55" s="17">
        <f>G49-G35</f>
        <v>461615.5518</v>
      </c>
      <c r="H55" s="1"/>
    </row>
    <row r="56" ht="12.75" customHeight="1">
      <c r="A56" s="1"/>
      <c r="B56" s="12"/>
      <c r="C56" s="12"/>
      <c r="D56" s="12"/>
      <c r="E56" s="12"/>
      <c r="F56" s="12"/>
      <c r="G56" s="17"/>
      <c r="H56" s="1"/>
    </row>
    <row r="57" ht="12.75" customHeight="1">
      <c r="A57" s="1"/>
      <c r="B57" s="12"/>
      <c r="C57" s="12"/>
      <c r="D57" s="12" t="s">
        <v>18</v>
      </c>
      <c r="E57" s="12"/>
      <c r="F57" s="12"/>
      <c r="G57" s="13">
        <f>C35+G80</f>
        <v>0.0235</v>
      </c>
      <c r="H57" s="1"/>
    </row>
    <row r="58" ht="12.75" customHeight="1">
      <c r="A58" s="1"/>
      <c r="B58" s="12"/>
      <c r="C58" s="12"/>
      <c r="D58" s="12"/>
      <c r="E58" s="12"/>
      <c r="F58" s="12"/>
      <c r="G58" s="17"/>
      <c r="H58" s="1"/>
    </row>
    <row r="59" ht="12.75" customHeight="1">
      <c r="A59" s="1"/>
      <c r="B59" s="12"/>
      <c r="C59" s="12"/>
      <c r="D59" s="12" t="s">
        <v>14</v>
      </c>
      <c r="E59" s="12"/>
      <c r="F59" s="12"/>
      <c r="G59" s="17">
        <f>G55*G57*90/365</f>
        <v>2674.8408</v>
      </c>
      <c r="H59" s="1"/>
    </row>
    <row r="60" ht="12.75" customHeight="1">
      <c r="A60" s="1"/>
      <c r="B60" s="12"/>
      <c r="C60" s="12"/>
      <c r="D60" s="12"/>
      <c r="E60" s="12"/>
      <c r="F60" s="12"/>
      <c r="G60" s="17"/>
      <c r="H60" s="1"/>
    </row>
    <row r="61" ht="12.75" customHeight="1">
      <c r="A61" s="1"/>
      <c r="B61" s="12"/>
      <c r="C61" s="10"/>
      <c r="D61" s="21"/>
      <c r="E61" s="21"/>
      <c r="F61" s="22" t="s">
        <v>19</v>
      </c>
      <c r="G61" s="15">
        <f>G41+G47+G53+G59</f>
        <v>13911.70139</v>
      </c>
      <c r="H61" s="1"/>
    </row>
    <row r="62" ht="12.75" customHeight="1">
      <c r="A62" s="1"/>
      <c r="B62" s="12"/>
      <c r="C62" s="10"/>
      <c r="D62" s="21"/>
      <c r="E62" s="21"/>
      <c r="F62" s="22" t="s">
        <v>20</v>
      </c>
      <c r="G62" s="15">
        <f>G35*4</f>
        <v>205162.451</v>
      </c>
      <c r="H62" s="1"/>
    </row>
    <row r="63" ht="13.5" customHeight="1">
      <c r="A63" s="1"/>
      <c r="B63" s="16"/>
      <c r="C63" s="1"/>
      <c r="D63" s="24"/>
      <c r="E63" s="24"/>
      <c r="F63" s="28"/>
      <c r="G63" s="25"/>
      <c r="H63" s="1"/>
    </row>
    <row r="64" ht="13.5" customHeight="1">
      <c r="A64" s="1"/>
      <c r="B64" s="7" t="s">
        <v>21</v>
      </c>
      <c r="C64" s="7"/>
      <c r="D64" s="8">
        <v>2906376.85</v>
      </c>
      <c r="E64" s="29"/>
      <c r="F64" s="30" t="s">
        <v>22</v>
      </c>
      <c r="G64" s="31">
        <v>44926.0</v>
      </c>
      <c r="H64" s="1"/>
    </row>
    <row r="65" ht="12.75" customHeight="1">
      <c r="A65" s="1"/>
      <c r="B65" s="12" t="s">
        <v>2</v>
      </c>
      <c r="C65" s="13">
        <v>0.0026</v>
      </c>
      <c r="D65" s="15"/>
      <c r="E65" s="10"/>
      <c r="F65" s="32"/>
      <c r="G65" s="33"/>
      <c r="H65" s="1"/>
    </row>
    <row r="66" ht="12.75" customHeight="1">
      <c r="A66" s="1"/>
      <c r="B66" s="12" t="s">
        <v>23</v>
      </c>
      <c r="C66" s="12"/>
      <c r="D66" s="15"/>
      <c r="E66" s="10"/>
      <c r="F66" s="32"/>
      <c r="G66" s="33"/>
      <c r="H66" s="1"/>
    </row>
    <row r="67" ht="12.75" customHeight="1">
      <c r="A67" s="1"/>
      <c r="B67" s="34"/>
      <c r="C67" s="12"/>
      <c r="D67" s="12" t="s">
        <v>6</v>
      </c>
      <c r="E67" s="12"/>
      <c r="F67" s="12"/>
      <c r="G67" s="18">
        <v>2034463.8</v>
      </c>
      <c r="H67" s="1"/>
    </row>
    <row r="68" ht="12.75" customHeight="1">
      <c r="A68" s="1"/>
      <c r="B68" s="12"/>
      <c r="C68" s="12"/>
      <c r="D68" s="12" t="s">
        <v>24</v>
      </c>
      <c r="E68" s="12"/>
      <c r="F68" s="12"/>
      <c r="G68" s="17">
        <f>D64/10</f>
        <v>290637.685</v>
      </c>
      <c r="H68" s="1"/>
    </row>
    <row r="69" ht="12.75" customHeight="1">
      <c r="A69" s="1"/>
      <c r="B69" s="12"/>
      <c r="C69" s="10"/>
      <c r="D69" s="21"/>
      <c r="E69" s="21"/>
      <c r="F69" s="22" t="s">
        <v>19</v>
      </c>
      <c r="G69" s="15">
        <f>G67*(B79+C65)</f>
        <v>50047.80948</v>
      </c>
      <c r="H69" s="1"/>
    </row>
    <row r="70" ht="12.75" customHeight="1">
      <c r="A70" s="1"/>
      <c r="B70" s="12"/>
      <c r="C70" s="10"/>
      <c r="D70" s="21"/>
      <c r="E70" s="21"/>
      <c r="F70" s="22" t="s">
        <v>20</v>
      </c>
      <c r="G70" s="15">
        <f>D64/10</f>
        <v>290637.685</v>
      </c>
      <c r="H70" s="1"/>
    </row>
    <row r="71" ht="13.5" customHeight="1">
      <c r="A71" s="1"/>
      <c r="B71" s="1"/>
      <c r="C71" s="1"/>
      <c r="D71" s="1"/>
      <c r="E71" s="1"/>
      <c r="F71" s="1"/>
      <c r="G71" s="35"/>
      <c r="H71" s="1"/>
    </row>
    <row r="72" ht="13.5" customHeight="1">
      <c r="A72" s="1"/>
      <c r="B72" s="1"/>
      <c r="C72" s="36"/>
      <c r="D72" s="37"/>
      <c r="E72" s="37"/>
      <c r="F72" s="38" t="s">
        <v>25</v>
      </c>
      <c r="G72" s="39">
        <f t="shared" ref="G72:G73" si="1">G30+G61+G69</f>
        <v>65378.58946</v>
      </c>
      <c r="H72" s="1"/>
    </row>
    <row r="73" ht="13.5" customHeight="1">
      <c r="A73" s="1"/>
      <c r="B73" s="1"/>
      <c r="C73" s="36"/>
      <c r="D73" s="37"/>
      <c r="E73" s="37"/>
      <c r="F73" s="38" t="s">
        <v>26</v>
      </c>
      <c r="G73" s="39">
        <f t="shared" si="1"/>
        <v>532052.976</v>
      </c>
      <c r="H73" s="1"/>
    </row>
    <row r="74" ht="12.75" customHeight="1">
      <c r="A74" s="1"/>
      <c r="B74" s="1"/>
      <c r="C74" s="1"/>
      <c r="D74" s="1"/>
      <c r="E74" s="1"/>
      <c r="F74" s="1"/>
      <c r="G74" s="1"/>
      <c r="H74" s="1"/>
    </row>
    <row r="75" ht="12.75" customHeight="1">
      <c r="A75" s="1"/>
      <c r="B75" s="1"/>
      <c r="C75" s="1"/>
      <c r="D75" s="1"/>
      <c r="E75" s="1"/>
      <c r="F75" s="1"/>
      <c r="G75" s="1"/>
      <c r="H75" s="1"/>
    </row>
    <row r="76" ht="12.75" customHeight="1">
      <c r="A76" s="1"/>
      <c r="B76" s="1"/>
      <c r="C76" s="1"/>
      <c r="D76" s="1"/>
      <c r="E76" s="1"/>
      <c r="F76" s="1"/>
      <c r="G76" s="1"/>
      <c r="H76" s="1"/>
    </row>
    <row r="77" ht="14.25" customHeight="1">
      <c r="A77" s="1"/>
      <c r="B77" s="40" t="s">
        <v>27</v>
      </c>
      <c r="C77" s="1"/>
      <c r="D77" s="1"/>
      <c r="E77" s="1"/>
      <c r="F77" s="1"/>
      <c r="G77" s="1"/>
      <c r="H77" s="1"/>
    </row>
    <row r="78" ht="14.25" customHeight="1">
      <c r="A78" s="1"/>
      <c r="B78" s="41" t="s">
        <v>28</v>
      </c>
      <c r="C78" s="42"/>
      <c r="D78" s="43" t="s">
        <v>29</v>
      </c>
      <c r="E78" s="42"/>
      <c r="F78" s="42"/>
      <c r="G78" s="44"/>
      <c r="H78" s="1"/>
    </row>
    <row r="79" ht="12.75" customHeight="1">
      <c r="A79" s="1"/>
      <c r="B79" s="45">
        <v>0.022</v>
      </c>
      <c r="C79" s="46"/>
      <c r="D79" s="47" t="s">
        <v>30</v>
      </c>
      <c r="E79" s="47" t="s">
        <v>31</v>
      </c>
      <c r="F79" s="47" t="s">
        <v>32</v>
      </c>
      <c r="G79" s="48" t="s">
        <v>33</v>
      </c>
      <c r="H79" s="1"/>
    </row>
    <row r="80" ht="12.75" customHeight="1">
      <c r="A80" s="49"/>
      <c r="B80" s="50"/>
      <c r="D80" s="50">
        <v>0.025</v>
      </c>
      <c r="E80" s="50">
        <v>0.023</v>
      </c>
      <c r="F80" s="50">
        <v>0.022</v>
      </c>
      <c r="G80" s="50">
        <v>0.02</v>
      </c>
      <c r="H80" s="49"/>
    </row>
    <row r="81" ht="12.75" customHeight="1">
      <c r="A81" s="1"/>
      <c r="B81" s="51"/>
      <c r="C81" s="1"/>
      <c r="D81" s="50"/>
      <c r="E81" s="1"/>
      <c r="F81" s="52"/>
      <c r="G81" s="1"/>
      <c r="H81" s="1"/>
    </row>
    <row r="82" ht="13.5" customHeight="1">
      <c r="A82" s="53"/>
      <c r="B82" s="54" t="s">
        <v>34</v>
      </c>
      <c r="C82" s="55"/>
      <c r="D82" s="56">
        <v>1.1E7</v>
      </c>
      <c r="E82" s="57"/>
      <c r="F82" s="58" t="s">
        <v>22</v>
      </c>
      <c r="G82" s="59">
        <v>46387.0</v>
      </c>
      <c r="H82" s="53"/>
    </row>
    <row r="83" ht="12.75" customHeight="1">
      <c r="A83" s="53"/>
      <c r="B83" s="16" t="s">
        <v>2</v>
      </c>
      <c r="C83" s="60">
        <v>0.003</v>
      </c>
      <c r="D83" s="25"/>
      <c r="E83" s="1"/>
      <c r="F83" s="61"/>
      <c r="G83" s="62"/>
      <c r="H83" s="53"/>
    </row>
    <row r="84" ht="12.75" customHeight="1">
      <c r="A84" s="53"/>
      <c r="B84" s="16" t="s">
        <v>23</v>
      </c>
      <c r="C84" s="16"/>
      <c r="D84" s="25"/>
      <c r="E84" s="1"/>
      <c r="F84" s="61"/>
      <c r="G84" s="62"/>
      <c r="H84" s="53"/>
    </row>
    <row r="85" ht="12.75" customHeight="1">
      <c r="A85" s="53"/>
      <c r="B85" s="63"/>
      <c r="C85" s="16"/>
      <c r="D85" s="16" t="s">
        <v>6</v>
      </c>
      <c r="E85" s="16"/>
      <c r="F85" s="16"/>
      <c r="G85" s="35">
        <v>1.1E7</v>
      </c>
      <c r="H85" s="53"/>
    </row>
    <row r="86" ht="12.75" customHeight="1">
      <c r="A86" s="53"/>
      <c r="B86" s="16"/>
      <c r="C86" s="16"/>
      <c r="D86" s="16" t="s">
        <v>24</v>
      </c>
      <c r="E86" s="16"/>
      <c r="F86" s="16"/>
      <c r="G86" s="20">
        <f>D82/10</f>
        <v>1100000</v>
      </c>
      <c r="H86" s="53"/>
    </row>
    <row r="87" ht="12.75" customHeight="1">
      <c r="A87" s="53"/>
      <c r="B87" s="16"/>
      <c r="C87" s="1"/>
      <c r="D87" s="24"/>
      <c r="E87" s="24"/>
      <c r="F87" s="64" t="s">
        <v>35</v>
      </c>
      <c r="G87" s="25">
        <f>G85*(C83+B79)</f>
        <v>275000</v>
      </c>
      <c r="H87" s="53"/>
    </row>
    <row r="88" ht="12.75" customHeight="1">
      <c r="A88" s="53"/>
      <c r="B88" s="16"/>
      <c r="C88" s="1"/>
      <c r="D88" s="24"/>
      <c r="E88" s="24"/>
      <c r="F88" s="64" t="s">
        <v>36</v>
      </c>
      <c r="G88" s="25">
        <v>0.0</v>
      </c>
      <c r="H88" s="53"/>
    </row>
    <row r="89" ht="13.5" customHeight="1">
      <c r="A89" s="53"/>
      <c r="B89" s="1"/>
      <c r="C89" s="1"/>
      <c r="D89" s="1"/>
      <c r="E89" s="1"/>
      <c r="F89" s="1"/>
      <c r="G89" s="35"/>
      <c r="H89" s="53"/>
    </row>
    <row r="90" ht="13.5" customHeight="1">
      <c r="A90" s="53"/>
      <c r="B90" s="1"/>
      <c r="C90" s="36"/>
      <c r="D90" s="37"/>
      <c r="E90" s="37"/>
      <c r="F90" s="38" t="s">
        <v>25</v>
      </c>
      <c r="G90" s="39">
        <f>G30+G61+G72+G87</f>
        <v>355709.3694</v>
      </c>
      <c r="H90" s="53"/>
    </row>
    <row r="91" ht="13.5" customHeight="1">
      <c r="A91" s="53"/>
      <c r="B91" s="1"/>
      <c r="C91" s="36"/>
      <c r="D91" s="37"/>
      <c r="E91" s="37"/>
      <c r="F91" s="38" t="s">
        <v>26</v>
      </c>
      <c r="G91" s="39">
        <f>G31+G62+G70+G88</f>
        <v>532052.976</v>
      </c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5.75" customHeight="1"/>
    <row r="96" ht="15.75" customHeight="1"/>
    <row r="97" ht="15.75" customHeight="1"/>
  </sheetData>
  <mergeCells count="5">
    <mergeCell ref="C1:F1"/>
    <mergeCell ref="B78:C78"/>
    <mergeCell ref="D78:G78"/>
    <mergeCell ref="B79:C79"/>
    <mergeCell ref="B80:C80"/>
  </mergeCells>
  <printOptions/>
  <pageMargins bottom="0.75" footer="0.0" header="0.0" left="0.7" right="0.7" top="0.75"/>
  <pageSetup fitToHeight="0" paperSize="9" orientation="portrait"/>
  <headerFooter>
    <oddHeader>&amp;LA13.2 Carga financiera</oddHeader>
    <oddFooter>&amp;CPresupuesto Ayuntamiento Aranda de Duero 2026</oddFooter>
  </headerFooter>
  <drawing r:id="rId1"/>
  <tableParts count="3">
    <tablePart r:id="rId5"/>
    <tablePart r:id="rId6"/>
    <tablePart r:id="rId7"/>
  </tableParts>
</worksheet>
</file>