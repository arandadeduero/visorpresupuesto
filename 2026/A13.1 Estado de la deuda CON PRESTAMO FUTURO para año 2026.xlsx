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ORTIZACIONES" sheetId="1" r:id="rId5"/>
  </sheets>
  <definedNames/>
  <calcPr/>
</workbook>
</file>

<file path=xl/sharedStrings.xml><?xml version="1.0" encoding="utf-8"?>
<sst xmlns="http://schemas.openxmlformats.org/spreadsheetml/2006/main" count="33" uniqueCount="31">
  <si>
    <t>ANEXO DE DEUDA</t>
  </si>
  <si>
    <t xml:space="preserve">             PRÉSTAMOS A LARGO PLAZO EN VIGOR A 01/01/2026</t>
  </si>
  <si>
    <t>FECHA</t>
  </si>
  <si>
    <t>ENTIDAD</t>
  </si>
  <si>
    <t>IMPORTE</t>
  </si>
  <si>
    <t>PRIMERA AMORTIZ.</t>
  </si>
  <si>
    <t>ULTIMA AMORTIZ.</t>
  </si>
  <si>
    <t>TIPO DE INTERÉS</t>
  </si>
  <si>
    <t>AMORT.</t>
  </si>
  <si>
    <t>DEUDA VIVA 01/01/2023</t>
  </si>
  <si>
    <t xml:space="preserve">AMORTIZ. 2023 </t>
  </si>
  <si>
    <t>DEUDA VIVA 31/12/2023</t>
  </si>
  <si>
    <t>DEUDA VIVA 01/01/2024</t>
  </si>
  <si>
    <t>AMORTIZ. 2024</t>
  </si>
  <si>
    <t>DEUDA VIVA 31/12/2024</t>
  </si>
  <si>
    <t>DEUDA VIVA 01/01/2025</t>
  </si>
  <si>
    <t>AMORTIZ. 2025</t>
  </si>
  <si>
    <t>DEUDA VIVA 31/12/2025</t>
  </si>
  <si>
    <t>DEUDA VIVA 01/01/2026</t>
  </si>
  <si>
    <t>AMORTIZ. 2026</t>
  </si>
  <si>
    <t>DEUDA VIVA 31/12/2026</t>
  </si>
  <si>
    <t>BANKIA</t>
  </si>
  <si>
    <t>EURIBOR TRIM. +0,600%</t>
  </si>
  <si>
    <t>CTE. TRIM.</t>
  </si>
  <si>
    <t>UNICAJA BANCO</t>
  </si>
  <si>
    <t>EURIBOR TRIM. +0,350%</t>
  </si>
  <si>
    <t>CAJA LABORAL</t>
  </si>
  <si>
    <t>EURIBOR ANUAL + 0,26%</t>
  </si>
  <si>
    <t>CTE. ANUAL</t>
  </si>
  <si>
    <t>******</t>
  </si>
  <si>
    <t>EURIBOR ANUAL + 0,5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</si>
</sst>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0\ &quot;€&quot;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8.0"/>
      <color theme="1"/>
      <name val="Arial"/>
    </font>
    <font/>
    <font>
      <sz val="6.0"/>
      <color theme="1"/>
      <name val="Arial"/>
    </font>
    <font>
      <b/>
      <sz val="6.0"/>
      <color theme="1"/>
      <name val="Arial"/>
    </font>
    <font>
      <sz val="7.0"/>
      <color theme="1"/>
      <name val="Arial"/>
    </font>
    <font>
      <b/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0" fillId="0" fontId="2" numFmtId="0" xfId="0" applyAlignment="1" applyFont="1">
      <alignment horizontal="center" vertical="center"/>
    </xf>
    <xf borderId="0" fillId="0" fontId="3" numFmtId="0" xfId="0" applyFont="1"/>
    <xf borderId="1" fillId="2" fontId="2" numFmtId="3" xfId="0" applyAlignment="1" applyBorder="1" applyFill="1" applyFont="1" applyNumberFormat="1">
      <alignment horizontal="center"/>
    </xf>
    <xf borderId="2" fillId="3" fontId="4" numFmtId="0" xfId="0" applyBorder="1" applyFill="1" applyFont="1"/>
    <xf borderId="3" fillId="3" fontId="4" numFmtId="0" xfId="0" applyBorder="1" applyFill="1" applyFont="1"/>
    <xf borderId="0" fillId="0" fontId="5" numFmtId="0" xfId="0" applyFont="1"/>
    <xf borderId="4" fillId="2" fontId="6" numFmtId="3" xfId="0" applyAlignment="1" applyBorder="1" applyFill="1" applyFont="1" applyNumberFormat="1">
      <alignment horizontal="center" vertical="center"/>
    </xf>
    <xf borderId="5" fillId="2" fontId="6" numFmtId="3" xfId="0" applyAlignment="1" applyBorder="1" applyFill="1" applyFont="1" applyNumberFormat="1">
      <alignment horizontal="center" vertical="center"/>
    </xf>
    <xf borderId="5" fillId="2" fontId="6" numFmtId="3" xfId="0" applyAlignment="1" applyBorder="1" applyFill="1" applyFont="1" applyNumberFormat="1">
      <alignment horizontal="center" shrinkToFit="0" vertical="center" wrapText="1"/>
    </xf>
    <xf borderId="5" fillId="2" fontId="6" numFmtId="4" xfId="0" applyAlignment="1" applyBorder="1" applyFill="1" applyFont="1" applyNumberFormat="1">
      <alignment horizontal="center" vertical="center"/>
    </xf>
    <xf borderId="6" fillId="2" fontId="6" numFmtId="3" xfId="0" applyAlignment="1" applyBorder="1" applyFill="1" applyFont="1" applyNumberFormat="1">
      <alignment horizontal="center" shrinkToFit="0" vertical="center" wrapText="1"/>
    </xf>
    <xf borderId="4" fillId="2" fontId="6" numFmtId="3" xfId="0" applyAlignment="1" applyBorder="1" applyFill="1" applyFont="1" applyNumberFormat="1">
      <alignment horizontal="center" shrinkToFit="0" vertical="center" wrapText="1"/>
    </xf>
    <xf borderId="7" fillId="2" fontId="6" numFmtId="3" xfId="0" applyAlignment="1" applyBorder="1" applyFill="1" applyFont="1" applyNumberFormat="1">
      <alignment horizontal="center" shrinkToFit="0" vertical="center" wrapText="1"/>
    </xf>
    <xf borderId="8" fillId="2" fontId="3" numFmtId="164" xfId="0" applyAlignment="1" applyBorder="1" applyFill="1" applyFont="1" applyNumberFormat="1">
      <alignment horizontal="center"/>
    </xf>
    <xf borderId="9" fillId="2" fontId="7" numFmtId="3" xfId="0" applyAlignment="1" applyBorder="1" applyFill="1" applyFont="1" applyNumberFormat="1">
      <alignment horizontal="center" vertical="center"/>
    </xf>
    <xf borderId="10" fillId="2" fontId="3" numFmtId="3" xfId="0" applyAlignment="1" applyBorder="1" applyFill="1" applyFont="1" applyNumberFormat="1">
      <alignment horizontal="center"/>
    </xf>
    <xf borderId="9" fillId="2" fontId="3" numFmtId="3" xfId="0" applyAlignment="1" applyBorder="1" applyFill="1" applyFont="1" applyNumberFormat="1">
      <alignment horizontal="center" shrinkToFit="0" wrapText="1"/>
    </xf>
    <xf borderId="10" fillId="2" fontId="3" numFmtId="164" xfId="0" applyAlignment="1" applyBorder="1" applyFill="1" applyFont="1" applyNumberFormat="1">
      <alignment horizontal="center"/>
    </xf>
    <xf borderId="9" fillId="2" fontId="3" numFmtId="0" xfId="0" applyAlignment="1" applyBorder="1" applyFill="1" applyFont="1">
      <alignment horizontal="left"/>
    </xf>
    <xf borderId="10" fillId="2" fontId="3" numFmtId="0" xfId="0" applyAlignment="1" applyBorder="1" applyFill="1" applyFont="1">
      <alignment horizontal="center"/>
    </xf>
    <xf borderId="9" fillId="2" fontId="3" numFmtId="4" xfId="0" applyAlignment="1" applyBorder="1" applyFill="1" applyFont="1" applyNumberFormat="1">
      <alignment horizontal="center"/>
    </xf>
    <xf borderId="9" fillId="2" fontId="3" numFmtId="4" xfId="0" applyBorder="1" applyFill="1" applyFont="1" applyNumberFormat="1"/>
    <xf borderId="11" fillId="2" fontId="3" numFmtId="4" xfId="0" applyBorder="1" applyFill="1" applyFont="1" applyNumberFormat="1"/>
    <xf borderId="12" fillId="2" fontId="3" numFmtId="3" xfId="0" applyAlignment="1" applyBorder="1" applyFill="1" applyFont="1" applyNumberFormat="1">
      <alignment horizontal="center"/>
    </xf>
    <xf borderId="13" fillId="2" fontId="3" numFmtId="3" xfId="0" applyAlignment="1" applyBorder="1" applyFill="1" applyFont="1" applyNumberFormat="1">
      <alignment horizontal="center"/>
    </xf>
    <xf borderId="14" fillId="2" fontId="3" numFmtId="4" xfId="0" applyBorder="1" applyFill="1" applyFont="1" applyNumberFormat="1"/>
    <xf borderId="15" fillId="2" fontId="3" numFmtId="4" xfId="0" applyBorder="1" applyFill="1" applyFont="1" applyNumberFormat="1"/>
    <xf borderId="16" fillId="2" fontId="3" numFmtId="164" xfId="0" applyAlignment="1" applyBorder="1" applyFill="1" applyFont="1" applyNumberFormat="1">
      <alignment horizontal="center"/>
    </xf>
    <xf borderId="14" fillId="2" fontId="7" numFmtId="0" xfId="0" applyAlignment="1" applyBorder="1" applyFill="1" applyFont="1">
      <alignment horizontal="center" vertical="center"/>
    </xf>
    <xf borderId="0" fillId="2" fontId="3" numFmtId="4" xfId="0" applyAlignment="1" applyFill="1" applyFont="1" applyNumberFormat="1">
      <alignment horizontal="center"/>
    </xf>
    <xf borderId="14" fillId="2" fontId="3" numFmtId="164" xfId="0" applyAlignment="1" applyBorder="1" applyFill="1" applyFont="1" applyNumberFormat="1">
      <alignment horizontal="center"/>
    </xf>
    <xf borderId="0" fillId="2" fontId="3" numFmtId="164" xfId="0" applyAlignment="1" applyFill="1" applyFont="1" applyNumberFormat="1">
      <alignment horizontal="center"/>
    </xf>
    <xf borderId="14" fillId="2" fontId="7" numFmtId="0" xfId="0" applyAlignment="1" applyBorder="1" applyFill="1" applyFont="1">
      <alignment horizontal="center"/>
    </xf>
    <xf borderId="0" fillId="2" fontId="7" numFmtId="0" xfId="0" applyAlignment="1" applyFill="1" applyFont="1">
      <alignment horizontal="center"/>
    </xf>
    <xf borderId="14" fillId="2" fontId="3" numFmtId="4" xfId="0" applyAlignment="1" applyBorder="1" applyFill="1" applyFont="1" applyNumberFormat="1">
      <alignment horizontal="center"/>
    </xf>
    <xf borderId="15" fillId="2" fontId="3" numFmtId="4" xfId="0" applyAlignment="1" applyBorder="1" applyFill="1" applyFont="1" applyNumberFormat="1">
      <alignment horizontal="center"/>
    </xf>
    <xf borderId="13" fillId="2" fontId="3" numFmtId="4" xfId="0" applyAlignment="1" applyBorder="1" applyFill="1" applyFont="1" applyNumberFormat="1">
      <alignment horizontal="center"/>
    </xf>
    <xf borderId="16" fillId="2" fontId="3" numFmtId="0" xfId="0" applyAlignment="1" applyBorder="1" applyFill="1" applyFont="1">
      <alignment horizontal="center"/>
    </xf>
    <xf borderId="14" fillId="2" fontId="3" numFmtId="0" xfId="0" applyAlignment="1" applyBorder="1" applyFill="1" applyFont="1">
      <alignment horizontal="center"/>
    </xf>
    <xf borderId="0" fillId="2" fontId="3" numFmtId="0" xfId="0" applyAlignment="1" applyFill="1" applyFont="1">
      <alignment horizontal="center"/>
    </xf>
    <xf borderId="15" fillId="2" fontId="3" numFmtId="0" xfId="0" applyAlignment="1" applyBorder="1" applyFill="1" applyFont="1">
      <alignment horizontal="center"/>
    </xf>
    <xf borderId="13" fillId="2" fontId="3" numFmtId="0" xfId="0" applyAlignment="1" applyBorder="1" applyFill="1" applyFont="1">
      <alignment horizontal="center"/>
    </xf>
    <xf quotePrefix="1" borderId="14" fillId="2" fontId="7" numFmtId="0" xfId="0" applyAlignment="1" applyBorder="1" applyFill="1" applyFont="1">
      <alignment horizontal="center" vertical="center"/>
    </xf>
    <xf quotePrefix="1" borderId="14" fillId="2" fontId="7" numFmtId="0" xfId="0" applyAlignment="1" applyBorder="1" applyFill="1" applyFont="1">
      <alignment horizontal="center"/>
    </xf>
    <xf borderId="16" fillId="2" fontId="3" numFmtId="164" xfId="0" applyAlignment="1" applyBorder="1" applyFill="1" applyFont="1" applyNumberFormat="1">
      <alignment horizontal="center" readingOrder="0"/>
    </xf>
    <xf borderId="14" fillId="2" fontId="3" numFmtId="164" xfId="0" applyAlignment="1" applyBorder="1" applyFill="1" applyFont="1" applyNumberFormat="1">
      <alignment horizontal="center" readingOrder="0"/>
    </xf>
    <xf borderId="0" fillId="2" fontId="3" numFmtId="164" xfId="0" applyAlignment="1" applyFill="1" applyFont="1" applyNumberFormat="1">
      <alignment horizontal="center" readingOrder="0"/>
    </xf>
    <xf borderId="17" fillId="2" fontId="3" numFmtId="165" xfId="0" applyAlignment="1" applyBorder="1" applyFill="1" applyFont="1" applyNumberFormat="1">
      <alignment horizontal="center"/>
    </xf>
    <xf borderId="18" fillId="2" fontId="3" numFmtId="4" xfId="0" applyAlignment="1" applyBorder="1" applyFill="1" applyFont="1" applyNumberFormat="1">
      <alignment horizontal="center"/>
    </xf>
    <xf borderId="19" fillId="2" fontId="3" numFmtId="165" xfId="0" applyAlignment="1" applyBorder="1" applyFill="1" applyFont="1" applyNumberFormat="1">
      <alignment horizontal="center" readingOrder="0"/>
    </xf>
    <xf borderId="19" fillId="2" fontId="3" numFmtId="165" xfId="0" applyAlignment="1" applyBorder="1" applyFill="1" applyFont="1" applyNumberFormat="1">
      <alignment horizontal="center"/>
    </xf>
    <xf borderId="13" fillId="2" fontId="3" numFmtId="165" xfId="0" applyAlignment="1" applyBorder="1" applyFill="1" applyFont="1" applyNumberFormat="1">
      <alignment horizontal="center"/>
    </xf>
    <xf borderId="15" fillId="2" fontId="3" numFmtId="165" xfId="0" applyAlignment="1" applyBorder="1" applyFill="1" applyFont="1" applyNumberFormat="1">
      <alignment horizontal="center"/>
    </xf>
    <xf borderId="20" fillId="2" fontId="3" numFmtId="3" xfId="0" applyBorder="1" applyFill="1" applyFont="1" applyNumberFormat="1"/>
    <xf borderId="21" fillId="2" fontId="3" numFmtId="3" xfId="0" applyBorder="1" applyFill="1" applyFont="1" applyNumberFormat="1"/>
    <xf borderId="22" fillId="2" fontId="8" numFmtId="4" xfId="0" applyAlignment="1" applyBorder="1" applyFill="1" applyFont="1" applyNumberFormat="1">
      <alignment horizontal="center"/>
    </xf>
    <xf borderId="21" fillId="2" fontId="8" numFmtId="3" xfId="0" applyAlignment="1" applyBorder="1" applyFill="1" applyFont="1" applyNumberFormat="1">
      <alignment horizontal="center"/>
    </xf>
    <xf borderId="21" fillId="2" fontId="3" numFmtId="0" xfId="0" applyBorder="1" applyFill="1" applyFont="1"/>
    <xf borderId="21" fillId="2" fontId="8" numFmtId="4" xfId="0" applyAlignment="1" applyBorder="1" applyFill="1" applyFont="1" applyNumberFormat="1">
      <alignment horizontal="center"/>
    </xf>
    <xf borderId="23" fillId="2" fontId="8" numFmtId="4" xfId="0" applyAlignment="1" applyBorder="1" applyFill="1" applyFont="1" applyNumberFormat="1">
      <alignment horizontal="center"/>
    </xf>
    <xf borderId="7" fillId="2" fontId="8" numFmtId="4" xfId="0" applyAlignment="1" applyBorder="1" applyFill="1" applyFont="1" applyNumberFormat="1">
      <alignment horizontal="center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11.0"/>
    <col customWidth="1" min="3" max="3" width="11.38"/>
    <col customWidth="1" min="4" max="4" width="12.0"/>
    <col customWidth="1" min="5" max="6" width="11.63"/>
    <col customWidth="1" min="7" max="7" width="15.88"/>
    <col customWidth="1" min="8" max="9" width="11.0"/>
    <col customWidth="1" hidden="1" min="10" max="10" width="10.0"/>
    <col customWidth="1" hidden="1" min="11" max="11" width="10.38"/>
    <col customWidth="1" hidden="1" min="12" max="15" width="10.25"/>
    <col customWidth="1" hidden="1" min="16" max="17" width="10.63"/>
    <col customWidth="1" hidden="1" min="18" max="18" width="13.25"/>
    <col customWidth="1" min="19" max="19" width="10.63"/>
  </cols>
  <sheetData>
    <row r="1" ht="12.75" customHeight="1">
      <c r="I1" s="1"/>
      <c r="L1" s="1"/>
    </row>
    <row r="2" ht="12.75" customHeight="1">
      <c r="B2" s="2" t="s">
        <v>0</v>
      </c>
    </row>
    <row r="3" ht="12.75" customHeight="1">
      <c r="I3" s="1"/>
      <c r="L3" s="1"/>
    </row>
    <row r="4" ht="12.75" customHeight="1">
      <c r="A4" s="3"/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ht="23.25" customHeight="1">
      <c r="A5" s="7"/>
      <c r="B5" s="8" t="s">
        <v>2</v>
      </c>
      <c r="C5" s="9" t="s">
        <v>3</v>
      </c>
      <c r="D5" s="9" t="s">
        <v>4</v>
      </c>
      <c r="E5" s="10" t="s">
        <v>5</v>
      </c>
      <c r="F5" s="10" t="s">
        <v>6</v>
      </c>
      <c r="G5" s="9" t="s">
        <v>7</v>
      </c>
      <c r="H5" s="9" t="s">
        <v>8</v>
      </c>
      <c r="I5" s="11" t="s">
        <v>4</v>
      </c>
      <c r="J5" s="10" t="s">
        <v>9</v>
      </c>
      <c r="K5" s="10" t="s">
        <v>10</v>
      </c>
      <c r="L5" s="12" t="s">
        <v>11</v>
      </c>
      <c r="M5" s="10" t="s">
        <v>12</v>
      </c>
      <c r="N5" s="10" t="s">
        <v>13</v>
      </c>
      <c r="O5" s="12" t="s">
        <v>14</v>
      </c>
      <c r="P5" s="13" t="s">
        <v>15</v>
      </c>
      <c r="Q5" s="10" t="s">
        <v>16</v>
      </c>
      <c r="R5" s="12" t="s">
        <v>17</v>
      </c>
      <c r="S5" s="14" t="s">
        <v>18</v>
      </c>
      <c r="T5" s="14" t="s">
        <v>19</v>
      </c>
      <c r="U5" s="14" t="s">
        <v>20</v>
      </c>
    </row>
    <row r="6" ht="12.75" customHeight="1">
      <c r="A6" s="3"/>
      <c r="B6" s="15"/>
      <c r="C6" s="16"/>
      <c r="D6" s="17"/>
      <c r="E6" s="18"/>
      <c r="F6" s="19"/>
      <c r="G6" s="20"/>
      <c r="H6" s="21"/>
      <c r="I6" s="22"/>
      <c r="J6" s="17"/>
      <c r="K6" s="23"/>
      <c r="L6" s="24"/>
      <c r="M6" s="17"/>
      <c r="N6" s="23"/>
      <c r="O6" s="24"/>
      <c r="P6" s="25"/>
      <c r="Q6" s="23"/>
      <c r="R6" s="24"/>
      <c r="S6" s="26"/>
      <c r="T6" s="27"/>
      <c r="U6" s="28"/>
    </row>
    <row r="7" ht="12.75" customHeight="1">
      <c r="A7" s="3"/>
      <c r="B7" s="29">
        <v>43066.0</v>
      </c>
      <c r="C7" s="30" t="s">
        <v>21</v>
      </c>
      <c r="D7" s="31">
        <v>362528.65</v>
      </c>
      <c r="E7" s="32">
        <v>43100.0</v>
      </c>
      <c r="F7" s="33">
        <v>46660.0</v>
      </c>
      <c r="G7" s="34" t="s">
        <v>22</v>
      </c>
      <c r="H7" s="35" t="s">
        <v>23</v>
      </c>
      <c r="I7" s="36">
        <v>9063.21</v>
      </c>
      <c r="J7" s="31">
        <f>208453.95-36252.84</f>
        <v>172201.11</v>
      </c>
      <c r="K7" s="36">
        <f>I7*4</f>
        <v>36252.84</v>
      </c>
      <c r="L7" s="37">
        <f>J7-K7</f>
        <v>135948.27</v>
      </c>
      <c r="M7" s="31">
        <f>L7</f>
        <v>135948.27</v>
      </c>
      <c r="N7" s="36">
        <f>AMORTIZACIONES!$I7*4</f>
        <v>36252.84</v>
      </c>
      <c r="O7" s="37">
        <f>M7-N7</f>
        <v>99695.43</v>
      </c>
      <c r="P7" s="38">
        <f>O7</f>
        <v>99695.43</v>
      </c>
      <c r="Q7" s="36">
        <f>AMORTIZACIONES!$I7*4</f>
        <v>36252.84</v>
      </c>
      <c r="R7" s="37">
        <f>P7-Q7</f>
        <v>63442.59</v>
      </c>
      <c r="S7" s="38">
        <f>R7</f>
        <v>63442.59</v>
      </c>
      <c r="T7" s="36">
        <f>AMORTIZACIONES!$I7*4</f>
        <v>36252.84</v>
      </c>
      <c r="U7" s="37">
        <f>S7-T7</f>
        <v>27189.75</v>
      </c>
    </row>
    <row r="8" ht="12.75" customHeight="1">
      <c r="A8" s="3"/>
      <c r="B8" s="39"/>
      <c r="C8" s="30"/>
      <c r="D8" s="31"/>
      <c r="E8" s="40"/>
      <c r="F8" s="41"/>
      <c r="G8" s="34"/>
      <c r="H8" s="35"/>
      <c r="I8" s="36"/>
      <c r="J8" s="31"/>
      <c r="K8" s="36"/>
      <c r="L8" s="42"/>
      <c r="M8" s="31"/>
      <c r="N8" s="36"/>
      <c r="O8" s="42"/>
      <c r="P8" s="38"/>
      <c r="Q8" s="36"/>
      <c r="R8" s="42"/>
      <c r="S8" s="38"/>
      <c r="T8" s="36"/>
      <c r="U8" s="42"/>
    </row>
    <row r="9" ht="12.75" customHeight="1">
      <c r="A9" s="3"/>
      <c r="B9" s="29">
        <v>43455.0</v>
      </c>
      <c r="C9" s="30" t="s">
        <v>24</v>
      </c>
      <c r="D9" s="31">
        <v>2051624.51</v>
      </c>
      <c r="E9" s="32">
        <v>43555.0</v>
      </c>
      <c r="F9" s="33">
        <v>47118.0</v>
      </c>
      <c r="G9" s="34" t="s">
        <v>25</v>
      </c>
      <c r="H9" s="35" t="s">
        <v>23</v>
      </c>
      <c r="I9" s="36">
        <v>51290.61</v>
      </c>
      <c r="J9" s="31">
        <f>1436137.15-(51290.61*4)</f>
        <v>1230974.71</v>
      </c>
      <c r="K9" s="36">
        <f>I9*4</f>
        <v>205162.44</v>
      </c>
      <c r="L9" s="37">
        <f>J9-K9</f>
        <v>1025812.27</v>
      </c>
      <c r="M9" s="31">
        <f>L9</f>
        <v>1025812.27</v>
      </c>
      <c r="N9" s="36">
        <f>AMORTIZACIONES!$I9*4</f>
        <v>205162.44</v>
      </c>
      <c r="O9" s="37">
        <f>M9-N9</f>
        <v>820649.83</v>
      </c>
      <c r="P9" s="38">
        <f>O9</f>
        <v>820649.83</v>
      </c>
      <c r="Q9" s="36">
        <f>AMORTIZACIONES!$I9*4</f>
        <v>205162.44</v>
      </c>
      <c r="R9" s="37">
        <f>P9-Q9</f>
        <v>615487.39</v>
      </c>
      <c r="S9" s="38">
        <f>R9</f>
        <v>615487.39</v>
      </c>
      <c r="T9" s="36">
        <f>AMORTIZACIONES!$I9*4</f>
        <v>205162.44</v>
      </c>
      <c r="U9" s="37">
        <f>S9-T9</f>
        <v>410324.95</v>
      </c>
    </row>
    <row r="10" ht="12.75" customHeight="1">
      <c r="A10" s="3"/>
      <c r="B10" s="39"/>
      <c r="C10" s="30"/>
      <c r="D10" s="31"/>
      <c r="E10" s="40"/>
      <c r="F10" s="41"/>
      <c r="G10" s="34"/>
      <c r="H10" s="35"/>
      <c r="I10" s="36"/>
      <c r="J10" s="41"/>
      <c r="K10" s="36"/>
      <c r="L10" s="42"/>
      <c r="M10" s="41"/>
      <c r="N10" s="36"/>
      <c r="O10" s="42"/>
      <c r="P10" s="43"/>
      <c r="Q10" s="36"/>
      <c r="R10" s="42"/>
      <c r="S10" s="43"/>
      <c r="T10" s="36"/>
      <c r="U10" s="42"/>
    </row>
    <row r="11" ht="12.75" customHeight="1">
      <c r="A11" s="3"/>
      <c r="B11" s="29">
        <v>44440.0</v>
      </c>
      <c r="C11" s="44" t="s">
        <v>26</v>
      </c>
      <c r="D11" s="31">
        <v>2906376.85</v>
      </c>
      <c r="E11" s="32">
        <v>45291.0</v>
      </c>
      <c r="F11" s="32">
        <v>48579.0</v>
      </c>
      <c r="G11" s="45" t="s">
        <v>27</v>
      </c>
      <c r="H11" s="35" t="s">
        <v>28</v>
      </c>
      <c r="I11" s="36">
        <f>D11/10</f>
        <v>290637.685</v>
      </c>
      <c r="J11" s="31">
        <f>AMORTIZACIONES!$D11</f>
        <v>2906376.85</v>
      </c>
      <c r="K11" s="36">
        <f>AMORTIZACIONES!$I11</f>
        <v>290637.685</v>
      </c>
      <c r="L11" s="37">
        <f>AMORTIZACIONES!$J11-K11</f>
        <v>2615739.165</v>
      </c>
      <c r="M11" s="31">
        <f>L11</f>
        <v>2615739.165</v>
      </c>
      <c r="N11" s="36">
        <f>AMORTIZACIONES!$I11</f>
        <v>290637.685</v>
      </c>
      <c r="O11" s="37">
        <f>AMORTIZACIONES!$M11-N11</f>
        <v>2325101.48</v>
      </c>
      <c r="P11" s="38">
        <f>O11</f>
        <v>2325101.48</v>
      </c>
      <c r="Q11" s="36">
        <f>AMORTIZACIONES!$I11</f>
        <v>290637.685</v>
      </c>
      <c r="R11" s="37">
        <f>P11-Q11</f>
        <v>2034463.795</v>
      </c>
      <c r="S11" s="38">
        <f>R11</f>
        <v>2034463.795</v>
      </c>
      <c r="T11" s="36">
        <f>AMORTIZACIONES!$I11</f>
        <v>290637.685</v>
      </c>
      <c r="U11" s="37">
        <f>S11-T11</f>
        <v>1743826.11</v>
      </c>
    </row>
    <row r="12" ht="12.75" customHeight="1">
      <c r="A12" s="3"/>
      <c r="B12" s="29"/>
      <c r="C12" s="30"/>
      <c r="D12" s="31"/>
      <c r="E12" s="32"/>
      <c r="F12" s="33"/>
      <c r="G12" s="34"/>
      <c r="H12" s="35"/>
      <c r="I12" s="36"/>
      <c r="J12" s="31"/>
      <c r="K12" s="36"/>
      <c r="L12" s="37"/>
      <c r="M12" s="31"/>
      <c r="N12" s="36"/>
      <c r="O12" s="37"/>
      <c r="P12" s="38"/>
      <c r="Q12" s="36"/>
      <c r="R12" s="37"/>
      <c r="S12" s="38"/>
      <c r="T12" s="36"/>
      <c r="U12" s="37"/>
    </row>
    <row r="13" ht="12.75" customHeight="1">
      <c r="A13" s="3"/>
      <c r="B13" s="46">
        <v>46082.0</v>
      </c>
      <c r="C13" s="34" t="s">
        <v>29</v>
      </c>
      <c r="D13" s="31">
        <v>1.1E7</v>
      </c>
      <c r="E13" s="47">
        <v>46752.0</v>
      </c>
      <c r="F13" s="48">
        <v>50405.0</v>
      </c>
      <c r="G13" s="34" t="s">
        <v>30</v>
      </c>
      <c r="H13" s="41"/>
      <c r="I13" s="36"/>
      <c r="J13" s="41"/>
      <c r="K13" s="36"/>
      <c r="L13" s="42"/>
      <c r="M13" s="41"/>
      <c r="N13" s="36"/>
      <c r="O13" s="42"/>
      <c r="P13" s="49"/>
      <c r="Q13" s="50"/>
      <c r="R13" s="51"/>
      <c r="S13" s="49"/>
      <c r="T13" s="50"/>
      <c r="U13" s="52">
        <v>1.1E7</v>
      </c>
    </row>
    <row r="14" ht="12.75" customHeight="1">
      <c r="A14" s="3"/>
      <c r="B14" s="29"/>
      <c r="C14" s="34"/>
      <c r="D14" s="31"/>
      <c r="E14" s="32"/>
      <c r="F14" s="33"/>
      <c r="G14" s="34"/>
      <c r="H14" s="41"/>
      <c r="I14" s="36"/>
      <c r="J14" s="41"/>
      <c r="K14" s="36"/>
      <c r="L14" s="42"/>
      <c r="M14" s="41"/>
      <c r="N14" s="36"/>
      <c r="O14" s="42"/>
      <c r="P14" s="53"/>
      <c r="Q14" s="36"/>
      <c r="R14" s="54"/>
      <c r="S14" s="53"/>
      <c r="T14" s="36"/>
      <c r="U14" s="54"/>
    </row>
    <row r="15" ht="12.75" customHeight="1">
      <c r="A15" s="3"/>
      <c r="B15" s="55"/>
      <c r="C15" s="56"/>
      <c r="D15" s="57"/>
      <c r="E15" s="58"/>
      <c r="F15" s="59"/>
      <c r="G15" s="59"/>
      <c r="H15" s="59"/>
      <c r="I15" s="60"/>
      <c r="J15" s="60">
        <f t="shared" ref="J15:Q15" si="1">J7+J9+J11</f>
        <v>4309552.67</v>
      </c>
      <c r="K15" s="60">
        <f t="shared" si="1"/>
        <v>532052.965</v>
      </c>
      <c r="L15" s="61">
        <f t="shared" si="1"/>
        <v>3777499.705</v>
      </c>
      <c r="M15" s="60">
        <f t="shared" si="1"/>
        <v>3777499.705</v>
      </c>
      <c r="N15" s="60">
        <f t="shared" si="1"/>
        <v>532052.965</v>
      </c>
      <c r="O15" s="61">
        <f t="shared" si="1"/>
        <v>3245446.74</v>
      </c>
      <c r="P15" s="60">
        <f t="shared" si="1"/>
        <v>3245446.74</v>
      </c>
      <c r="Q15" s="60">
        <f t="shared" si="1"/>
        <v>532052.965</v>
      </c>
      <c r="R15" s="61">
        <f>R7+R9+R11+R13</f>
        <v>2713393.775</v>
      </c>
      <c r="S15" s="62">
        <f t="shared" ref="S15:T15" si="2">S7+S9+S11</f>
        <v>2713393.775</v>
      </c>
      <c r="T15" s="62">
        <f t="shared" si="2"/>
        <v>532052.965</v>
      </c>
      <c r="U15" s="62">
        <f>U7+U9+U11+U13</f>
        <v>13181340.81</v>
      </c>
    </row>
    <row r="16" ht="12.75" customHeight="1">
      <c r="B16" s="63"/>
      <c r="C16" s="63"/>
      <c r="D16" s="63"/>
      <c r="I16" s="1"/>
      <c r="L16" s="1"/>
    </row>
    <row r="17" ht="12.75" customHeight="1">
      <c r="B17" s="63"/>
      <c r="C17" s="63"/>
      <c r="D17" s="63"/>
      <c r="I17" s="1"/>
      <c r="L17" s="1"/>
    </row>
  </sheetData>
  <mergeCells count="2">
    <mergeCell ref="B2:U2"/>
    <mergeCell ref="B4:U4"/>
  </mergeCells>
  <printOptions/>
  <pageMargins bottom="0.984251968503937" footer="0.0" header="0.0" left="0.5511811023622047" right="0.35433070866141736" top="0.984251968503937"/>
  <pageSetup fitToHeight="0" paperSize="9" orientation="landscape"/>
  <headerFooter>
    <oddHeader>&amp;LAnexo 13.1 - Estado de la deuda</oddHeader>
    <oddFooter>&amp;CPresupuesto Ayuntamiento Aranda de Duero 2026</oddFooter>
  </headerFooter>
  <drawing r:id="rId1"/>
</worksheet>
</file>