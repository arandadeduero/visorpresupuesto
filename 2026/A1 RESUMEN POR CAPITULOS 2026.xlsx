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Líneas Fundamentales" sheetId="2" r:id="rId6"/>
    <sheet state="visible" name="Hoja 1" sheetId="3" r:id="rId7"/>
  </sheets>
  <definedNames>
    <definedName localSheetId="1" name="diff_ingreso_gasto">#REF!</definedName>
    <definedName name="diff_ingreso_gasto">'2026'!$L$14</definedName>
  </definedNames>
  <calcPr/>
</workbook>
</file>

<file path=xl/sharedStrings.xml><?xml version="1.0" encoding="utf-8"?>
<sst xmlns="http://schemas.openxmlformats.org/spreadsheetml/2006/main" count="89" uniqueCount="43">
  <si>
    <t>LÍNEAS GENERALES PRESUPUESTO 2026</t>
  </si>
  <si>
    <t>PRESUPUESTO GENERAL AYUNTAMIENTO 2026</t>
  </si>
  <si>
    <t>ESTADO DE GASTOS</t>
  </si>
  <si>
    <t xml:space="preserve">CAP. </t>
  </si>
  <si>
    <t>DESCRIPCIÓN</t>
  </si>
  <si>
    <t>PREVISIONES 2026</t>
  </si>
  <si>
    <t>CRÉDITOS 2025</t>
  </si>
  <si>
    <t>GASTOS DE PERSONAL</t>
  </si>
  <si>
    <t>Resumen</t>
  </si>
  <si>
    <t>GASTOS CTES BIENES Y SERVICIOS</t>
  </si>
  <si>
    <t>GASTOS FINANCIEROS</t>
  </si>
  <si>
    <t>TRANSFERENCIAS CORRIENTES</t>
  </si>
  <si>
    <t>FONDO DE CONTINGENCIA</t>
  </si>
  <si>
    <t xml:space="preserve">INVERSIONES REALES </t>
  </si>
  <si>
    <t>TRANSFERENCIAS DE CAPITAL</t>
  </si>
  <si>
    <t>TOTAL OP. NO FINANCIERAS</t>
  </si>
  <si>
    <t>Ingresos 1-5</t>
  </si>
  <si>
    <t>Gastos de 1 a 5, 7 y 9</t>
  </si>
  <si>
    <t>Diff para Cap 6</t>
  </si>
  <si>
    <t xml:space="preserve">Cap 7 </t>
  </si>
  <si>
    <t>Al cap 6</t>
  </si>
  <si>
    <t>Cap 8 (Remanente Tesorería Afectado, RTA)</t>
  </si>
  <si>
    <t>Cap 9 (Préstamos)</t>
  </si>
  <si>
    <t>Pasivos, remanente</t>
  </si>
  <si>
    <t>ACTIVOS FINANCIEROS</t>
  </si>
  <si>
    <t>CUENTA REMUNERADA</t>
  </si>
  <si>
    <t>PASIVOS FINANCIEROS</t>
  </si>
  <si>
    <t>UNESPA</t>
  </si>
  <si>
    <t>TOTAL OP. FINANCIERAS</t>
  </si>
  <si>
    <t>DIFERENCIA INGRESOS-GASTOS (-unespa)</t>
  </si>
  <si>
    <t>TOTAL GASTOS</t>
  </si>
  <si>
    <t>INGRESOS CORRIENTES</t>
  </si>
  <si>
    <t>ESTADO DE INGRESOS</t>
  </si>
  <si>
    <t>IMPUESTOS DIRECTOS</t>
  </si>
  <si>
    <t>IMPUESTOS INDIRECTOS</t>
  </si>
  <si>
    <t>TASAS Y OTROS INGRESOS</t>
  </si>
  <si>
    <t>INGRESOS PATRIMONIALES</t>
  </si>
  <si>
    <t xml:space="preserve">ENAJENACIÓN INVERSIONES REALES </t>
  </si>
  <si>
    <t>TOTAL INGRESOS</t>
  </si>
  <si>
    <t>Diff total</t>
  </si>
  <si>
    <t>Ingreso ARU</t>
  </si>
  <si>
    <t>GASTO ARU de ingreso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</si>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</sst>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\ [$€-1]_-;\-* #,##0.00\ [$€-1]_-;_-* &quot;-&quot;??\ [$€-1]_-;_-@"/>
    <numFmt numFmtId="165" formatCode="#,##0.00&quot;€&quot;"/>
    <numFmt numFmtId="166" formatCode="#,##0&quot;€&quot;"/>
    <numFmt numFmtId="167" formatCode="#,##0.00\ &quot;€&quot;"/>
    <numFmt numFmtId="168" formatCode="#,##0.00\ [$€-1]"/>
    <numFmt numFmtId="169" formatCode="_-* #,##0.00\ &quot;€&quot;_-;\-* #,##0.00\ &quot;€&quot;_-;_-* &quot;-&quot;??\ &quot;€&quot;_-;_-@"/>
  </numFmts>
  <fonts count="16">
    <font>
      <sz val="11.0"/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color theme="1"/>
      <name val="Calibri"/>
    </font>
    <font>
      <b/>
      <sz val="11.0"/>
      <color theme="1"/>
      <name val="Calibri"/>
    </font>
    <font/>
    <font>
      <b/>
      <sz val="9.0"/>
      <color theme="1"/>
      <name val="Calibri"/>
    </font>
    <font>
      <b/>
      <sz val="10.0"/>
      <color theme="1"/>
      <name val="Calibri"/>
    </font>
    <font>
      <b/>
      <color theme="1"/>
      <name val="Calibri"/>
    </font>
    <font>
      <color theme="1"/>
      <name val="Calibri"/>
      <scheme val="minor"/>
    </font>
    <font>
      <sz val="9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theme="0"/>
      <name val="Calibri"/>
    </font>
    <font>
      <sz val="10.0"/>
      <color rgb="FF000000"/>
      <name val="Calibri"/>
    </font>
    <font>
      <sz val="30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F2F2F2"/>
        <bgColor rgb="FFF2F2F2"/>
      </patternFill>
    </fill>
    <fill>
      <patternFill patternType="solid">
        <fgColor rgb="FFE5E5E5"/>
        <bgColor rgb="FFE5E5E5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2" fontId="2" numFmtId="165" xfId="0" applyAlignment="1" applyFill="1" applyFont="1" applyNumberFormat="1">
      <alignment horizontal="right" readingOrder="0" shrinkToFit="0" wrapText="1"/>
    </xf>
    <xf borderId="0" fillId="0" fontId="3" numFmtId="10" xfId="0" applyFont="1" applyNumberFormat="1"/>
    <xf borderId="0" fillId="2" fontId="2" numFmtId="166" xfId="0" applyAlignment="1" applyFill="1" applyFont="1" applyNumberFormat="1">
      <alignment horizontal="right" readingOrder="0" shrinkToFit="0" wrapText="1"/>
    </xf>
    <xf borderId="1" fillId="3" fontId="4" numFmtId="0" xfId="0" applyAlignment="1" applyBorder="1" applyFill="1" applyFont="1">
      <alignment horizontal="center" readingOrder="0" shrinkToFit="0" vertical="center" wrapText="0"/>
    </xf>
    <xf borderId="2" fillId="0" fontId="5" numFmtId="0" xfId="0" applyBorder="1" applyFont="1"/>
    <xf borderId="3" fillId="0" fontId="5" numFmtId="0" xfId="0" applyBorder="1" applyFont="1"/>
    <xf borderId="1" fillId="4" fontId="4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ill="1" applyFont="1">
      <alignment horizontal="center" shrinkToFit="0" vertical="bottom" wrapText="0"/>
    </xf>
    <xf borderId="5" fillId="3" fontId="6" numFmtId="0" xfId="0" applyAlignment="1" applyBorder="1" applyFill="1" applyFont="1">
      <alignment horizontal="center" shrinkToFit="0" vertical="bottom" wrapText="0"/>
    </xf>
    <xf borderId="6" fillId="3" fontId="7" numFmtId="164" xfId="0" applyAlignment="1" applyBorder="1" applyFill="1" applyFont="1" applyNumberFormat="1">
      <alignment horizontal="center" readingOrder="0" shrinkToFit="0" vertical="bottom" wrapText="0"/>
    </xf>
    <xf borderId="7" fillId="3" fontId="7" numFmtId="164" xfId="0" applyAlignment="1" applyBorder="1" applyFill="1" applyFont="1" applyNumberFormat="1">
      <alignment horizontal="center" readingOrder="0"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/>
    </xf>
    <xf borderId="9" fillId="0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readingOrder="0" shrinkToFit="0" vertical="bottom" wrapText="0"/>
    </xf>
    <xf borderId="11" fillId="0" fontId="1" numFmtId="164" xfId="0" applyAlignment="1" applyBorder="1" applyFont="1" applyNumberFormat="1">
      <alignment shrinkToFit="0" vertical="bottom" wrapText="0"/>
    </xf>
    <xf borderId="0" fillId="0" fontId="9" numFmtId="165" xfId="0" applyFont="1" applyNumberFormat="1"/>
    <xf borderId="0" fillId="0" fontId="10" numFmtId="10" xfId="0" applyFont="1" applyNumberFormat="1"/>
    <xf borderId="12" fillId="0" fontId="4" numFmtId="0" xfId="0" applyAlignment="1" applyBorder="1" applyFont="1">
      <alignment horizontal="center"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13" fillId="5" fontId="4" numFmtId="0" xfId="0" applyAlignment="1" applyBorder="1" applyFill="1" applyFont="1">
      <alignment horizontal="center" shrinkToFit="0" vertical="bottom" wrapText="0"/>
    </xf>
    <xf borderId="14" fillId="5" fontId="7" numFmtId="0" xfId="0" applyAlignment="1" applyBorder="1" applyFill="1" applyFont="1">
      <alignment horizontal="right" shrinkToFit="0" vertical="bottom" wrapText="0"/>
    </xf>
    <xf borderId="0" fillId="6" fontId="10" numFmtId="10" xfId="0" applyFill="1" applyFont="1" applyNumberFormat="1"/>
    <xf borderId="0" fillId="0" fontId="3" numFmtId="167" xfId="0" applyFont="1" applyNumberFormat="1"/>
    <xf borderId="0" fillId="0" fontId="3" numFmtId="0" xfId="0" applyAlignment="1" applyFont="1">
      <alignment horizontal="left"/>
    </xf>
    <xf borderId="0" fillId="0" fontId="3" numFmtId="0" xfId="0" applyFont="1"/>
    <xf borderId="0" fillId="0" fontId="8" numFmtId="0" xfId="0" applyFont="1"/>
    <xf borderId="0" fillId="0" fontId="3" numFmtId="167" xfId="0" applyAlignment="1" applyFont="1" applyNumberFormat="1">
      <alignment horizontal="left"/>
    </xf>
    <xf borderId="15" fillId="5" fontId="1" numFmtId="164" xfId="0" applyAlignment="1" applyBorder="1" applyFill="1" applyFont="1" applyNumberFormat="1">
      <alignment shrinkToFit="0" vertical="bottom" wrapText="0"/>
    </xf>
    <xf borderId="16" fillId="5" fontId="1" numFmtId="164" xfId="0" applyAlignment="1" applyBorder="1" applyFill="1" applyFont="1" applyNumberFormat="1">
      <alignment shrinkToFit="0" vertical="bottom" wrapText="0"/>
    </xf>
    <xf borderId="17" fillId="0" fontId="1" numFmtId="164" xfId="0" applyAlignment="1" applyBorder="1" applyFont="1" applyNumberFormat="1">
      <alignment horizontal="right" vertical="bottom"/>
    </xf>
    <xf borderId="18" fillId="7" fontId="4" numFmtId="168" xfId="0" applyAlignment="1" applyBorder="1" applyFill="1" applyFont="1" applyNumberFormat="1">
      <alignment horizontal="center" shrinkToFit="0" vertical="center" wrapText="1"/>
    </xf>
    <xf borderId="19" fillId="0" fontId="1" numFmtId="164" xfId="0" applyAlignment="1" applyBorder="1" applyFont="1" applyNumberFormat="1">
      <alignment horizontal="right" vertical="bottom"/>
    </xf>
    <xf borderId="18" fillId="7" fontId="4" numFmtId="168" xfId="0" applyAlignment="1" applyBorder="1" applyFill="1" applyFont="1" applyNumberFormat="1">
      <alignment horizontal="center" readingOrder="0" shrinkToFit="0" vertical="center" wrapText="1"/>
    </xf>
    <xf borderId="20" fillId="5" fontId="1" numFmtId="0" xfId="0" applyAlignment="1" applyBorder="1" applyFill="1" applyFont="1">
      <alignment shrinkToFit="0" vertical="bottom" wrapText="0"/>
    </xf>
    <xf borderId="21" fillId="5" fontId="7" numFmtId="0" xfId="0" applyAlignment="1" applyBorder="1" applyFill="1" applyFon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22" fillId="5" fontId="1" numFmtId="164" xfId="0" applyAlignment="1" applyBorder="1" applyFill="1" applyFont="1" applyNumberFormat="1">
      <alignment shrinkToFit="0" vertical="bottom" wrapText="0"/>
    </xf>
    <xf borderId="23" fillId="8" fontId="12" numFmtId="0" xfId="0" applyAlignment="1" applyBorder="1" applyFill="1" applyFont="1">
      <alignment readingOrder="0" shrinkToFit="0" vertical="bottom" wrapText="0"/>
    </xf>
    <xf borderId="24" fillId="5" fontId="1" numFmtId="164" xfId="0" applyAlignment="1" applyBorder="1" applyFill="1" applyFont="1" applyNumberFormat="1">
      <alignment shrinkToFit="0" vertical="bottom" wrapText="0"/>
    </xf>
    <xf borderId="1" fillId="4" fontId="4" numFmtId="0" xfId="0" applyAlignment="1" applyBorder="1" applyFill="1" applyFont="1">
      <alignment horizontal="right" shrinkToFit="0" vertical="bottom" wrapText="0"/>
    </xf>
    <xf borderId="23" fillId="8" fontId="12" numFmtId="167" xfId="0" applyAlignment="1" applyBorder="1" applyFill="1" applyFont="1" applyNumberFormat="1">
      <alignment shrinkToFit="0" vertical="bottom" wrapText="0"/>
    </xf>
    <xf borderId="0" fillId="0" fontId="3" numFmtId="168" xfId="0" applyFont="1" applyNumberFormat="1"/>
    <xf borderId="18" fillId="4" fontId="7" numFmtId="164" xfId="0" applyAlignment="1" applyBorder="1" applyFill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2" fillId="0" fontId="7" numFmtId="164" xfId="0" applyAlignment="1" applyBorder="1" applyFont="1" applyNumberFormat="1">
      <alignment shrinkToFit="0" vertical="bottom" wrapText="0"/>
    </xf>
    <xf borderId="0" fillId="0" fontId="9" numFmtId="167" xfId="0" applyFont="1" applyNumberFormat="1"/>
    <xf borderId="0" fillId="0" fontId="7" numFmtId="164" xfId="0" applyAlignment="1" applyFont="1" applyNumberFormat="1">
      <alignment shrinkToFit="0" vertical="bottom" wrapText="0"/>
    </xf>
    <xf borderId="18" fillId="4" fontId="4" numFmtId="168" xfId="0" applyAlignment="1" applyBorder="1" applyFill="1" applyFont="1" applyNumberForma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0"/>
    </xf>
    <xf borderId="25" fillId="3" fontId="6" numFmtId="0" xfId="0" applyAlignment="1" applyBorder="1" applyFill="1" applyFont="1">
      <alignment horizontal="center" shrinkToFit="0" vertical="bottom" wrapText="0"/>
    </xf>
    <xf borderId="26" fillId="3" fontId="6" numFmtId="0" xfId="0" applyAlignment="1" applyBorder="1" applyFill="1" applyFont="1">
      <alignment horizontal="center" shrinkToFit="0" vertical="bottom" wrapText="0"/>
    </xf>
    <xf borderId="26" fillId="3" fontId="7" numFmtId="164" xfId="0" applyAlignment="1" applyBorder="1" applyFill="1" applyFont="1" applyNumberFormat="1">
      <alignment horizontal="center" readingOrder="0" shrinkToFit="0" vertical="bottom" wrapText="0"/>
    </xf>
    <xf borderId="27" fillId="10" fontId="14" numFmtId="164" xfId="0" applyBorder="1" applyFill="1" applyFont="1" applyNumberFormat="1"/>
    <xf borderId="0" fillId="0" fontId="3" numFmtId="0" xfId="0" applyAlignment="1" applyFont="1">
      <alignment horizontal="right"/>
    </xf>
    <xf borderId="28" fillId="5" fontId="1" numFmtId="164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28" fillId="0" fontId="1" numFmtId="164" xfId="0" applyAlignment="1" applyBorder="1" applyFont="1" applyNumberFormat="1">
      <alignment readingOrder="0" shrinkToFit="0" vertical="bottom" wrapText="0"/>
    </xf>
    <xf borderId="26" fillId="0" fontId="1" numFmtId="164" xfId="0" applyAlignment="1" applyBorder="1" applyFont="1" applyNumberFormat="1">
      <alignment readingOrder="0"/>
    </xf>
    <xf borderId="29" fillId="5" fontId="11" numFmtId="0" xfId="0" applyAlignment="1" applyBorder="1" applyFill="1" applyFont="1">
      <alignment shrinkToFit="0" vertical="bottom" wrapText="0"/>
    </xf>
    <xf borderId="30" fillId="5" fontId="7" numFmtId="0" xfId="0" applyAlignment="1" applyBorder="1" applyFill="1" applyFont="1">
      <alignment horizontal="right" shrinkToFit="0" vertical="bottom" wrapText="0"/>
    </xf>
    <xf borderId="0" fillId="0" fontId="11" numFmtId="167" xfId="0" applyAlignment="1" applyFont="1" applyNumberFormat="1">
      <alignment shrinkToFit="0" vertical="bottom" wrapText="0"/>
    </xf>
    <xf borderId="31" fillId="5" fontId="1" numFmtId="164" xfId="0" applyAlignment="1" applyBorder="1" applyFill="1" applyFont="1" applyNumberFormat="1">
      <alignment shrinkToFit="0" vertical="bottom" wrapText="0"/>
    </xf>
    <xf borderId="1" fillId="9" fontId="4" numFmtId="0" xfId="0" applyAlignment="1" applyBorder="1" applyFill="1" applyFont="1">
      <alignment horizontal="right" shrinkToFit="0" vertical="bottom" wrapText="0"/>
    </xf>
    <xf borderId="18" fillId="9" fontId="7" numFmtId="164" xfId="0" applyAlignment="1" applyBorder="1" applyFill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28" fillId="0" fontId="1" numFmtId="164" xfId="0" applyAlignment="1" applyBorder="1" applyFont="1" applyNumberFormat="1">
      <alignment shrinkToFit="0" vertical="bottom" wrapText="0"/>
    </xf>
    <xf borderId="26" fillId="0" fontId="1" numFmtId="164" xfId="0" applyBorder="1" applyFont="1" applyNumberFormat="1"/>
    <xf borderId="0" fillId="0" fontId="11" numFmtId="169" xfId="0" applyAlignment="1" applyFont="1" applyNumberFormat="1">
      <alignment shrinkToFit="0" vertical="bottom" wrapText="0"/>
    </xf>
    <xf borderId="0" fillId="0" fontId="3" numFmtId="165" xfId="0" applyFont="1" applyNumberFormat="1"/>
    <xf borderId="0" fillId="0" fontId="15" numFmtId="167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.57"/>
    <col customWidth="1" min="3" max="3" width="40.71"/>
    <col customWidth="1" min="4" max="4" width="19.0"/>
    <col customWidth="1" min="5" max="5" width="16.43"/>
    <col customWidth="1" min="6" max="8" width="10.0"/>
    <col customWidth="1" min="9" max="9" width="14.57"/>
    <col customWidth="1" min="10" max="10" width="17.71"/>
    <col customWidth="1" min="11" max="11" width="40.29"/>
    <col customWidth="1" min="12" max="12" width="19.43"/>
    <col customWidth="1" min="13" max="13" width="18.57"/>
    <col customWidth="1" min="14" max="14" width="23.43"/>
  </cols>
  <sheetData>
    <row r="1" ht="15.75" customHeight="1">
      <c r="D1" s="1"/>
      <c r="E1" s="1"/>
      <c r="F1" s="3"/>
      <c r="G1" s="3"/>
    </row>
    <row r="2" ht="20.25" customHeight="1">
      <c r="B2" s="5" t="s">
        <v>1</v>
      </c>
      <c r="C2" s="6"/>
      <c r="D2" s="7"/>
      <c r="E2" s="1"/>
      <c r="F2" s="3"/>
      <c r="G2" s="3"/>
    </row>
    <row r="3" ht="20.25" customHeight="1">
      <c r="B3" s="8" t="s">
        <v>2</v>
      </c>
      <c r="C3" s="6"/>
      <c r="D3" s="7"/>
      <c r="E3" s="1"/>
      <c r="F3" s="3"/>
      <c r="G3" s="3"/>
    </row>
    <row r="4">
      <c r="B4" s="9" t="s">
        <v>3</v>
      </c>
      <c r="C4" s="10" t="s">
        <v>4</v>
      </c>
      <c r="D4" s="11" t="s">
        <v>5</v>
      </c>
      <c r="E4" s="12" t="s">
        <v>6</v>
      </c>
      <c r="F4" s="3"/>
      <c r="G4" s="3"/>
      <c r="J4" s="14"/>
      <c r="K4" s="14" t="s">
        <v>8</v>
      </c>
    </row>
    <row r="5">
      <c r="B5" s="13">
        <v>1.0</v>
      </c>
      <c r="C5" s="15" t="s">
        <v>7</v>
      </c>
      <c r="D5" s="21">
        <f>IFERROR(__xludf.DUMMYFUNCTION("IMPORTRANGE(""https://docs.google.com/spreadsheets/d/1pyyHucRwXx53i_nj5fbvcXBCBRfvWil0jmXvcEVKx6s"", ""2026!suma_cap1"")"),1.56165985E7)</f>
        <v>15616598.5</v>
      </c>
      <c r="E5" s="17">
        <v>1.55623985E7</v>
      </c>
      <c r="F5" s="19"/>
      <c r="G5" s="24">
        <f t="shared" ref="G5:G16" si="1">((D5-E5)/D5)</f>
        <v>0.003470666163</v>
      </c>
      <c r="I5" s="25">
        <f t="shared" ref="I5:I16" si="2">D5-E5</f>
        <v>54200</v>
      </c>
      <c r="J5" s="26"/>
      <c r="K5" s="26" t="s">
        <v>16</v>
      </c>
      <c r="L5" s="27" t="s">
        <v>17</v>
      </c>
      <c r="N5" s="28" t="s">
        <v>18</v>
      </c>
    </row>
    <row r="6">
      <c r="B6" s="20">
        <v>2.0</v>
      </c>
      <c r="C6" s="15" t="s">
        <v>9</v>
      </c>
      <c r="D6" s="21">
        <f>IFERROR(__xludf.DUMMYFUNCTION("IMPORTRANGE(""https://docs.google.com/spreadsheets/d/1pyyHucRwXx53i_nj5fbvcXBCBRfvWil0jmXvcEVKx6s"", ""2026!suma_cap2"")"),2.162364E7)</f>
        <v>21623640</v>
      </c>
      <c r="E6" s="17">
        <v>1.968003E7</v>
      </c>
      <c r="F6" s="19"/>
      <c r="G6" s="24">
        <f t="shared" si="1"/>
        <v>0.08988357187</v>
      </c>
      <c r="I6" s="25">
        <f t="shared" si="2"/>
        <v>1943610</v>
      </c>
      <c r="J6" s="26"/>
      <c r="K6" s="29">
        <f>SUM(D20:D24)</f>
        <v>42365106.61</v>
      </c>
      <c r="L6" s="25">
        <f>SUM(D5:D9,D11,D14)</f>
        <v>40058918.5</v>
      </c>
      <c r="N6" s="25">
        <f>K6-L6+D25</f>
        <v>2416188.11</v>
      </c>
    </row>
    <row r="7">
      <c r="B7" s="20">
        <v>3.0</v>
      </c>
      <c r="C7" s="15" t="s">
        <v>10</v>
      </c>
      <c r="D7" s="21">
        <f>IFERROR(__xludf.DUMMYFUNCTION("IMPORTRANGE(""https://docs.google.com/spreadsheets/d/1pyyHucRwXx53i_nj5fbvcXBCBRfvWil0jmXvcEVKx6s"", ""2026!suma_cap3"")"),184000.0)</f>
        <v>184000</v>
      </c>
      <c r="E7" s="17">
        <v>170300.0</v>
      </c>
      <c r="F7" s="19"/>
      <c r="G7" s="24">
        <f t="shared" si="1"/>
        <v>0.07445652174</v>
      </c>
      <c r="I7" s="25">
        <f t="shared" si="2"/>
        <v>13700</v>
      </c>
    </row>
    <row r="8">
      <c r="B8" s="20">
        <v>4.0</v>
      </c>
      <c r="C8" s="15" t="s">
        <v>11</v>
      </c>
      <c r="D8" s="21">
        <f>IFERROR(__xludf.DUMMYFUNCTION("IMPORTRANGE(""https://docs.google.com/spreadsheets/d/1pyyHucRwXx53i_nj5fbvcXBCBRfvWil0jmXvcEVKx6s"", ""2026!suma_cap4"")"),1929680.0)</f>
        <v>1929680</v>
      </c>
      <c r="E8" s="17">
        <v>1727680.0</v>
      </c>
      <c r="F8" s="19"/>
      <c r="G8" s="24">
        <f t="shared" si="1"/>
        <v>0.1046805688</v>
      </c>
      <c r="I8" s="25">
        <f t="shared" si="2"/>
        <v>202000</v>
      </c>
      <c r="J8" s="27"/>
      <c r="K8" s="27" t="s">
        <v>19</v>
      </c>
      <c r="L8" s="27" t="s">
        <v>20</v>
      </c>
    </row>
    <row r="9">
      <c r="B9" s="20">
        <v>5.0</v>
      </c>
      <c r="C9" s="15" t="s">
        <v>12</v>
      </c>
      <c r="D9" s="21">
        <f>IFERROR(__xludf.DUMMYFUNCTION("IMPORTRANGE(""https://docs.google.com/spreadsheets/d/1pyyHucRwXx53i_nj5fbvcXBCBRfvWil0jmXvcEVKx6s"", ""2026!suma_cap5"")"),50000.0)</f>
        <v>50000</v>
      </c>
      <c r="E9" s="17">
        <v>50000.0</v>
      </c>
      <c r="F9" s="19"/>
      <c r="G9" s="24">
        <f t="shared" si="1"/>
        <v>0</v>
      </c>
      <c r="I9" s="25">
        <f t="shared" si="2"/>
        <v>0</v>
      </c>
      <c r="J9" s="27"/>
      <c r="K9" s="27" t="s">
        <v>21</v>
      </c>
      <c r="L9" s="27" t="s">
        <v>20</v>
      </c>
    </row>
    <row r="10">
      <c r="B10" s="20">
        <v>6.0</v>
      </c>
      <c r="C10" s="15" t="s">
        <v>13</v>
      </c>
      <c r="D10" s="21">
        <f>IFERROR(__xludf.DUMMYFUNCTION("IMPORTRANGE(""https://docs.google.com/spreadsheets/d/1pyyHucRwXx53i_nj5fbvcXBCBRfvWil0jmXvcEVKx6s"", ""2026!suma_cap6"")"),2.420694285E7)</f>
        <v>24206942.85</v>
      </c>
      <c r="E10" s="17">
        <v>2.7237906700000003E7</v>
      </c>
      <c r="F10" s="19"/>
      <c r="G10" s="24">
        <f t="shared" si="1"/>
        <v>-0.1252105179</v>
      </c>
      <c r="I10" s="25">
        <f t="shared" si="2"/>
        <v>-3030963.85</v>
      </c>
    </row>
    <row r="11">
      <c r="B11" s="20">
        <v>7.0</v>
      </c>
      <c r="C11" s="15" t="s">
        <v>14</v>
      </c>
      <c r="D11" s="21">
        <f>IFERROR(__xludf.DUMMYFUNCTION("IMPORTRANGE(""https://docs.google.com/spreadsheets/d/1pyyHucRwXx53i_nj5fbvcXBCBRfvWil0jmXvcEVKx6s"", ""2026!suma_cap7"")"),120000.0)</f>
        <v>120000</v>
      </c>
      <c r="E11" s="17">
        <v>100000.0</v>
      </c>
      <c r="F11" s="19"/>
      <c r="G11" s="24">
        <f t="shared" si="1"/>
        <v>0.1666666667</v>
      </c>
      <c r="I11" s="25">
        <f t="shared" si="2"/>
        <v>20000</v>
      </c>
      <c r="J11" s="27"/>
      <c r="K11" s="27" t="s">
        <v>22</v>
      </c>
      <c r="L11" s="27" t="s">
        <v>23</v>
      </c>
    </row>
    <row r="12">
      <c r="B12" s="22"/>
      <c r="C12" s="23" t="s">
        <v>15</v>
      </c>
      <c r="D12" s="30">
        <f>SUM(D5:D11)</f>
        <v>63730861.35</v>
      </c>
      <c r="E12" s="31">
        <v>6.45283152E7</v>
      </c>
      <c r="F12" s="19"/>
      <c r="G12" s="24">
        <f t="shared" si="1"/>
        <v>-0.01251283653</v>
      </c>
      <c r="I12" s="25">
        <f t="shared" si="2"/>
        <v>-797453.85</v>
      </c>
    </row>
    <row r="13">
      <c r="B13" s="20">
        <v>8.0</v>
      </c>
      <c r="C13" s="15" t="s">
        <v>24</v>
      </c>
      <c r="D13" s="21">
        <f>IFERROR(__xludf.DUMMYFUNCTION("IMPORTRANGE(""https://docs.google.com/spreadsheets/d/1pyyHucRwXx53i_nj5fbvcXBCBRfvWil0jmXvcEVKx6s"", ""2026!suma_cap8"")"),15000.0)</f>
        <v>15000</v>
      </c>
      <c r="E13" s="32">
        <v>15000.0</v>
      </c>
      <c r="F13" s="19"/>
      <c r="G13" s="24">
        <f t="shared" si="1"/>
        <v>0</v>
      </c>
      <c r="I13" s="25">
        <f t="shared" si="2"/>
        <v>0</v>
      </c>
      <c r="N13" s="33" t="s">
        <v>25</v>
      </c>
      <c r="O13" s="35" t="s">
        <v>27</v>
      </c>
    </row>
    <row r="14">
      <c r="B14" s="20">
        <v>9.0</v>
      </c>
      <c r="C14" s="15" t="s">
        <v>26</v>
      </c>
      <c r="D14" s="21">
        <f>IFERROR(__xludf.DUMMYFUNCTION("IMPORTRANGE(""https://docs.google.com/spreadsheets/d/1pyyHucRwXx53i_nj5fbvcXBCBRfvWil0jmXvcEVKx6s"", ""2026!suma_cap9"")"),535000.0)</f>
        <v>535000</v>
      </c>
      <c r="E14" s="34">
        <v>535000.0</v>
      </c>
      <c r="F14" s="19"/>
      <c r="G14" s="24">
        <f t="shared" si="1"/>
        <v>0</v>
      </c>
      <c r="I14" s="25">
        <f t="shared" si="2"/>
        <v>0</v>
      </c>
      <c r="J14" s="38"/>
      <c r="K14" s="40" t="s">
        <v>29</v>
      </c>
      <c r="L14" s="43">
        <f>SUM(D20:D24)-SUM(D5:D9,D11,D14)</f>
        <v>2306188.11</v>
      </c>
      <c r="N14" s="44">
        <f>IFERROR(__xludf.DUMMYFUNCTION("IMPORTRANGE(""https://docs.google.com/spreadsheets/d/1GtVEW9YZse0IzniQ0R5fmny0v0Q2UBTfAmCwTvKHgjI"", ""2026!suma_cap6_cuentaremunerada"")"),34000.0)</f>
        <v>34000</v>
      </c>
      <c r="O14" s="44">
        <f>IFERROR(__xludf.DUMMYFUNCTION("IMPORTRANGE(""https://docs.google.com/spreadsheets/d/1GtVEW9YZse0IzniQ0R5fmny0v0Q2UBTfAmCwTvKHgjI"", ""2026!suma_cap6_unespa"")"),100000.0)</f>
        <v>100000</v>
      </c>
    </row>
    <row r="15" ht="15.75" customHeight="1">
      <c r="B15" s="36"/>
      <c r="C15" s="37" t="s">
        <v>28</v>
      </c>
      <c r="D15" s="39">
        <f>SUM(D13:D14)</f>
        <v>550000</v>
      </c>
      <c r="E15" s="41">
        <v>550000.0</v>
      </c>
      <c r="F15" s="19"/>
      <c r="G15" s="24">
        <f t="shared" si="1"/>
        <v>0</v>
      </c>
      <c r="I15" s="25">
        <f t="shared" si="2"/>
        <v>0</v>
      </c>
      <c r="L15" s="49">
        <f>N6-N18</f>
        <v>2176188.11</v>
      </c>
      <c r="N15" s="51" t="s">
        <v>31</v>
      </c>
    </row>
    <row r="16" ht="15.75" customHeight="1">
      <c r="B16" s="42" t="s">
        <v>30</v>
      </c>
      <c r="C16" s="7"/>
      <c r="D16" s="45">
        <f>D12+D15</f>
        <v>64280861.35</v>
      </c>
      <c r="E16" s="45">
        <v>6.50783152E7</v>
      </c>
      <c r="F16" s="19"/>
      <c r="G16" s="24">
        <f t="shared" si="1"/>
        <v>-0.01240577418</v>
      </c>
      <c r="I16" s="25">
        <f t="shared" si="2"/>
        <v>-797453.85</v>
      </c>
      <c r="N16" s="25">
        <f>L14-N14</f>
        <v>2272188.11</v>
      </c>
    </row>
    <row r="17" ht="27.75" customHeight="1">
      <c r="B17" s="46"/>
      <c r="C17" s="47"/>
      <c r="D17" s="48"/>
      <c r="E17" s="50"/>
      <c r="F17" s="19"/>
      <c r="G17" s="19"/>
      <c r="I17" s="25"/>
      <c r="N17" s="51" t="s">
        <v>27</v>
      </c>
    </row>
    <row r="18" ht="21.0" customHeight="1">
      <c r="B18" s="52" t="s">
        <v>32</v>
      </c>
      <c r="C18" s="6"/>
      <c r="D18" s="7"/>
      <c r="E18" s="1"/>
      <c r="F18" s="19"/>
      <c r="G18" s="19"/>
      <c r="I18" s="25"/>
      <c r="J18" s="57"/>
      <c r="N18" s="44">
        <f>IFERROR(__xludf.DUMMYFUNCTION("IMPORTRANGE(""https://docs.google.com/spreadsheets/d/1GhmfIiLcbUNhz2oz-1f97fv1-6ndOphgTEzjEHx9WF0"", ""2026!UNESPA"")"),240000.0)</f>
        <v>240000</v>
      </c>
    </row>
    <row r="19">
      <c r="B19" s="53" t="s">
        <v>3</v>
      </c>
      <c r="C19" s="54" t="s">
        <v>4</v>
      </c>
      <c r="D19" s="55" t="s">
        <v>5</v>
      </c>
      <c r="E19" s="12" t="s">
        <v>6</v>
      </c>
      <c r="F19" s="19"/>
      <c r="G19" s="19"/>
      <c r="I19" s="25"/>
      <c r="J19" s="59"/>
      <c r="K19" s="59"/>
    </row>
    <row r="20">
      <c r="B20" s="13">
        <v>1.0</v>
      </c>
      <c r="C20" s="15" t="s">
        <v>33</v>
      </c>
      <c r="D20" s="21">
        <f>IFERROR(__xludf.DUMMYFUNCTION("IMPORTRANGE(""https://docs.google.com/spreadsheets/d/1GhmfIiLcbUNhz2oz-1f97fv1-6ndOphgTEzjEHx9WF0"", ""2026!suma_cap1"")"),1.66E7)</f>
        <v>16600000</v>
      </c>
      <c r="E20" s="56">
        <v>1.582E7</v>
      </c>
      <c r="F20" s="19"/>
      <c r="G20" s="24">
        <f t="shared" ref="G20:G31" si="3">((D20-E20)/D20)</f>
        <v>0.04698795181</v>
      </c>
      <c r="I20" s="25">
        <f t="shared" ref="I20:I31" si="4">D20-E20</f>
        <v>780000</v>
      </c>
      <c r="J20" s="65"/>
      <c r="K20" s="65"/>
      <c r="L20" s="65"/>
    </row>
    <row r="21" ht="15.75" customHeight="1">
      <c r="B21" s="20">
        <v>2.0</v>
      </c>
      <c r="C21" s="15" t="s">
        <v>34</v>
      </c>
      <c r="D21" s="21">
        <f>IFERROR(__xludf.DUMMYFUNCTION("IMPORTRANGE(""https://docs.google.com/spreadsheets/d/1GhmfIiLcbUNhz2oz-1f97fv1-6ndOphgTEzjEHx9WF0"", ""2026!suma_cap2"")"),900000.0)</f>
        <v>900000</v>
      </c>
      <c r="E21" s="56">
        <v>900000.0</v>
      </c>
      <c r="F21" s="19"/>
      <c r="G21" s="24">
        <f t="shared" si="3"/>
        <v>0</v>
      </c>
      <c r="I21" s="25">
        <f t="shared" si="4"/>
        <v>0</v>
      </c>
      <c r="J21" s="27"/>
      <c r="K21" s="27" t="s">
        <v>39</v>
      </c>
      <c r="L21" s="25">
        <f>D31-D16</f>
        <v>0.004299998283</v>
      </c>
    </row>
    <row r="22" ht="15.75" customHeight="1">
      <c r="B22" s="20">
        <v>3.0</v>
      </c>
      <c r="C22" s="15" t="s">
        <v>35</v>
      </c>
      <c r="D22" s="21">
        <f>IFERROR(__xludf.DUMMYFUNCTION("IMPORTRANGE(""https://docs.google.com/spreadsheets/d/1GhmfIiLcbUNhz2oz-1f97fv1-6ndOphgTEzjEHx9WF0"", ""2026!suma_cap3"")"),8359410.0)</f>
        <v>8359410</v>
      </c>
      <c r="E22" s="56">
        <v>7086060.0</v>
      </c>
      <c r="F22" s="19"/>
      <c r="G22" s="24">
        <f t="shared" si="3"/>
        <v>0.1523253435</v>
      </c>
      <c r="I22" s="25">
        <f t="shared" si="4"/>
        <v>1273350</v>
      </c>
      <c r="J22" s="65"/>
      <c r="K22" s="65"/>
      <c r="L22" s="65"/>
    </row>
    <row r="23" ht="15.75" customHeight="1">
      <c r="B23" s="20">
        <v>4.0</v>
      </c>
      <c r="C23" s="15" t="s">
        <v>11</v>
      </c>
      <c r="D23" s="21">
        <f>IFERROR(__xludf.DUMMYFUNCTION("IMPORTRANGE(""https://docs.google.com/spreadsheets/d/1GhmfIiLcbUNhz2oz-1f97fv1-6ndOphgTEzjEHx9WF0"", ""2026!suma_cap4"")"),1.441958261E7)</f>
        <v>14419582.61</v>
      </c>
      <c r="E23" s="56">
        <v>1.364097359E7</v>
      </c>
      <c r="F23" s="19"/>
      <c r="G23" s="24">
        <f t="shared" si="3"/>
        <v>0.05399664061</v>
      </c>
      <c r="I23" s="25">
        <f t="shared" si="4"/>
        <v>778609.02</v>
      </c>
    </row>
    <row r="24" ht="15.75" customHeight="1">
      <c r="B24" s="20">
        <v>5.0</v>
      </c>
      <c r="C24" s="15" t="s">
        <v>36</v>
      </c>
      <c r="D24" s="21">
        <f>IFERROR(__xludf.DUMMYFUNCTION("IMPORTRANGE(""https://docs.google.com/spreadsheets/d/1GhmfIiLcbUNhz2oz-1f97fv1-6ndOphgTEzjEHx9WF0"", ""2026!suma_cap5"")"),2086114.0)</f>
        <v>2086114</v>
      </c>
      <c r="E24" s="56">
        <v>671028.12</v>
      </c>
      <c r="F24" s="19"/>
      <c r="G24" s="24">
        <f t="shared" si="3"/>
        <v>0.678335834</v>
      </c>
      <c r="I24" s="25">
        <f t="shared" si="4"/>
        <v>1415085.88</v>
      </c>
      <c r="J24" s="65"/>
      <c r="K24" s="65"/>
    </row>
    <row r="25" ht="15.75" customHeight="1">
      <c r="B25" s="20">
        <v>6.0</v>
      </c>
      <c r="C25" s="15" t="s">
        <v>37</v>
      </c>
      <c r="D25" s="21">
        <f>IFERROR(__xludf.DUMMYFUNCTION("IMPORTRANGE(""https://docs.google.com/spreadsheets/d/1GhmfIiLcbUNhz2oz-1f97fv1-6ndOphgTEzjEHx9WF0"", ""2026!suma_cap6"")"),110000.0)</f>
        <v>110000</v>
      </c>
      <c r="E25" s="56">
        <v>0.0</v>
      </c>
      <c r="F25" s="19"/>
      <c r="G25" s="24">
        <f t="shared" si="3"/>
        <v>1</v>
      </c>
      <c r="I25" s="25">
        <f t="shared" si="4"/>
        <v>110000</v>
      </c>
      <c r="K25" s="25"/>
      <c r="L25" s="25">
        <f>L21-N6</f>
        <v>-2416188.106</v>
      </c>
    </row>
    <row r="26" ht="15.75" customHeight="1">
      <c r="B26" s="20">
        <v>7.0</v>
      </c>
      <c r="C26" s="15" t="s">
        <v>14</v>
      </c>
      <c r="D26" s="21">
        <f>IFERROR(__xludf.DUMMYFUNCTION("IMPORTRANGE(""https://docs.google.com/spreadsheets/d/1GhmfIiLcbUNhz2oz-1f97fv1-6ndOphgTEzjEHx9WF0"", ""2026!suma_cap7"")"),1445600.95)</f>
        <v>1445600.95</v>
      </c>
      <c r="E26" s="56">
        <v>1931060.4</v>
      </c>
      <c r="F26" s="19"/>
      <c r="G26" s="24">
        <f t="shared" si="3"/>
        <v>-0.3358184359</v>
      </c>
      <c r="I26" s="25">
        <f t="shared" si="4"/>
        <v>-485459.45</v>
      </c>
      <c r="J26" s="65"/>
      <c r="K26" s="65"/>
    </row>
    <row r="27" ht="15.75" customHeight="1">
      <c r="B27" s="22"/>
      <c r="C27" s="23" t="s">
        <v>15</v>
      </c>
      <c r="D27" s="58">
        <f>SUM(D20:D26)</f>
        <v>43920707.56</v>
      </c>
      <c r="E27" s="31">
        <v>4.004912211E7</v>
      </c>
      <c r="F27" s="19"/>
      <c r="G27" s="24">
        <f t="shared" si="3"/>
        <v>0.08814943258</v>
      </c>
      <c r="I27" s="25">
        <f t="shared" si="4"/>
        <v>3871585.45</v>
      </c>
    </row>
    <row r="28" ht="15.75" customHeight="1">
      <c r="B28" s="20">
        <v>8.0</v>
      </c>
      <c r="C28" s="60" t="s">
        <v>24</v>
      </c>
      <c r="D28" s="70">
        <f>IFERROR(__xludf.DUMMYFUNCTION("IMPORTRANGE(""https://docs.google.com/spreadsheets/d/1GhmfIiLcbUNhz2oz-1f97fv1-6ndOphgTEzjEHx9WF0"", ""2026!suma_cap8"")"),198530.1499999999)</f>
        <v>198530.15</v>
      </c>
      <c r="E28" s="56">
        <v>4571700.16</v>
      </c>
      <c r="F28" s="19"/>
      <c r="G28" s="24">
        <f t="shared" si="3"/>
        <v>-22.0277374</v>
      </c>
      <c r="I28" s="25">
        <f t="shared" si="4"/>
        <v>-4373170.01</v>
      </c>
      <c r="J28" s="65"/>
      <c r="K28" s="65"/>
      <c r="M28" s="27" t="s">
        <v>40</v>
      </c>
      <c r="N28" s="27" t="s">
        <v>41</v>
      </c>
    </row>
    <row r="29" ht="15.75" customHeight="1">
      <c r="B29" s="20">
        <v>9.0</v>
      </c>
      <c r="C29" s="60" t="s">
        <v>26</v>
      </c>
      <c r="D29" s="71">
        <f>IFERROR(__xludf.DUMMYFUNCTION("IMPORTRANGE(""https://docs.google.com/spreadsheets/d/1GhmfIiLcbUNhz2oz-1f97fv1-6ndOphgTEzjEHx9WF0"", ""2026!suma_cap9"")"),2.01616236443E7)</f>
        <v>20161623.64</v>
      </c>
      <c r="E29" s="56">
        <v>2.0457492930000003E7</v>
      </c>
      <c r="F29" s="19"/>
      <c r="G29" s="24">
        <f t="shared" si="3"/>
        <v>-0.01467487395</v>
      </c>
      <c r="I29" s="25">
        <f t="shared" si="4"/>
        <v>-295869.2857</v>
      </c>
      <c r="J29" s="72"/>
      <c r="L29" s="72"/>
      <c r="M29" s="73" t="str">
        <f>IFERROR(__xludf.DUMMYFUNCTION("IMPORTRANGE(""https://docs.google.com/spreadsheets/d/1GhmfIiLcbUNhz2oz-1f97fv1-6ndOphgTEzjEHx9WF0"", ""2025!ing_75083"")"),"#REF!")</f>
        <v>#REF!</v>
      </c>
      <c r="N29" s="44" t="str">
        <f>IFERROR(__xludf.DUMMYFUNCTION("IMPORTRANGE(""https://docs.google.com/spreadsheets/d/1CWffE_fmwY77uhgMYjfUbNKvG6VWeKQmR1hn2RIBmiU"", ""2025!suma_cap6_subvenciones"")"),"#REF!")</f>
        <v>#REF!</v>
      </c>
    </row>
    <row r="30" ht="15.75" customHeight="1">
      <c r="B30" s="63"/>
      <c r="C30" s="64" t="s">
        <v>28</v>
      </c>
      <c r="D30" s="66">
        <f>SUM(D28:D29)</f>
        <v>20360153.79</v>
      </c>
      <c r="E30" s="41">
        <v>2.5029193090000004E7</v>
      </c>
      <c r="F30" s="19"/>
      <c r="G30" s="24">
        <f t="shared" si="3"/>
        <v>-0.2293223982</v>
      </c>
      <c r="I30" s="25">
        <f t="shared" si="4"/>
        <v>-4669039.296</v>
      </c>
      <c r="M30" s="27"/>
    </row>
    <row r="31" ht="15.75" customHeight="1">
      <c r="B31" s="67" t="s">
        <v>38</v>
      </c>
      <c r="C31" s="7"/>
      <c r="D31" s="68">
        <f>D27+D30</f>
        <v>64280861.35</v>
      </c>
      <c r="E31" s="68">
        <v>6.50783152E7</v>
      </c>
      <c r="F31" s="19"/>
      <c r="G31" s="24">
        <f t="shared" si="3"/>
        <v>-0.01240577411</v>
      </c>
      <c r="I31" s="25">
        <f t="shared" si="4"/>
        <v>-797453.8457</v>
      </c>
      <c r="M31" s="27" t="s">
        <v>42</v>
      </c>
      <c r="N31" s="73" t="str">
        <f>M29-N29</f>
        <v>#REF!</v>
      </c>
    </row>
    <row r="32" ht="15.75" customHeight="1">
      <c r="B32" s="27"/>
      <c r="C32" s="27"/>
      <c r="D32" s="1"/>
      <c r="E32" s="1"/>
      <c r="F32" s="19"/>
      <c r="G32" s="19"/>
      <c r="K32" s="74">
        <f>D31-D16</f>
        <v>0.004299998283</v>
      </c>
      <c r="N32" s="25" t="str">
        <f>K32-N31</f>
        <v>#REF!</v>
      </c>
    </row>
    <row r="33" ht="15.75" customHeight="1">
      <c r="B33" s="27"/>
      <c r="C33" s="27"/>
      <c r="D33" s="69"/>
      <c r="E33" s="1"/>
      <c r="F33" s="3"/>
      <c r="G33" s="3"/>
    </row>
    <row r="34" ht="15.75" customHeight="1">
      <c r="B34" s="27"/>
      <c r="D34" s="1"/>
      <c r="E34" s="1"/>
      <c r="F34" s="3"/>
      <c r="G34" s="3"/>
    </row>
    <row r="35" ht="15.75" customHeight="1">
      <c r="D35" s="1"/>
      <c r="E35" s="1"/>
      <c r="F35" s="3"/>
      <c r="G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B3:D3"/>
    <mergeCell ref="K4:N4"/>
    <mergeCell ref="B16:C16"/>
    <mergeCell ref="B18:D18"/>
    <mergeCell ref="B31:C31"/>
  </mergeCells>
  <conditionalFormatting sqref="F1:G35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K32">
    <cfRule type="cellIs" dxfId="0" priority="2" operator="greaterThan">
      <formula>0</formula>
    </cfRule>
  </conditionalFormatting>
  <conditionalFormatting sqref="K32">
    <cfRule type="cellIs" dxfId="1" priority="3" operator="lessThan">
      <formula>0</formula>
    </cfRule>
  </conditionalFormatting>
  <printOptions/>
  <pageMargins bottom="0.75" footer="0.0" header="0.0" left="0.7" right="0.7" top="0.75"/>
  <pageSetup fitToHeight="0" paperSize="9" orientation="portrait"/>
  <headerFooter>
    <oddHeader>&amp;L&amp;F</oddHeader>
    <oddFooter>&amp;CPresupuesto Ayuntamiento Aranda de Duero 2026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.57"/>
    <col customWidth="1" min="3" max="3" width="40.71"/>
    <col customWidth="1" min="4" max="4" width="19.0"/>
    <col customWidth="1" min="5" max="5" width="16.43"/>
    <col customWidth="1" min="6" max="6" width="10.0"/>
  </cols>
  <sheetData>
    <row r="1" ht="15.75" customHeight="1">
      <c r="D1" s="1"/>
      <c r="E1" s="1"/>
      <c r="F1" s="3"/>
    </row>
    <row r="2" ht="20.25" customHeight="1">
      <c r="B2" s="5" t="s">
        <v>0</v>
      </c>
      <c r="C2" s="6"/>
      <c r="D2" s="7"/>
      <c r="E2" s="1"/>
      <c r="F2" s="3"/>
    </row>
    <row r="3" ht="20.25" customHeight="1">
      <c r="B3" s="8" t="s">
        <v>2</v>
      </c>
      <c r="C3" s="6"/>
      <c r="D3" s="7"/>
      <c r="E3" s="1"/>
      <c r="F3" s="3"/>
    </row>
    <row r="4">
      <c r="B4" s="9" t="s">
        <v>3</v>
      </c>
      <c r="C4" s="10" t="s">
        <v>4</v>
      </c>
      <c r="D4" s="11" t="s">
        <v>5</v>
      </c>
      <c r="E4" s="12" t="s">
        <v>6</v>
      </c>
      <c r="F4" s="3"/>
    </row>
    <row r="5">
      <c r="B5" s="13">
        <v>1.0</v>
      </c>
      <c r="C5" s="15" t="s">
        <v>7</v>
      </c>
      <c r="D5" s="16">
        <v>1.595E7</v>
      </c>
      <c r="E5" s="17">
        <v>1.55623985E7</v>
      </c>
      <c r="F5" s="19"/>
    </row>
    <row r="6">
      <c r="B6" s="20">
        <v>2.0</v>
      </c>
      <c r="C6" s="15" t="s">
        <v>9</v>
      </c>
      <c r="D6" s="16">
        <v>2.03E7</v>
      </c>
      <c r="E6" s="17">
        <v>1.968003E7</v>
      </c>
      <c r="F6" s="19"/>
    </row>
    <row r="7">
      <c r="B7" s="20">
        <v>3.0</v>
      </c>
      <c r="C7" s="15" t="s">
        <v>10</v>
      </c>
      <c r="D7" s="16">
        <v>180000.0</v>
      </c>
      <c r="E7" s="17">
        <v>170300.0</v>
      </c>
      <c r="F7" s="19"/>
    </row>
    <row r="8">
      <c r="B8" s="20">
        <v>4.0</v>
      </c>
      <c r="C8" s="15" t="s">
        <v>11</v>
      </c>
      <c r="D8" s="16">
        <v>1750000.0</v>
      </c>
      <c r="E8" s="17">
        <v>1727680.0</v>
      </c>
      <c r="F8" s="19"/>
    </row>
    <row r="9">
      <c r="B9" s="20">
        <v>5.0</v>
      </c>
      <c r="C9" s="15" t="s">
        <v>12</v>
      </c>
      <c r="D9" s="21">
        <v>250000.0</v>
      </c>
      <c r="E9" s="17">
        <v>50000.0</v>
      </c>
      <c r="F9" s="19"/>
    </row>
    <row r="10">
      <c r="B10" s="20">
        <v>6.0</v>
      </c>
      <c r="C10" s="15" t="s">
        <v>13</v>
      </c>
      <c r="D10" s="16">
        <v>1.71E7</v>
      </c>
      <c r="E10" s="17">
        <v>2.7237906700000003E7</v>
      </c>
      <c r="F10" s="19"/>
    </row>
    <row r="11">
      <c r="B11" s="20">
        <v>7.0</v>
      </c>
      <c r="C11" s="15" t="s">
        <v>14</v>
      </c>
      <c r="D11" s="21">
        <v>100000.0</v>
      </c>
      <c r="E11" s="17">
        <v>100000.0</v>
      </c>
      <c r="F11" s="19"/>
    </row>
    <row r="12">
      <c r="B12" s="22"/>
      <c r="C12" s="23" t="s">
        <v>15</v>
      </c>
      <c r="D12" s="30">
        <f>SUM(D5:D11)</f>
        <v>55630000</v>
      </c>
      <c r="E12" s="31">
        <v>6.45283152E7</v>
      </c>
      <c r="F12" s="19"/>
    </row>
    <row r="13">
      <c r="B13" s="20">
        <v>8.0</v>
      </c>
      <c r="C13" s="15" t="s">
        <v>24</v>
      </c>
      <c r="D13" s="21">
        <v>15000.0</v>
      </c>
      <c r="E13" s="32">
        <v>15000.0</v>
      </c>
      <c r="F13" s="19"/>
    </row>
    <row r="14">
      <c r="B14" s="20">
        <v>9.0</v>
      </c>
      <c r="C14" s="15" t="s">
        <v>26</v>
      </c>
      <c r="D14" s="21">
        <v>535000.0</v>
      </c>
      <c r="E14" s="34">
        <v>535000.0</v>
      </c>
      <c r="F14" s="19"/>
    </row>
    <row r="15" ht="15.75" customHeight="1">
      <c r="B15" s="36"/>
      <c r="C15" s="37" t="s">
        <v>28</v>
      </c>
      <c r="D15" s="39">
        <v>550000.0</v>
      </c>
      <c r="E15" s="41">
        <v>550000.0</v>
      </c>
      <c r="F15" s="19"/>
    </row>
    <row r="16" ht="15.75" customHeight="1">
      <c r="B16" s="42" t="s">
        <v>30</v>
      </c>
      <c r="C16" s="7"/>
      <c r="D16" s="45">
        <f>SUM(D12,D15)</f>
        <v>56180000</v>
      </c>
      <c r="E16" s="45">
        <v>6.50783152E7</v>
      </c>
      <c r="F16" s="19"/>
    </row>
    <row r="17" ht="27.75" customHeight="1">
      <c r="B17" s="46"/>
      <c r="C17" s="47"/>
      <c r="D17" s="48"/>
      <c r="E17" s="50"/>
      <c r="F17" s="19"/>
    </row>
    <row r="18" ht="21.0" customHeight="1">
      <c r="B18" s="52" t="s">
        <v>32</v>
      </c>
      <c r="C18" s="6"/>
      <c r="D18" s="7"/>
      <c r="E18" s="1"/>
      <c r="F18" s="19"/>
    </row>
    <row r="19">
      <c r="B19" s="53" t="s">
        <v>3</v>
      </c>
      <c r="C19" s="54" t="s">
        <v>4</v>
      </c>
      <c r="D19" s="55" t="s">
        <v>5</v>
      </c>
      <c r="E19" s="12" t="s">
        <v>6</v>
      </c>
      <c r="F19" s="19"/>
    </row>
    <row r="20">
      <c r="B20" s="13">
        <v>1.0</v>
      </c>
      <c r="C20" s="15" t="s">
        <v>33</v>
      </c>
      <c r="D20" s="16">
        <v>1.46E7</v>
      </c>
      <c r="E20" s="56">
        <v>1.582E7</v>
      </c>
      <c r="F20" s="19"/>
    </row>
    <row r="21" ht="15.75" customHeight="1">
      <c r="B21" s="20">
        <v>2.0</v>
      </c>
      <c r="C21" s="15" t="s">
        <v>34</v>
      </c>
      <c r="D21" s="21">
        <v>900000.0</v>
      </c>
      <c r="E21" s="56">
        <v>900000.0</v>
      </c>
      <c r="F21" s="19"/>
    </row>
    <row r="22" ht="15.75" customHeight="1">
      <c r="B22" s="20">
        <v>3.0</v>
      </c>
      <c r="C22" s="15" t="s">
        <v>35</v>
      </c>
      <c r="D22" s="16">
        <v>9700000.0</v>
      </c>
      <c r="E22" s="56">
        <v>7086060.0</v>
      </c>
      <c r="F22" s="19"/>
    </row>
    <row r="23" ht="15.75" customHeight="1">
      <c r="B23" s="20">
        <v>4.0</v>
      </c>
      <c r="C23" s="15" t="s">
        <v>11</v>
      </c>
      <c r="D23" s="16">
        <v>1.45E7</v>
      </c>
      <c r="E23" s="56">
        <v>1.364097359E7</v>
      </c>
      <c r="F23" s="19"/>
    </row>
    <row r="24" ht="15.75" customHeight="1">
      <c r="B24" s="20">
        <v>5.0</v>
      </c>
      <c r="C24" s="15" t="s">
        <v>36</v>
      </c>
      <c r="D24" s="16">
        <v>450000.0</v>
      </c>
      <c r="E24" s="56">
        <v>671028.12</v>
      </c>
      <c r="F24" s="19"/>
    </row>
    <row r="25" ht="15.75" customHeight="1">
      <c r="B25" s="20">
        <v>6.0</v>
      </c>
      <c r="C25" s="15" t="s">
        <v>37</v>
      </c>
      <c r="D25" s="21">
        <v>0.0</v>
      </c>
      <c r="E25" s="56">
        <v>0.0</v>
      </c>
      <c r="F25" s="19"/>
    </row>
    <row r="26" ht="15.75" customHeight="1">
      <c r="B26" s="20">
        <v>7.0</v>
      </c>
      <c r="C26" s="15" t="s">
        <v>14</v>
      </c>
      <c r="D26" s="16">
        <v>2250000.0</v>
      </c>
      <c r="E26" s="56">
        <v>1931060.4</v>
      </c>
      <c r="F26" s="19"/>
    </row>
    <row r="27" ht="15.75" customHeight="1">
      <c r="B27" s="22"/>
      <c r="C27" s="23" t="s">
        <v>15</v>
      </c>
      <c r="D27" s="58">
        <f>SUM(D20:D26)</f>
        <v>42400000</v>
      </c>
      <c r="E27" s="31">
        <v>4.004912211E7</v>
      </c>
      <c r="F27" s="19"/>
    </row>
    <row r="28" ht="15.75" customHeight="1">
      <c r="B28" s="20">
        <v>8.0</v>
      </c>
      <c r="C28" s="60" t="s">
        <v>24</v>
      </c>
      <c r="D28" s="61">
        <v>3500000.0</v>
      </c>
      <c r="E28" s="56">
        <v>4571700.16</v>
      </c>
      <c r="F28" s="19"/>
    </row>
    <row r="29" ht="15.75" customHeight="1">
      <c r="B29" s="20">
        <v>9.0</v>
      </c>
      <c r="C29" s="60" t="s">
        <v>26</v>
      </c>
      <c r="D29" s="62">
        <v>1.05E7</v>
      </c>
      <c r="E29" s="56">
        <v>2.0457492930000003E7</v>
      </c>
      <c r="F29" s="19"/>
    </row>
    <row r="30" ht="15.75" customHeight="1">
      <c r="B30" s="63"/>
      <c r="C30" s="64" t="s">
        <v>28</v>
      </c>
      <c r="D30" s="66">
        <f>SUM(D28:D29)</f>
        <v>14000000</v>
      </c>
      <c r="E30" s="41">
        <v>2.5029193090000004E7</v>
      </c>
      <c r="F30" s="19"/>
    </row>
    <row r="31" ht="15.75" customHeight="1">
      <c r="B31" s="67" t="s">
        <v>38</v>
      </c>
      <c r="C31" s="7"/>
      <c r="D31" s="68">
        <f>SUM(D27,D30)</f>
        <v>56400000</v>
      </c>
      <c r="E31" s="68">
        <v>6.50783152E7</v>
      </c>
      <c r="F31" s="19"/>
    </row>
    <row r="32" ht="15.75" customHeight="1">
      <c r="B32" s="27"/>
      <c r="C32" s="27"/>
      <c r="D32" s="1"/>
      <c r="E32" s="1"/>
      <c r="F32" s="19"/>
    </row>
    <row r="33" ht="15.75" customHeight="1">
      <c r="B33" s="27"/>
      <c r="C33" s="27"/>
      <c r="D33" s="69"/>
      <c r="E33" s="1"/>
      <c r="F33" s="3"/>
    </row>
    <row r="34" ht="15.75" customHeight="1">
      <c r="B34" s="27"/>
      <c r="D34" s="1"/>
      <c r="E34" s="1"/>
      <c r="F34" s="3"/>
    </row>
  </sheetData>
  <mergeCells count="5">
    <mergeCell ref="B2:D2"/>
    <mergeCell ref="B3:D3"/>
    <mergeCell ref="B16:C16"/>
    <mergeCell ref="B18:D18"/>
    <mergeCell ref="B31:C31"/>
  </mergeCells>
  <conditionalFormatting sqref="F1:F34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fitToHeight="0" paperSize="9" orientation="portrait"/>
  <headerFooter>
    <oddHeader>&amp;L&amp;F</oddHeader>
    <oddFooter>&amp;CPresupuesto Ayuntamiento Aranda de Duero 2025&amp;R&amp;P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2306188.11</v>
      </c>
    </row>
    <row r="2">
      <c r="A2" s="4">
        <v>110000.0</v>
      </c>
    </row>
    <row r="3">
      <c r="A3" s="2">
        <v>198530.15</v>
      </c>
    </row>
    <row r="4">
      <c r="A4" s="2">
        <v>1.774982364E7</v>
      </c>
    </row>
    <row r="5">
      <c r="A5" s="2">
        <v>1445600.95</v>
      </c>
    </row>
    <row r="7">
      <c r="A7" s="18">
        <f>SUM(A1:A5)</f>
        <v>21810142.85</v>
      </c>
    </row>
    <row r="9">
      <c r="A9" s="18">
        <f>SUM(A1:A5) - 21795142.85
</f>
        <v>15000</v>
      </c>
    </row>
  </sheetData>
  <drawing r:id="rId1"/>
</worksheet>
</file>