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" sheetId="1" r:id="rId5"/>
  </sheets>
  <definedNames>
    <definedName name="diff_ingreso_gasto">'2024'!$K$14</definedName>
  </definedNames>
  <calcPr/>
</workbook>
</file>

<file path=xl/sharedStrings.xml><?xml version="1.0" encoding="utf-8"?>
<sst xmlns="http://schemas.openxmlformats.org/spreadsheetml/2006/main" count="47" uniqueCount="36">
  <si>
    <t>PRESUPUESTO GENERAL AYUNTAMIENTO 2024</t>
  </si>
  <si>
    <t>ESTADO DE GASTOS</t>
  </si>
  <si>
    <t xml:space="preserve">CAP. </t>
  </si>
  <si>
    <t>DESCRIPCIÓN</t>
  </si>
  <si>
    <t>PREVISIONES 2024</t>
  </si>
  <si>
    <t>CRÉDITOS 2023</t>
  </si>
  <si>
    <t>Resumen</t>
  </si>
  <si>
    <t>GASTOS DE PERSONAL</t>
  </si>
  <si>
    <t>Ingresos 1-5</t>
  </si>
  <si>
    <t>Gastos de 1 a 5, 7 y 9</t>
  </si>
  <si>
    <t>Diff para Cap 6</t>
  </si>
  <si>
    <t>GASTOS CTES BIENES Y SERVICIOS</t>
  </si>
  <si>
    <t>GASTOS FINANCIEROS</t>
  </si>
  <si>
    <t>TRANSFERENCIAS CORRIENTES</t>
  </si>
  <si>
    <t xml:space="preserve">Cap 7 </t>
  </si>
  <si>
    <t>Al cap 6</t>
  </si>
  <si>
    <t>FONDO DE CONTINGENCIA</t>
  </si>
  <si>
    <t>Cap 8 (Remanente Tesorería Afectado, RTA)</t>
  </si>
  <si>
    <t xml:space="preserve">INVERSIONES REALES </t>
  </si>
  <si>
    <t>TRANSFERENCIAS DE CAPITAL</t>
  </si>
  <si>
    <t>Cap 9 (Préstamos)</t>
  </si>
  <si>
    <t>Pasivos, remanente</t>
  </si>
  <si>
    <t>TOTAL OP. NO FINANCIERAS</t>
  </si>
  <si>
    <t>ACTIVOS FINANCIEROS</t>
  </si>
  <si>
    <t>PASIVOS FINANCIEROS</t>
  </si>
  <si>
    <t>DIFERENCIA INGRESOS-GASTOS</t>
  </si>
  <si>
    <t>TOTAL OP. FINANCIERAS</t>
  </si>
  <si>
    <t>TOTAL GASTOS</t>
  </si>
  <si>
    <t>ESTADO DE INGRESOS</t>
  </si>
  <si>
    <t>IMPUESTOS DIRECTOS</t>
  </si>
  <si>
    <t>IMPUESTOS INDIRECTOS</t>
  </si>
  <si>
    <t>Diff total</t>
  </si>
  <si>
    <t>TASAS Y OTROS INGRESOS</t>
  </si>
  <si>
    <t>INGRESOS PATRIMONIALES</t>
  </si>
  <si>
    <t xml:space="preserve">ENAJENACIÓN INVERSIONES REALES </t>
  </si>
  <si>
    <t>TOTAL INGRESOS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</si>
</sst>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\ &quot;€&quot;"/>
    <numFmt numFmtId="165" formatCode="_-* #,##0.00\ &quot;€&quot;_-;\-* #,##0.00\ &quot;€&quot;_-;_-* &quot;-&quot;??\ &quot;€&quot;_-;_-@"/>
  </numFmts>
  <fonts count="15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  <font/>
    <font>
      <color theme="1"/>
      <name val="Calibri"/>
    </font>
    <font>
      <b/>
      <sz val="9.0"/>
      <color theme="1"/>
      <name val="Calibri"/>
    </font>
    <font>
      <b/>
      <color theme="1"/>
      <name val="Calibri"/>
      <scheme val="minor"/>
    </font>
    <font>
      <sz val="10.0"/>
      <color theme="1"/>
      <name val="Calibri"/>
    </font>
    <font>
      <sz val="9.0"/>
      <color theme="1"/>
      <name val="Calibri"/>
    </font>
    <font>
      <sz val="9.0"/>
      <color rgb="FF000000"/>
      <name val="Calibri"/>
    </font>
    <font>
      <b/>
      <sz val="10.0"/>
      <color theme="1"/>
      <name val="Calibri"/>
    </font>
    <font>
      <sz val="11.0"/>
      <color theme="1"/>
      <name val="Calibri"/>
    </font>
    <font>
      <sz val="11.0"/>
      <color rgb="FFFF0000"/>
      <name val="Calibri"/>
    </font>
    <font>
      <sz val="11.0"/>
      <color theme="0"/>
      <name val="Calibri"/>
    </font>
    <font>
      <sz val="30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DBE5F1"/>
        <bgColor rgb="FFDBE5F1"/>
      </patternFill>
    </fill>
    <fill>
      <patternFill patternType="solid">
        <fgColor rgb="FFFBD4B4"/>
        <bgColor rgb="FFFBD4B4"/>
      </patternFill>
    </fill>
    <fill>
      <patternFill patternType="solid">
        <fgColor rgb="FFE5E5E5"/>
        <bgColor rgb="FFE5E5E5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C2D69B"/>
        <bgColor rgb="FFC2D69B"/>
      </patternFill>
    </fill>
    <fill>
      <patternFill patternType="solid">
        <fgColor rgb="FFFFFFFF"/>
        <bgColor rgb="FFFFFFFF"/>
      </patternFill>
    </fill>
  </fills>
  <borders count="27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10" xfId="0" applyFont="1" applyNumberFormat="1"/>
    <xf borderId="1" fillId="2" fontId="2" numFmtId="0" xfId="0" applyAlignment="1" applyBorder="1" applyFill="1" applyFont="1">
      <alignment horizontal="center" readingOrder="0" shrinkToFit="0" vertical="center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Font="1"/>
    <xf borderId="0" fillId="0" fontId="4" numFmtId="10" xfId="0" applyFont="1" applyNumberFormat="1"/>
    <xf borderId="1" fillId="3" fontId="2" numFmtId="0" xfId="0" applyAlignment="1" applyBorder="1" applyFill="1" applyFont="1">
      <alignment horizontal="center" shrinkToFit="0" vertical="center" wrapText="0"/>
    </xf>
    <xf borderId="4" fillId="2" fontId="5" numFmtId="0" xfId="0" applyAlignment="1" applyBorder="1" applyFill="1" applyFont="1">
      <alignment horizontal="center" shrinkToFit="0" vertical="bottom" wrapText="0"/>
    </xf>
    <xf borderId="5" fillId="2" fontId="5" numFmtId="0" xfId="0" applyAlignment="1" applyBorder="1" applyFill="1" applyFont="1">
      <alignment horizontal="center" shrinkToFit="0" vertical="bottom" wrapText="0"/>
    </xf>
    <xf borderId="6" fillId="2" fontId="5" numFmtId="0" xfId="0" applyAlignment="1" applyBorder="1" applyFill="1" applyFont="1">
      <alignment horizontal="center" readingOrder="0" shrinkToFit="0" vertical="bottom" wrapText="0"/>
    </xf>
    <xf borderId="7" fillId="2" fontId="5" numFmtId="0" xfId="0" applyAlignment="1" applyBorder="1" applyFill="1" applyFont="1">
      <alignment horizontal="center" readingOrder="0" shrinkToFit="0" vertical="bottom" wrapText="0"/>
    </xf>
    <xf borderId="0" fillId="0" fontId="6" numFmtId="0" xfId="0" applyAlignment="1" applyFont="1">
      <alignment horizontal="center" readingOrder="0"/>
    </xf>
    <xf borderId="8" fillId="0" fontId="2" numFmtId="0" xfId="0" applyAlignment="1" applyBorder="1" applyFont="1">
      <alignment horizontal="center" shrinkToFit="0" vertical="bottom" wrapText="0"/>
    </xf>
    <xf borderId="9" fillId="0" fontId="7" numFmtId="0" xfId="0" applyAlignment="1" applyBorder="1" applyFont="1">
      <alignment shrinkToFit="0" vertical="bottom" wrapText="0"/>
    </xf>
    <xf borderId="10" fillId="0" fontId="8" numFmtId="164" xfId="0" applyAlignment="1" applyBorder="1" applyFont="1" applyNumberFormat="1">
      <alignment shrinkToFit="0" vertical="bottom" wrapText="0"/>
    </xf>
    <xf borderId="11" fillId="0" fontId="8" numFmtId="164" xfId="0" applyAlignment="1" applyBorder="1" applyFont="1" applyNumberFormat="1">
      <alignment readingOrder="0" shrinkToFit="0" vertical="bottom" wrapText="0"/>
    </xf>
    <xf borderId="0" fillId="4" fontId="9" numFmtId="10" xfId="0" applyFill="1" applyFont="1" applyNumberFormat="1"/>
    <xf borderId="0" fillId="0" fontId="1" numFmtId="164" xfId="0" applyFont="1" applyNumberFormat="1"/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6" numFmtId="0" xfId="0" applyAlignment="1" applyFont="1">
      <alignment readingOrder="0"/>
    </xf>
    <xf borderId="12" fillId="0" fontId="2" numFmtId="0" xfId="0" applyAlignment="1" applyBorder="1" applyFont="1">
      <alignment horizontal="center" shrinkToFit="0" vertical="bottom" wrapText="0"/>
    </xf>
    <xf borderId="0" fillId="0" fontId="1" numFmtId="0" xfId="0" applyAlignment="1" applyFont="1">
      <alignment horizontal="left"/>
    </xf>
    <xf borderId="0" fillId="0" fontId="1" numFmtId="164" xfId="0" applyAlignment="1" applyFont="1" applyNumberFormat="1">
      <alignment horizontal="left"/>
    </xf>
    <xf borderId="13" fillId="5" fontId="2" numFmtId="0" xfId="0" applyAlignment="1" applyBorder="1" applyFill="1" applyFont="1">
      <alignment horizontal="center" shrinkToFit="0" vertical="bottom" wrapText="0"/>
    </xf>
    <xf borderId="14" fillId="5" fontId="10" numFmtId="0" xfId="0" applyAlignment="1" applyBorder="1" applyFill="1" applyFont="1">
      <alignment horizontal="right" shrinkToFit="0" vertical="bottom" wrapText="0"/>
    </xf>
    <xf borderId="15" fillId="5" fontId="7" numFmtId="164" xfId="0" applyAlignment="1" applyBorder="1" applyFill="1" applyFont="1" applyNumberFormat="1">
      <alignment shrinkToFit="0" vertical="bottom" wrapText="0"/>
    </xf>
    <xf borderId="16" fillId="5" fontId="7" numFmtId="164" xfId="0" applyAlignment="1" applyBorder="1" applyFill="1" applyFont="1" applyNumberFormat="1">
      <alignment shrinkToFit="0" vertical="bottom" wrapText="0"/>
    </xf>
    <xf borderId="0" fillId="0" fontId="11" numFmtId="0" xfId="0" applyAlignment="1" applyFont="1">
      <alignment shrinkToFit="0" vertical="bottom" wrapText="0"/>
    </xf>
    <xf borderId="17" fillId="6" fontId="12" numFmtId="0" xfId="0" applyAlignment="1" applyBorder="1" applyFill="1" applyFont="1">
      <alignment readingOrder="0" shrinkToFit="0" vertical="bottom" wrapText="0"/>
    </xf>
    <xf borderId="17" fillId="6" fontId="12" numFmtId="164" xfId="0" applyAlignment="1" applyBorder="1" applyFill="1" applyFont="1" applyNumberFormat="1">
      <alignment shrinkToFit="0" vertical="bottom" wrapText="0"/>
    </xf>
    <xf borderId="18" fillId="5" fontId="7" numFmtId="0" xfId="0" applyAlignment="1" applyBorder="1" applyFill="1" applyFont="1">
      <alignment shrinkToFit="0" vertical="bottom" wrapText="0"/>
    </xf>
    <xf borderId="19" fillId="5" fontId="10" numFmtId="0" xfId="0" applyAlignment="1" applyBorder="1" applyFill="1" applyFont="1">
      <alignment horizontal="right" shrinkToFit="0" vertical="bottom" wrapText="0"/>
    </xf>
    <xf borderId="20" fillId="5" fontId="7" numFmtId="164" xfId="0" applyAlignment="1" applyBorder="1" applyFill="1" applyFont="1" applyNumberFormat="1">
      <alignment shrinkToFit="0" vertical="bottom" wrapText="0"/>
    </xf>
    <xf borderId="21" fillId="5" fontId="7" numFmtId="164" xfId="0" applyAlignment="1" applyBorder="1" applyFill="1" applyFont="1" applyNumberFormat="1">
      <alignment shrinkToFit="0" vertical="bottom" wrapText="0"/>
    </xf>
    <xf borderId="1" fillId="3" fontId="2" numFmtId="0" xfId="0" applyAlignment="1" applyBorder="1" applyFill="1" applyFont="1">
      <alignment horizontal="right" shrinkToFit="0" vertical="bottom" wrapText="0"/>
    </xf>
    <xf borderId="22" fillId="3" fontId="2" numFmtId="164" xfId="0" applyAlignment="1" applyBorder="1" applyFill="1" applyFont="1" applyNumberFormat="1">
      <alignment shrinkToFit="0" vertical="bottom" wrapText="0"/>
    </xf>
    <xf borderId="0" fillId="0" fontId="13" numFmtId="0" xfId="0" applyAlignment="1" applyFont="1">
      <alignment shrinkToFit="0" vertical="bottom" wrapText="0"/>
    </xf>
    <xf borderId="2" fillId="0" fontId="2" numFmtId="0" xfId="0" applyAlignment="1" applyBorder="1" applyFont="1">
      <alignment horizontal="right" shrinkToFit="0" vertical="bottom" wrapText="0"/>
    </xf>
    <xf borderId="2" fillId="0" fontId="2" numFmtId="164" xfId="0" applyAlignment="1" applyBorder="1" applyFont="1" applyNumberFormat="1">
      <alignment shrinkToFit="0" vertical="bottom" wrapText="0"/>
    </xf>
    <xf borderId="0" fillId="0" fontId="2" numFmtId="164" xfId="0" applyAlignment="1" applyFont="1" applyNumberFormat="1">
      <alignment shrinkToFit="0" vertical="bottom" wrapText="0"/>
    </xf>
    <xf borderId="1" fillId="7" fontId="2" numFmtId="0" xfId="0" applyAlignment="1" applyBorder="1" applyFill="1" applyFont="1">
      <alignment horizontal="center" shrinkToFit="0" vertical="center" wrapText="0"/>
    </xf>
    <xf borderId="0" fillId="0" fontId="1" numFmtId="0" xfId="0" applyAlignment="1" applyFont="1">
      <alignment horizontal="right"/>
    </xf>
    <xf borderId="23" fillId="2" fontId="5" numFmtId="0" xfId="0" applyAlignment="1" applyBorder="1" applyFill="1" applyFont="1">
      <alignment horizontal="center" shrinkToFit="0" vertical="bottom" wrapText="0"/>
    </xf>
    <xf borderId="5" fillId="2" fontId="5" numFmtId="0" xfId="0" applyAlignment="1" applyBorder="1" applyFill="1" applyFont="1">
      <alignment horizontal="center" readingOrder="0" shrinkToFit="0" vertical="bottom" wrapText="0"/>
    </xf>
    <xf borderId="0" fillId="0" fontId="5" numFmtId="0" xfId="0" applyAlignment="1" applyFont="1">
      <alignment horizontal="center" shrinkToFit="0" vertical="bottom" wrapText="0"/>
    </xf>
    <xf borderId="9" fillId="8" fontId="9" numFmtId="164" xfId="0" applyBorder="1" applyFill="1" applyFont="1" applyNumberFormat="1"/>
    <xf borderId="24" fillId="8" fontId="9" numFmtId="164" xfId="0" applyAlignment="1" applyBorder="1" applyFill="1" applyFont="1" applyNumberFormat="1">
      <alignment readingOrder="0"/>
    </xf>
    <xf borderId="0" fillId="0" fontId="11" numFmtId="164" xfId="0" applyAlignment="1" applyFont="1" applyNumberFormat="1">
      <alignment shrinkToFit="0" vertical="bottom" wrapText="0"/>
    </xf>
    <xf borderId="0" fillId="0" fontId="11" numFmtId="165" xfId="0" applyAlignment="1" applyFont="1" applyNumberFormat="1">
      <alignment shrinkToFit="0" vertical="bottom" wrapText="0"/>
    </xf>
    <xf borderId="25" fillId="5" fontId="11" numFmtId="0" xfId="0" applyAlignment="1" applyBorder="1" applyFill="1" applyFont="1">
      <alignment shrinkToFit="0" vertical="bottom" wrapText="0"/>
    </xf>
    <xf borderId="26" fillId="5" fontId="10" numFmtId="0" xfId="0" applyAlignment="1" applyBorder="1" applyFill="1" applyFont="1">
      <alignment horizontal="right" shrinkToFit="0" vertical="bottom" wrapText="0"/>
    </xf>
    <xf borderId="1" fillId="7" fontId="2" numFmtId="0" xfId="0" applyAlignment="1" applyBorder="1" applyFill="1" applyFont="1">
      <alignment horizontal="right" shrinkToFit="0" vertical="bottom" wrapText="0"/>
    </xf>
    <xf borderId="22" fillId="7" fontId="2" numFmtId="164" xfId="0" applyAlignment="1" applyBorder="1" applyFill="1" applyFont="1" applyNumberFormat="1">
      <alignment shrinkToFit="0" vertical="bottom" wrapText="0"/>
    </xf>
    <xf borderId="0" fillId="0" fontId="4" numFmtId="0" xfId="0" applyAlignment="1" applyFont="1">
      <alignment readingOrder="0"/>
    </xf>
    <xf borderId="0" fillId="0" fontId="14" numFmtId="164" xfId="0" applyFont="1" applyNumberFormat="1"/>
  </cellXfs>
  <cellStyles count="1">
    <cellStyle xfId="0" name="Normal" builtinId="0"/>
  </cellStyles>
  <dxfs count="2">
    <dxf>
      <font/>
      <fill>
        <patternFill patternType="solid">
          <fgColor rgb="FF38761D"/>
          <bgColor rgb="FF38761D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6.57"/>
    <col customWidth="1" min="3" max="3" width="40.71"/>
    <col customWidth="1" min="4" max="4" width="19.0"/>
    <col customWidth="1" min="5" max="5" width="16.43"/>
    <col customWidth="1" min="6" max="7" width="10.0"/>
    <col customWidth="1" min="8" max="8" width="14.57"/>
    <col customWidth="1" min="9" max="9" width="17.71"/>
    <col customWidth="1" min="10" max="10" width="40.29"/>
    <col customWidth="1" min="11" max="11" width="19.43"/>
    <col customWidth="1" min="12" max="12" width="10.0"/>
    <col customWidth="1" min="13" max="13" width="16.0"/>
  </cols>
  <sheetData>
    <row r="1" ht="15.75" customHeight="1">
      <c r="F1" s="1"/>
    </row>
    <row r="2" ht="20.25" customHeight="1">
      <c r="B2" s="2" t="s">
        <v>0</v>
      </c>
      <c r="C2" s="3"/>
      <c r="D2" s="4"/>
      <c r="E2" s="5"/>
      <c r="F2" s="6"/>
    </row>
    <row r="3" ht="20.25" customHeight="1">
      <c r="B3" s="7" t="s">
        <v>1</v>
      </c>
      <c r="C3" s="3"/>
      <c r="D3" s="4"/>
      <c r="E3" s="5"/>
      <c r="F3" s="6"/>
    </row>
    <row r="4">
      <c r="B4" s="8" t="s">
        <v>2</v>
      </c>
      <c r="C4" s="9" t="s">
        <v>3</v>
      </c>
      <c r="D4" s="10" t="s">
        <v>4</v>
      </c>
      <c r="E4" s="11" t="s">
        <v>5</v>
      </c>
      <c r="F4" s="6"/>
      <c r="I4" s="12"/>
      <c r="J4" s="12" t="s">
        <v>6</v>
      </c>
    </row>
    <row r="5">
      <c r="B5" s="13">
        <v>1.0</v>
      </c>
      <c r="C5" s="14" t="s">
        <v>7</v>
      </c>
      <c r="D5" s="15">
        <f>IFERROR(__xludf.DUMMYFUNCTION("IMPORTRANGE(""https://docs.google.com/spreadsheets/d/1i4_2O56hxDkWjXCHioQ5bUAv8_1y7FkgxXxsMCbP6Y4"", ""2024!suma_cap1"")"),1.49082905E7)</f>
        <v>14908290.5</v>
      </c>
      <c r="E5" s="16">
        <v>1.3537729E7</v>
      </c>
      <c r="F5" s="17">
        <f t="shared" ref="F5:F16" si="1">((D5-E5)/D5)</f>
        <v>0.09193284099</v>
      </c>
      <c r="H5" s="18">
        <f t="shared" ref="H5:H16" si="2">D5-E5</f>
        <v>1370561.5</v>
      </c>
      <c r="I5" s="19"/>
      <c r="J5" s="19" t="s">
        <v>8</v>
      </c>
      <c r="K5" s="20" t="s">
        <v>9</v>
      </c>
      <c r="M5" s="21" t="s">
        <v>10</v>
      </c>
    </row>
    <row r="6">
      <c r="B6" s="22">
        <v>2.0</v>
      </c>
      <c r="C6" s="14" t="s">
        <v>11</v>
      </c>
      <c r="D6" s="15">
        <f>IFERROR(__xludf.DUMMYFUNCTION("IMPORTRANGE(""https://docs.google.com/spreadsheets/d/1i4_2O56hxDkWjXCHioQ5bUAv8_1y7FkgxXxsMCbP6Y4"", ""2024!suma_cap2"")"),1.955067E7)</f>
        <v>19550670</v>
      </c>
      <c r="E6" s="16">
        <v>1.692763E7</v>
      </c>
      <c r="F6" s="17">
        <f t="shared" si="1"/>
        <v>0.134166246</v>
      </c>
      <c r="H6" s="18">
        <f t="shared" si="2"/>
        <v>2623040</v>
      </c>
      <c r="I6" s="23"/>
      <c r="J6" s="24">
        <f>SUM(D20:D24)</f>
        <v>37538146.94</v>
      </c>
      <c r="K6" s="18">
        <f>SUM(D5:D9,D11,D14)</f>
        <v>37350008.5</v>
      </c>
      <c r="M6" s="18">
        <f>J6-K6</f>
        <v>188138.44</v>
      </c>
    </row>
    <row r="7">
      <c r="B7" s="22">
        <v>3.0</v>
      </c>
      <c r="C7" s="14" t="s">
        <v>12</v>
      </c>
      <c r="D7" s="15">
        <f>IFERROR(__xludf.DUMMYFUNCTION("IMPORTRANGE(""https://docs.google.com/spreadsheets/d/1i4_2O56hxDkWjXCHioQ5bUAv8_1y7FkgxXxsMCbP6Y4"", ""2024!suma_cap3"")"),170300.0)</f>
        <v>170300</v>
      </c>
      <c r="E7" s="16">
        <v>166300.0</v>
      </c>
      <c r="F7" s="17">
        <f t="shared" si="1"/>
        <v>0.02348796242</v>
      </c>
      <c r="H7" s="18">
        <f t="shared" si="2"/>
        <v>4000</v>
      </c>
    </row>
    <row r="8">
      <c r="B8" s="22">
        <v>4.0</v>
      </c>
      <c r="C8" s="14" t="s">
        <v>13</v>
      </c>
      <c r="D8" s="15">
        <f>IFERROR(__xludf.DUMMYFUNCTION("IMPORTRANGE(""https://docs.google.com/spreadsheets/d/1i4_2O56hxDkWjXCHioQ5bUAv8_1y7FkgxXxsMCbP6Y4"", ""2024!suma_cap4"")"),1955748.0)</f>
        <v>1955748</v>
      </c>
      <c r="E8" s="16">
        <v>1405240.0</v>
      </c>
      <c r="F8" s="17">
        <f t="shared" si="1"/>
        <v>0.2814820723</v>
      </c>
      <c r="H8" s="18">
        <f t="shared" si="2"/>
        <v>550508</v>
      </c>
      <c r="I8" s="20"/>
      <c r="J8" s="20" t="s">
        <v>14</v>
      </c>
      <c r="K8" s="20" t="s">
        <v>15</v>
      </c>
    </row>
    <row r="9">
      <c r="B9" s="22">
        <v>5.0</v>
      </c>
      <c r="C9" s="14" t="s">
        <v>16</v>
      </c>
      <c r="D9" s="15">
        <f>IFERROR(__xludf.DUMMYFUNCTION("IMPORTRANGE(""https://docs.google.com/spreadsheets/d/1i4_2O56hxDkWjXCHioQ5bUAv8_1y7FkgxXxsMCbP6Y4"", ""2024!suma_cap5"")"),100000.0)</f>
        <v>100000</v>
      </c>
      <c r="E9" s="16">
        <v>200000.0</v>
      </c>
      <c r="F9" s="17">
        <f t="shared" si="1"/>
        <v>-1</v>
      </c>
      <c r="H9" s="18">
        <f t="shared" si="2"/>
        <v>-100000</v>
      </c>
      <c r="I9" s="20"/>
      <c r="J9" s="20" t="s">
        <v>17</v>
      </c>
      <c r="K9" s="20" t="s">
        <v>15</v>
      </c>
    </row>
    <row r="10">
      <c r="B10" s="22">
        <v>6.0</v>
      </c>
      <c r="C10" s="14" t="s">
        <v>18</v>
      </c>
      <c r="D10" s="15">
        <f>IFERROR(__xludf.DUMMYFUNCTION("IMPORTRANGE(""https://docs.google.com/spreadsheets/d/1i4_2O56hxDkWjXCHioQ5bUAv8_1y7FkgxXxsMCbP6Y4"", ""2024!suma_cap6"")"),1.2435470479999999E7)</f>
        <v>12435470.48</v>
      </c>
      <c r="E10" s="16">
        <v>1.378427861E7</v>
      </c>
      <c r="F10" s="17">
        <f t="shared" si="1"/>
        <v>-0.1084645838</v>
      </c>
      <c r="H10" s="18">
        <f t="shared" si="2"/>
        <v>-1348808.13</v>
      </c>
    </row>
    <row r="11">
      <c r="B11" s="22">
        <v>7.0</v>
      </c>
      <c r="C11" s="14" t="s">
        <v>19</v>
      </c>
      <c r="D11" s="15">
        <f>IFERROR(__xludf.DUMMYFUNCTION("IMPORTRANGE(""https://docs.google.com/spreadsheets/d/1i4_2O56hxDkWjXCHioQ5bUAv8_1y7FkgxXxsMCbP6Y4"", ""2024!suma_cap7"")"),130000.0)</f>
        <v>130000</v>
      </c>
      <c r="E11" s="16">
        <v>127200.0</v>
      </c>
      <c r="F11" s="17">
        <f t="shared" si="1"/>
        <v>0.02153846154</v>
      </c>
      <c r="H11" s="18">
        <f t="shared" si="2"/>
        <v>2800</v>
      </c>
      <c r="I11" s="20"/>
      <c r="J11" s="20" t="s">
        <v>20</v>
      </c>
      <c r="K11" s="20" t="s">
        <v>21</v>
      </c>
    </row>
    <row r="12">
      <c r="B12" s="25"/>
      <c r="C12" s="26" t="s">
        <v>22</v>
      </c>
      <c r="D12" s="27">
        <f t="shared" ref="D12:E12" si="3">SUM(D5:D11)</f>
        <v>49250478.98</v>
      </c>
      <c r="E12" s="28">
        <f t="shared" si="3"/>
        <v>46148377.61</v>
      </c>
      <c r="F12" s="17">
        <f t="shared" si="1"/>
        <v>0.06298621728</v>
      </c>
      <c r="H12" s="18">
        <f t="shared" si="2"/>
        <v>3102101.37</v>
      </c>
    </row>
    <row r="13">
      <c r="B13" s="22">
        <v>8.0</v>
      </c>
      <c r="C13" s="14" t="s">
        <v>23</v>
      </c>
      <c r="D13" s="15">
        <f>IFERROR(__xludf.DUMMYFUNCTION("IMPORTRANGE(""https://docs.google.com/spreadsheets/d/1i4_2O56hxDkWjXCHioQ5bUAv8_1y7FkgxXxsMCbP6Y4"", ""2024!suma_cap8"")"),15000.0)</f>
        <v>15000</v>
      </c>
      <c r="E13" s="16">
        <v>15000.0</v>
      </c>
      <c r="F13" s="17">
        <f t="shared" si="1"/>
        <v>0</v>
      </c>
      <c r="H13" s="18">
        <f t="shared" si="2"/>
        <v>0</v>
      </c>
    </row>
    <row r="14">
      <c r="B14" s="22">
        <v>9.0</v>
      </c>
      <c r="C14" s="14" t="s">
        <v>24</v>
      </c>
      <c r="D14" s="15">
        <f>IFERROR(__xludf.DUMMYFUNCTION("IMPORTRANGE(""https://docs.google.com/spreadsheets/d/1i4_2O56hxDkWjXCHioQ5bUAv8_1y7FkgxXxsMCbP6Y4"", ""2024!suma_cap9"")"),535000.0)</f>
        <v>535000</v>
      </c>
      <c r="E14" s="16">
        <v>535000.0</v>
      </c>
      <c r="F14" s="17">
        <f t="shared" si="1"/>
        <v>0</v>
      </c>
      <c r="H14" s="18">
        <f t="shared" si="2"/>
        <v>0</v>
      </c>
      <c r="I14" s="29"/>
      <c r="J14" s="30" t="s">
        <v>25</v>
      </c>
      <c r="K14" s="31">
        <f>SUM(D20:D24)-SUM(D5:D9,D11,D14)</f>
        <v>188138.44</v>
      </c>
    </row>
    <row r="15" ht="15.75" customHeight="1">
      <c r="B15" s="32"/>
      <c r="C15" s="33" t="s">
        <v>26</v>
      </c>
      <c r="D15" s="34">
        <f t="shared" ref="D15:E15" si="4">SUM(D13:D14)</f>
        <v>550000</v>
      </c>
      <c r="E15" s="35">
        <f t="shared" si="4"/>
        <v>550000</v>
      </c>
      <c r="F15" s="17">
        <f t="shared" si="1"/>
        <v>0</v>
      </c>
      <c r="H15" s="18">
        <f t="shared" si="2"/>
        <v>0</v>
      </c>
    </row>
    <row r="16" ht="15.75" customHeight="1">
      <c r="B16" s="36" t="s">
        <v>27</v>
      </c>
      <c r="C16" s="4"/>
      <c r="D16" s="37">
        <f t="shared" ref="D16:E16" si="5">D12+D15</f>
        <v>49800478.98</v>
      </c>
      <c r="E16" s="37">
        <f t="shared" si="5"/>
        <v>46698377.61</v>
      </c>
      <c r="F16" s="17">
        <f t="shared" si="1"/>
        <v>0.06229059305</v>
      </c>
      <c r="H16" s="18">
        <f t="shared" si="2"/>
        <v>3102101.37</v>
      </c>
    </row>
    <row r="17" ht="27.75" customHeight="1">
      <c r="B17" s="38"/>
      <c r="C17" s="39"/>
      <c r="D17" s="40"/>
      <c r="E17" s="41"/>
      <c r="F17" s="6"/>
    </row>
    <row r="18" ht="21.0" customHeight="1">
      <c r="B18" s="42" t="s">
        <v>28</v>
      </c>
      <c r="C18" s="3"/>
      <c r="D18" s="4"/>
      <c r="E18" s="5"/>
      <c r="F18" s="6"/>
      <c r="I18" s="43"/>
    </row>
    <row r="19">
      <c r="B19" s="44" t="s">
        <v>2</v>
      </c>
      <c r="C19" s="9" t="s">
        <v>3</v>
      </c>
      <c r="D19" s="45" t="s">
        <v>4</v>
      </c>
      <c r="E19" s="11" t="s">
        <v>5</v>
      </c>
      <c r="F19" s="6"/>
      <c r="H19" s="46"/>
      <c r="I19" s="46"/>
      <c r="J19" s="46"/>
    </row>
    <row r="20">
      <c r="B20" s="13">
        <v>1.0</v>
      </c>
      <c r="C20" s="14" t="s">
        <v>29</v>
      </c>
      <c r="D20" s="47">
        <f>IFERROR(__xludf.DUMMYFUNCTION("IMPORTRANGE(""https://docs.google.com/spreadsheets/d/1kfBQkpEy0nIV-7p0BxVeDvET9snDfiEKboVudjyx354"", ""2024!suma_cap1"")"),1.4678E7)</f>
        <v>14678000</v>
      </c>
      <c r="E20" s="48">
        <v>1.465E7</v>
      </c>
      <c r="F20" s="17">
        <f t="shared" ref="F20:F31" si="6">((D20-E20)/D20)</f>
        <v>0.001907616842</v>
      </c>
      <c r="H20" s="18">
        <f t="shared" ref="H20:H31" si="7">D20-E20</f>
        <v>28000</v>
      </c>
      <c r="I20" s="49"/>
      <c r="J20" s="49"/>
      <c r="K20" s="49"/>
    </row>
    <row r="21" ht="15.75" customHeight="1">
      <c r="B21" s="22">
        <v>2.0</v>
      </c>
      <c r="C21" s="14" t="s">
        <v>30</v>
      </c>
      <c r="D21" s="47">
        <f>IFERROR(__xludf.DUMMYFUNCTION("IMPORTRANGE(""https://docs.google.com/spreadsheets/d/1kfBQkpEy0nIV-7p0BxVeDvET9snDfiEKboVudjyx354"", ""2024!suma_cap2"")"),900000.0)</f>
        <v>900000</v>
      </c>
      <c r="E21" s="48">
        <v>770000.0</v>
      </c>
      <c r="F21" s="17">
        <f t="shared" si="6"/>
        <v>0.1444444444</v>
      </c>
      <c r="H21" s="18">
        <f t="shared" si="7"/>
        <v>130000</v>
      </c>
      <c r="I21" s="20"/>
      <c r="J21" s="20" t="s">
        <v>31</v>
      </c>
      <c r="K21" s="18">
        <f>D31-D16</f>
        <v>0.000000007450580597</v>
      </c>
    </row>
    <row r="22" ht="15.75" customHeight="1">
      <c r="B22" s="22">
        <v>3.0</v>
      </c>
      <c r="C22" s="14" t="s">
        <v>32</v>
      </c>
      <c r="D22" s="47">
        <f>IFERROR(__xludf.DUMMYFUNCTION("IMPORTRANGE(""https://docs.google.com/spreadsheets/d/1kfBQkpEy0nIV-7p0BxVeDvET9snDfiEKboVudjyx354"", ""2024!suma_cap3"")"),8686060.0)</f>
        <v>8686060</v>
      </c>
      <c r="E22" s="48">
        <v>5876462.83</v>
      </c>
      <c r="F22" s="17">
        <f t="shared" si="6"/>
        <v>0.3234604838</v>
      </c>
      <c r="H22" s="18">
        <f t="shared" si="7"/>
        <v>2809597.17</v>
      </c>
      <c r="I22" s="49"/>
      <c r="J22" s="49"/>
      <c r="K22" s="49"/>
    </row>
    <row r="23" ht="15.75" customHeight="1">
      <c r="B23" s="22">
        <v>4.0</v>
      </c>
      <c r="C23" s="14" t="s">
        <v>13</v>
      </c>
      <c r="D23" s="47">
        <f>IFERROR(__xludf.DUMMYFUNCTION("IMPORTRANGE(""https://docs.google.com/spreadsheets/d/1kfBQkpEy0nIV-7p0BxVeDvET9snDfiEKboVudjyx354"", ""2024!suma_cap4"")"),1.284667294E7)</f>
        <v>12846672.94</v>
      </c>
      <c r="E23" s="48">
        <v>1.192787901E7</v>
      </c>
      <c r="F23" s="17">
        <f t="shared" si="6"/>
        <v>0.07151999076</v>
      </c>
      <c r="H23" s="18">
        <f t="shared" si="7"/>
        <v>918793.93</v>
      </c>
    </row>
    <row r="24" ht="15.75" customHeight="1">
      <c r="B24" s="22">
        <v>5.0</v>
      </c>
      <c r="C24" s="14" t="s">
        <v>33</v>
      </c>
      <c r="D24" s="47">
        <f>IFERROR(__xludf.DUMMYFUNCTION("IMPORTRANGE(""https://docs.google.com/spreadsheets/d/1kfBQkpEy0nIV-7p0BxVeDvET9snDfiEKboVudjyx354"", ""2024!suma_cap5"")"),427414.0)</f>
        <v>427414</v>
      </c>
      <c r="E24" s="48">
        <v>114800.0</v>
      </c>
      <c r="F24" s="17">
        <f t="shared" si="6"/>
        <v>0.7314079558</v>
      </c>
      <c r="H24" s="18">
        <f t="shared" si="7"/>
        <v>312614</v>
      </c>
      <c r="I24" s="49"/>
      <c r="J24" s="49"/>
    </row>
    <row r="25" ht="15.75" customHeight="1">
      <c r="B25" s="22">
        <v>6.0</v>
      </c>
      <c r="C25" s="14" t="s">
        <v>34</v>
      </c>
      <c r="D25" s="47">
        <f>IFERROR(__xludf.DUMMYFUNCTION("IMPORTRANGE(""https://docs.google.com/spreadsheets/d/1kfBQkpEy0nIV-7p0BxVeDvET9snDfiEKboVudjyx354"", ""2024!suma_cap6"")"),6000.0)</f>
        <v>6000</v>
      </c>
      <c r="E25" s="48">
        <v>0.0</v>
      </c>
      <c r="F25" s="17">
        <f t="shared" si="6"/>
        <v>1</v>
      </c>
      <c r="H25" s="18">
        <f t="shared" si="7"/>
        <v>6000</v>
      </c>
      <c r="K25" s="18">
        <f>K21-M6</f>
        <v>-188138.44</v>
      </c>
    </row>
    <row r="26" ht="15.75" customHeight="1">
      <c r="B26" s="22">
        <v>7.0</v>
      </c>
      <c r="C26" s="14" t="s">
        <v>19</v>
      </c>
      <c r="D26" s="47">
        <f>IFERROR(__xludf.DUMMYFUNCTION("IMPORTRANGE(""https://docs.google.com/spreadsheets/d/1kfBQkpEy0nIV-7p0BxVeDvET9snDfiEKboVudjyx354"", ""2024!suma_cap7"")"),1465755.56)</f>
        <v>1465755.56</v>
      </c>
      <c r="E26" s="48">
        <v>5033675.76</v>
      </c>
      <c r="F26" s="17">
        <f t="shared" si="6"/>
        <v>-2.434185001</v>
      </c>
      <c r="H26" s="18">
        <f t="shared" si="7"/>
        <v>-3567920.2</v>
      </c>
      <c r="I26" s="49"/>
      <c r="J26" s="49"/>
    </row>
    <row r="27" ht="15.75" customHeight="1">
      <c r="B27" s="25"/>
      <c r="C27" s="26" t="s">
        <v>22</v>
      </c>
      <c r="D27" s="27">
        <f t="shared" ref="D27:E27" si="8">SUM(D20:D26)</f>
        <v>39009902.5</v>
      </c>
      <c r="E27" s="28">
        <f t="shared" si="8"/>
        <v>38372817.6</v>
      </c>
      <c r="F27" s="17">
        <f t="shared" si="6"/>
        <v>0.01633136356</v>
      </c>
      <c r="H27" s="18">
        <f t="shared" si="7"/>
        <v>637084.9</v>
      </c>
    </row>
    <row r="28" ht="15.75" customHeight="1">
      <c r="B28" s="22">
        <v>8.0</v>
      </c>
      <c r="C28" s="14" t="s">
        <v>23</v>
      </c>
      <c r="D28" s="47">
        <f>IFERROR(__xludf.DUMMYFUNCTION("IMPORTRANGE(""https://docs.google.com/spreadsheets/d/1kfBQkpEy0nIV-7p0BxVeDvET9snDfiEKboVudjyx354"", ""2024!suma_cap8"")"),2172195.5)</f>
        <v>2172195.5</v>
      </c>
      <c r="E28" s="48">
        <v>15000.0</v>
      </c>
      <c r="F28" s="17">
        <f t="shared" si="6"/>
        <v>0.9930945442</v>
      </c>
      <c r="H28" s="18">
        <f t="shared" si="7"/>
        <v>2157195.5</v>
      </c>
      <c r="I28" s="49"/>
      <c r="J28" s="49"/>
    </row>
    <row r="29" ht="15.75" customHeight="1">
      <c r="B29" s="22">
        <v>9.0</v>
      </c>
      <c r="C29" s="14" t="s">
        <v>24</v>
      </c>
      <c r="D29" s="47">
        <f>IFERROR(__xludf.DUMMYFUNCTION("IMPORTRANGE(""https://docs.google.com/spreadsheets/d/1kfBQkpEy0nIV-7p0BxVeDvET9snDfiEKboVudjyx354"", ""2024!suma_cap9"")"),8618380.98)</f>
        <v>8618380.98</v>
      </c>
      <c r="E29" s="48">
        <v>8310560.01</v>
      </c>
      <c r="F29" s="17">
        <f t="shared" si="6"/>
        <v>0.0357167977</v>
      </c>
      <c r="H29" s="18">
        <f t="shared" si="7"/>
        <v>307820.97</v>
      </c>
      <c r="I29" s="50"/>
      <c r="K29" s="50"/>
    </row>
    <row r="30" ht="15.75" customHeight="1">
      <c r="B30" s="51"/>
      <c r="C30" s="52" t="s">
        <v>26</v>
      </c>
      <c r="D30" s="34">
        <f t="shared" ref="D30:E30" si="9">SUM(D28:D29)</f>
        <v>10790576.48</v>
      </c>
      <c r="E30" s="35">
        <f t="shared" si="9"/>
        <v>8325560.01</v>
      </c>
      <c r="F30" s="17">
        <f t="shared" si="6"/>
        <v>0.228441592</v>
      </c>
      <c r="H30" s="18">
        <f t="shared" si="7"/>
        <v>2465016.47</v>
      </c>
    </row>
    <row r="31" ht="15.75" customHeight="1">
      <c r="B31" s="53" t="s">
        <v>35</v>
      </c>
      <c r="C31" s="4"/>
      <c r="D31" s="54">
        <f t="shared" ref="D31:E31" si="10">D27+D30</f>
        <v>49800478.98</v>
      </c>
      <c r="E31" s="54">
        <f t="shared" si="10"/>
        <v>46698377.61</v>
      </c>
      <c r="F31" s="17">
        <f t="shared" si="6"/>
        <v>0.06229059305</v>
      </c>
      <c r="H31" s="18">
        <f t="shared" si="7"/>
        <v>3102101.37</v>
      </c>
    </row>
    <row r="32" ht="15.75" customHeight="1">
      <c r="B32" s="5"/>
      <c r="C32" s="5"/>
      <c r="D32" s="5"/>
      <c r="E32" s="5"/>
      <c r="F32" s="55"/>
      <c r="J32" s="56">
        <f>D31-D16</f>
        <v>0.000000007450580597</v>
      </c>
    </row>
    <row r="33" ht="15.75" customHeight="1">
      <c r="B33" s="5"/>
      <c r="C33" s="5"/>
      <c r="D33" s="49"/>
      <c r="F33" s="6"/>
    </row>
    <row r="34" ht="15.75" customHeight="1">
      <c r="B34" s="5"/>
      <c r="E34" s="5"/>
      <c r="F34" s="6"/>
    </row>
    <row r="35" ht="15.75" customHeight="1">
      <c r="F35" s="1"/>
    </row>
  </sheetData>
  <mergeCells count="6">
    <mergeCell ref="B2:D2"/>
    <mergeCell ref="B3:D3"/>
    <mergeCell ref="J4:M4"/>
    <mergeCell ref="B16:C16"/>
    <mergeCell ref="B18:D18"/>
    <mergeCell ref="B31:C31"/>
  </mergeCells>
  <conditionalFormatting sqref="F1:F35">
    <cfRule type="colorScale" priority="1">
      <colorScale>
        <cfvo type="formula" val="-1"/>
        <cfvo type="formula" val="0"/>
        <cfvo type="formula" val="1"/>
        <color rgb="FFE67C73"/>
        <color rgb="FFFFFFFF"/>
        <color rgb="FF57BB8A"/>
      </colorScale>
    </cfRule>
  </conditionalFormatting>
  <conditionalFormatting sqref="J32">
    <cfRule type="cellIs" dxfId="0" priority="2" operator="greaterThan">
      <formula>0</formula>
    </cfRule>
  </conditionalFormatting>
  <conditionalFormatting sqref="J32">
    <cfRule type="cellIs" dxfId="1" priority="3" operator="lessThan">
      <formula>0</formula>
    </cfRule>
  </conditionalFormatting>
  <printOptions/>
  <pageMargins bottom="0.75" footer="0.0" header="0.0" left="0.7" right="0.7" top="0.75"/>
  <pageSetup paperSize="9" orientation="portrait"/>
  <headerFooter>
    <oddFooter>&amp;CPresupuesto Ayuntamiento Aranda de Duero 2024&amp;R&amp;P</oddFooter>
  </headerFooter>
  <drawing r:id="rId1"/>
</worksheet>
</file>