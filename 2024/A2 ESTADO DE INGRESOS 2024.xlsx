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" sheetId="1" r:id="rId5"/>
  </sheets>
  <definedNames>
    <definedName name="suma_cap8">'2024'!$E$144</definedName>
    <definedName name="suma_cap6">'2024'!$E$125</definedName>
    <definedName name="suma_cap5">'2024'!$E$120</definedName>
    <definedName name="suma_cap7">'2024'!$E$138</definedName>
    <definedName name="suma_cap3">'2024'!$E$80</definedName>
    <definedName name="suma_cap4">'2024'!$E$106</definedName>
    <definedName name="suma_cap9">'2024'!$E$149</definedName>
    <definedName name="suma_cap2">'2024'!$E$15</definedName>
    <definedName name="suma_cap1">'2024'!$E$9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tc={205802e0-7f36-4238-ad9c-fce154ff5739}</author>
    <author>tc={289665f4-e6d7-49a0-a115-8b84b28e1606}</author>
    <author>tc={3355b4e8-7ae6-47d5-8d3b-403bd2e7c13b}</author>
    <author>tc={39ba81d2-4728-47de-8ac3-c0a6fef64c82}</author>
    <author>tc={3e97989f-2b99-47ae-b1f5-47b4beb20e7c}</author>
    <author>tc={65389e9d-cc61-4ecc-b92e-580c01f206ab}</author>
    <author>tc={6b2be5e8-b23f-4aa2-bd08-47bb697adf84}</author>
    <author>tc={8017ca11-6b12-46b2-a06b-174a44b04be3}</author>
    <author>tc={83309eca-eb52-4d40-8e48-c1aa94850e2a}</author>
    <author>tc={965cdd5e-e08a-470b-8658-4e9c67d762e8}</author>
    <author>tc={ac0ce8f7-8437-46fd-b3c9-92fbf32b7271}</author>
    <author>tc={b33492f8-5e90-435c-8c72-af8537326549}</author>
    <author>tc={b3f7cbf7-0e88-452a-82df-aca96f652a1d}</author>
    <author>tc={ea519dd3-ec0d-481e-9aec-d6eddcc109e6}</author>
    <author>tc={f27ca196-ea86-4453-a6c1-b3f35dc5ed5f}</author>
    <author>tc={fbc0eb3d-8a7e-45f0-91d9-56fab36a3da0}</author>
  </authors>
  <commentList>
    <comment authorId="0" xr:uid="{205802e0-7f36-4238-ad9c-fce154ff5739}" ref="E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 servicio de grúa es deficitario en unos 10.000€ mensuales (contrato viejo)
Se ingresan unos 4.000€ mensuales y se pagan unos 15.500
Reply:
	17.000€ mensuales con la nueva grúa.
Es decir, que tenemos que recoger 4 veces más coches de los actuales @juanma@sentiraranda.es
Reply:
	251000€ al año con IVA, que son 21.000€ mensuales
Es decir, mínimo tenemos que coger 5 coches por cada 1 que se recoge ahora
Reply:
	@antonio@sentiraranda.es
</t>
      </text>
    </comment>
    <comment authorId="1" xr:uid="{289665f4-e6d7-49a0-a115-8b84b28e1606}" ref="E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542k en 2022
Reply:
	previsión de unos 550k en 2023
</t>
      </text>
    </comment>
    <comment authorId="2" xr:uid="{3355b4e8-7ae6-47d5-8d3b-403bd2e7c13b}" ref="E1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hasta junio de 2024, saber cuánto puede generar
</t>
      </text>
    </comment>
    <comment authorId="3" xr:uid="{39ba81d2-4728-47de-8ac3-c0a6fef64c82}" ref="E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comprobar si la subida es real de nuevo
</t>
      </text>
    </comment>
    <comment authorId="4" xr:uid="{3e97989f-2b99-47ae-b1f5-47b4beb20e7c}" ref="E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 el nuevo contrato no hay ingresos para el Ayuntamiento
</t>
      </text>
    </comment>
    <comment authorId="5" xr:uid="{65389e9d-cc61-4ecc-b92e-580c01f206ab}" ref="E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por qué este valor?
</t>
      </text>
    </comment>
    <comment authorId="6" xr:uid="{6b2be5e8-b23f-4aa2-bd08-47bb697adf84}" ref="E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vuelapluma, parece una cifra que alguien nos va a dar??
Reply:
	Van casi 9M en 2023 y la previsión es superior en 2024
Reply:
	Aprox un 3% más que en 2023, que han sido 9M
</t>
      </text>
    </comment>
    <comment authorId="7" xr:uid="{8017ca11-6b12-46b2-a06b-174a44b04be3}" ref="E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hay que calcular todo el año
Reply:
	según correo de Elías, contar en 2024 con lo mismo + luego una posible adenda
Reply:
	Correo de Andrés Gonzalo el 10 de octubre con información
</t>
      </text>
    </comment>
    <comment authorId="8" xr:uid="{83309eca-eb52-4d40-8e48-c1aa94850e2a}" ref="E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correo de Fuertes dom 15/10/2023 21:12
</t>
      </text>
    </comment>
    <comment authorId="9" xr:uid="{965cdd5e-e08a-470b-8658-4e9c67d762e8}" ref="E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ojo por si se cobra o no
Reply:
	Hay que mirar si en 2023 no hay derecho reconocido, usar 2024 todo
Reply:
	Marcado como resuelto
Reply:
	Reabierto
</t>
      </text>
    </comment>
    <comment authorId="10" xr:uid="{ac0ce8f7-8437-46fd-b3c9-92fbf32b7271}" ref="E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licencias de obras para liquidar en 2024, María José y Ana María.
por ejemplo el del hospital!!
Reply:
	@guillermo@sentiraranda.es
</t>
      </text>
    </comment>
    <comment authorId="11" xr:uid="{b33492f8-5e90-435c-8c72-af8537326549}" ref="E1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Revisar @juanma@sentiraranda.es
Asignado a juanma@sentiraranda.es
Reply:
	No se a que te refieres
Reply:
	La idea es ¿cuánto se quiere ingresar por el aparcamiento de camiones?
puse 50.000€ por lo que hablamos del centimazo de la gasolinera y tal.
Es una previsión, se puede quedar en 1000, pero bueno, esto es una previsión
Reply:
	Pon 10.000, para este año
</t>
      </text>
    </comment>
    <comment authorId="12" xr:uid="{b3f7cbf7-0e88-452a-82df-aca96f652a1d}" ref="E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 el nuevo contrato no hay ingresos para el Ayuntamiento
</t>
      </text>
    </comment>
    <comment authorId="13" xr:uid="{ea519dd3-ec0d-481e-9aec-d6eddcc109e6}" ref="E1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Artepref, camino de los monjes
</t>
      </text>
    </comment>
    <comment authorId="14" xr:uid="{f27ca196-ea86-4453-a6c1-b3f35dc5ed5f}" ref="E1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falta bar la huerta
</t>
      </text>
    </comment>
    <comment authorId="15" xr:uid="{fbc0eb3d-8a7e-45f0-91d9-56fab36a3da0}" ref="E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correo de Fuertes, con 86138,06 por allendeduero y Aranda de duero
</t>
      </text>
    </comment>
  </commentList>
</comments>
</file>

<file path=xl/sharedStrings.xml><?xml version="1.0" encoding="utf-8"?>
<sst xmlns="http://schemas.openxmlformats.org/spreadsheetml/2006/main" count="260" uniqueCount="227">
  <si>
    <t xml:space="preserve">   </t>
  </si>
  <si>
    <t>CLASIFIC. ECONÓMICA</t>
  </si>
  <si>
    <t>CAPÍTULO I: IMPUESTOS DIRECTOS</t>
  </si>
  <si>
    <t>PREVISIONES</t>
  </si>
  <si>
    <t>AÑO 2024</t>
  </si>
  <si>
    <t>Incr / Decr</t>
  </si>
  <si>
    <t>IMPUESTO SOBRE BIENES INMUEBLES DE NATURALEZA RÚSTICA</t>
  </si>
  <si>
    <t>IMPUESTO SOBRE BIENES INMUEBLES DE NATURALEZA URBANA</t>
  </si>
  <si>
    <t>IMPUESTO SOBRE VEHÍCULOS DE TRACCIÓN MECÁNICA</t>
  </si>
  <si>
    <t>IMPUESTO SOBRE INCREMENTO DE VALOR DE LOS TERRENOS NATURALEZA URBANA</t>
  </si>
  <si>
    <t>ARTÍCULO 11</t>
  </si>
  <si>
    <t>IMPUESTO SOBRE ACTIVIDADES ECONÓMICAS</t>
  </si>
  <si>
    <t>ARTÍCULO 13</t>
  </si>
  <si>
    <t>TOTAL CAPÍTULO I</t>
  </si>
  <si>
    <t>CAPÍTULO II: IMPUESTOS INDIRECTOS</t>
  </si>
  <si>
    <t>IMPUESTO SOBRE INSTALACIONES, CONSTRUCCIONES Y OBRAS</t>
  </si>
  <si>
    <t>ARTÍCULO 29</t>
  </si>
  <si>
    <t>TOTAL CAPÍTULO II</t>
  </si>
  <si>
    <t>CAPÍTULO III: TASAS Y OTROS INGRESOS</t>
  </si>
  <si>
    <t>300.00</t>
  </si>
  <si>
    <t>TASA ABASTECIMIENTO AGUA</t>
  </si>
  <si>
    <t>305.00</t>
  </si>
  <si>
    <t>TASA EXTINCIÓN DE INCENDIOS</t>
  </si>
  <si>
    <t>ARTÍCULO 30</t>
  </si>
  <si>
    <t>321.00</t>
  </si>
  <si>
    <t>TASA LICENCIAS URBANÍSTICAS</t>
  </si>
  <si>
    <t>325.00</t>
  </si>
  <si>
    <t>TASA EXPEDICIÓN DE DOCUMENTOS</t>
  </si>
  <si>
    <t>326.00</t>
  </si>
  <si>
    <t>TASA RETIRADA DE VEHÍCULOS</t>
  </si>
  <si>
    <t>327.00</t>
  </si>
  <si>
    <t>TASA PARTICIPACIÓN EXÁMENTES Y PROCESOS SELECTIVOS</t>
  </si>
  <si>
    <t>329.00</t>
  </si>
  <si>
    <t>TASA AUTOTAXIS</t>
  </si>
  <si>
    <t>329.01</t>
  </si>
  <si>
    <t>TASA APERTURA ESTABLECIMIENTOS</t>
  </si>
  <si>
    <t>ARTÍCULO 32</t>
  </si>
  <si>
    <t>330.00</t>
  </si>
  <si>
    <t>TASA POR ESTACIONAMIENTO DE VEHÍCULOS (ORA)</t>
  </si>
  <si>
    <t>331.00</t>
  </si>
  <si>
    <t>TASA ENTRADA DE VEHÍCULOS A TRAVÉS DE LAS ACERAS</t>
  </si>
  <si>
    <t>332.00</t>
  </si>
  <si>
    <t>TASA UTILIZACIÓN PRIVATIVA EMPRESAS EXPLOTADORAS DE SERVICIOS Y SUMINISTROS</t>
  </si>
  <si>
    <t>335.00</t>
  </si>
  <si>
    <t>TASA POR OCUPACIÓN DE LA VÍA PÚBLICA CON TERRAZAS Y VELADORES</t>
  </si>
  <si>
    <t>339.00</t>
  </si>
  <si>
    <t>TASA POR OTRAS OCUPACIONES DEL DOMINIO PÚBLICO LOCAL</t>
  </si>
  <si>
    <t>339.01</t>
  </si>
  <si>
    <t xml:space="preserve">TASA POR OCUPACIÓN DE LA VÍA PÚBLICA CON QUIOSCOS </t>
  </si>
  <si>
    <t>339.02</t>
  </si>
  <si>
    <t>TASA POR OCUPACIÓN DE LA VÍA PÚBLICA CON BARRACAS Y PUESTOS DE FERIA</t>
  </si>
  <si>
    <t>329.03</t>
  </si>
  <si>
    <t>TASA CELEBRACIÓN MATRIMONIOS CIVILES</t>
  </si>
  <si>
    <t>339.03</t>
  </si>
  <si>
    <t>TASA POR OCUPACIÓN DE VIVIENDA PÚBLICA</t>
  </si>
  <si>
    <t>339.04</t>
  </si>
  <si>
    <t>TASA CEMENTERIO</t>
  </si>
  <si>
    <t>339.09</t>
  </si>
  <si>
    <t>OTRAS TASAS POR UTILIZACIÓN PRIVATIVA DEL DOMINIO PUBLICO LOCAL</t>
  </si>
  <si>
    <t>ARTÍCULO 33</t>
  </si>
  <si>
    <t>341.00</t>
  </si>
  <si>
    <t xml:space="preserve">PRECIO PÚBLICO AYUDA A DOMICILIO </t>
  </si>
  <si>
    <t>341.02</t>
  </si>
  <si>
    <t>PRECIO PÚBLICO SERVICIO DE COMIDAS</t>
  </si>
  <si>
    <t>341.03</t>
  </si>
  <si>
    <t>PRECIO PÚBLICO ATENCIÓN PREVENTIVA</t>
  </si>
  <si>
    <t>342.00</t>
  </si>
  <si>
    <t>PRECIO PÚBLICO ESCUELA DE MÚSICA</t>
  </si>
  <si>
    <t>342.01</t>
  </si>
  <si>
    <t>PRECIO PÚBLICO ESCUELA DE FOLCLORE</t>
  </si>
  <si>
    <t>342.02</t>
  </si>
  <si>
    <t>PRECIO PÚBLICO ESCUELA DE CERÁMICA</t>
  </si>
  <si>
    <t>342.03</t>
  </si>
  <si>
    <t>PRECIO PÚBLICO ACTIVIDADES JUVENILES</t>
  </si>
  <si>
    <t>342.04</t>
  </si>
  <si>
    <t>PRECIO PÚBLICO ESCUELAS INFANTILES MUNICIPALES</t>
  </si>
  <si>
    <t>342.05</t>
  </si>
  <si>
    <t>PRECIO PÚBLICO CURSOS DE VERANO</t>
  </si>
  <si>
    <t>342.06</t>
  </si>
  <si>
    <t>PRECIO PÚBLICO OTROS CURSOS ESCUELA DE CERÁMICA</t>
  </si>
  <si>
    <t>343.00</t>
  </si>
  <si>
    <t>PRECIO PÚBLICO UTILIZACIÓN INSTALACIONES DEPORTIVAS</t>
  </si>
  <si>
    <t>344.00</t>
  </si>
  <si>
    <t>PRECIO PÚBLICO ESPECTÁCULOS CASA DE CULTURA</t>
  </si>
  <si>
    <t>345.00</t>
  </si>
  <si>
    <t>PRECIO PÚBLICO TRANSPORTE URBANO DE VIAJEROS</t>
  </si>
  <si>
    <t>349.00</t>
  </si>
  <si>
    <t>PRECIO PÚBLICO ACTIVIDADES ACCIÓN SOCIAL</t>
  </si>
  <si>
    <t>349.01</t>
  </si>
  <si>
    <t>PRECIO PÚBLICO DE LA BANDA DE MUSICA</t>
  </si>
  <si>
    <t>349.02</t>
  </si>
  <si>
    <t>PRECIO PÚBLICO FERIAS</t>
  </si>
  <si>
    <t>349.03</t>
  </si>
  <si>
    <t>PRECIO PÚBLICO UTILIZACIÓN RECINTO FERIAL</t>
  </si>
  <si>
    <t>349.05</t>
  </si>
  <si>
    <t>PRECIO PÚBLICO OTRAS ACTIVIDADES</t>
  </si>
  <si>
    <t>ARTÍCULO 34</t>
  </si>
  <si>
    <t>351.00</t>
  </si>
  <si>
    <t>CONTRIBUCIÓN ESPECIAL UNESPA. SERVICIO EXTINCIÓN DE INCENDIOS</t>
  </si>
  <si>
    <t>ARTÍCULO 35</t>
  </si>
  <si>
    <t>360.00</t>
  </si>
  <si>
    <t>VENTAS EFECTOS INÚTILES</t>
  </si>
  <si>
    <t>361.00</t>
  </si>
  <si>
    <t>VENTAS TRABAJOS OTRAS EMPRESAS</t>
  </si>
  <si>
    <t>362.00</t>
  </si>
  <si>
    <t>VENTAS OTROS EFECTOS</t>
  </si>
  <si>
    <t>ARTÍCULO 36</t>
  </si>
  <si>
    <t>389.00</t>
  </si>
  <si>
    <t>REINTEGROS DE PRESUPUESTOS CERRADOS</t>
  </si>
  <si>
    <t>ARTÍCULO 38</t>
  </si>
  <si>
    <t>391.00</t>
  </si>
  <si>
    <t>MULTAS POR INFRACCIONES URBANÍSTICAS</t>
  </si>
  <si>
    <t>391.20</t>
  </si>
  <si>
    <t>MULTAS DE TRÁFICO</t>
  </si>
  <si>
    <t>391.30</t>
  </si>
  <si>
    <t>MULTAS COERCITIVAS</t>
  </si>
  <si>
    <t>391.90</t>
  </si>
  <si>
    <t>OTRAS SANCIONES</t>
  </si>
  <si>
    <t>392.11</t>
  </si>
  <si>
    <t xml:space="preserve">RECARGOS DE APREMIO </t>
  </si>
  <si>
    <t>393.00</t>
  </si>
  <si>
    <t>INTERESES DE DEMORA</t>
  </si>
  <si>
    <t>397.00</t>
  </si>
  <si>
    <t>APROVECHAMIENTOS URBANÍSTICOS</t>
  </si>
  <si>
    <t>398.00</t>
  </si>
  <si>
    <t xml:space="preserve">INDEMNIZACIONES POR SINIESTROS </t>
  </si>
  <si>
    <t>399.00</t>
  </si>
  <si>
    <t>RECURSOS EVENTUALES</t>
  </si>
  <si>
    <t>ARTÍCULO 39</t>
  </si>
  <si>
    <t>TOTAL CAPÍTULO III</t>
  </si>
  <si>
    <t>CAPÍTULO IV: TRANSFERENCIAS CORRIENTES</t>
  </si>
  <si>
    <t>420.00</t>
  </si>
  <si>
    <t>PARTICIPACIÓN EN LOS TRIBUTOS DEL ESTADO</t>
  </si>
  <si>
    <t>420.20</t>
  </si>
  <si>
    <t>COMPENSACIONES POR BENEFICIOS FISCALES</t>
  </si>
  <si>
    <t>420.90</t>
  </si>
  <si>
    <t>OTRAS PARTICIPACIÓNES (FONDO ADICIONAL PARA COMPENSAR LA LIQ NEGATIVA 2020)</t>
  </si>
  <si>
    <t>420.91</t>
  </si>
  <si>
    <t>OTRAS TRANSFERENCIAS. CONTRATACIÓN AGENTE INNOVACIÓN LOCAL</t>
  </si>
  <si>
    <t>420.93</t>
  </si>
  <si>
    <t>OTRAS TRANSF. PACTO DE ESTADO CONTRA VIOLENCIA DE GÉNERO</t>
  </si>
  <si>
    <t>420.94</t>
  </si>
  <si>
    <t>OTRAS TRANSF. CONTROL COLONIAS FELINAS</t>
  </si>
  <si>
    <t>ARTÍCULO 42</t>
  </si>
  <si>
    <t>450.00</t>
  </si>
  <si>
    <t>PARTICIPACIÓN EN INGRESOS DE LA CCAA. FONDO INCONDICIONADO</t>
  </si>
  <si>
    <t>450.02</t>
  </si>
  <si>
    <t>TRANSFERENCIAS CORRIENTES CONVENIOS SERVICIOS SOCIALES. ACUERDO MARCO</t>
  </si>
  <si>
    <t>450.05</t>
  </si>
  <si>
    <t>TRANSFERENCIAS CORRIENTES CONVENIO JCYL GRATIUIDAD ESCUELAS INFANTILES</t>
  </si>
  <si>
    <t>450.80</t>
  </si>
  <si>
    <t>OTRAS SUBVENCIONES CORRIENTES. COMPETENCIAS DELEGADAS DEPORTES</t>
  </si>
  <si>
    <t>450.81</t>
  </si>
  <si>
    <t>OTRAS TRANSFERENCIAS. PROTECCION ACUSTICA</t>
  </si>
  <si>
    <t>450.83</t>
  </si>
  <si>
    <t>OTRAS TRANSF. SUBV. PRTR OFICINA GESTIÓN ARU STA CATALINA</t>
  </si>
  <si>
    <t>ARTÍCULO 45</t>
  </si>
  <si>
    <t>461.00</t>
  </si>
  <si>
    <t>CONVENIO DIPUTACIÓN PRESTACIÓN SERVICIO EXTINCIÓN DE INCENDIOS</t>
  </si>
  <si>
    <t>ARTÍCULO 46</t>
  </si>
  <si>
    <t>470.01</t>
  </si>
  <si>
    <t>SUBVENCIONES DE EMPRESAS PRIVADAS. CERTAMEN DE BANDAS</t>
  </si>
  <si>
    <t>470.12</t>
  </si>
  <si>
    <t>SUBVENCIONES DE EMPRESAS PRIVADAS. FESTEJOS</t>
  </si>
  <si>
    <t>470.10</t>
  </si>
  <si>
    <t>SUBVENCIONES DE EMPRESAS PRIVADAS. ACTIVIDADES DEPORTIVAS</t>
  </si>
  <si>
    <t>ARTÍCULO 47</t>
  </si>
  <si>
    <t>497.00</t>
  </si>
  <si>
    <t>OTRAS TRANSFERENCIAS DE LA UNION EUROPEA. ARU SANTA CATALINA</t>
  </si>
  <si>
    <t>ARTÍCULO 49</t>
  </si>
  <si>
    <t>TOTAL CAPÍTULO IV</t>
  </si>
  <si>
    <t>CAPÍTULO V: INGRESOS PATRIMONIALES</t>
  </si>
  <si>
    <t>520.00</t>
  </si>
  <si>
    <t>INTERESES DE DEPÓSITOS DE EMPRESAS PRIVADAS</t>
  </si>
  <si>
    <t>540.00</t>
  </si>
  <si>
    <t>ARRENDAMIENTO FINCAS URBANAS</t>
  </si>
  <si>
    <t>ARTÍCULO 54</t>
  </si>
  <si>
    <t>550.02</t>
  </si>
  <si>
    <t>CONCESIÓN ALBERGUE JUVENIL</t>
  </si>
  <si>
    <t>552.03</t>
  </si>
  <si>
    <t>CONCESIÓN QUIOSCOS</t>
  </si>
  <si>
    <t>552.04</t>
  </si>
  <si>
    <t>CONCESIÓN APARCAMIENTO DE CAMIONES</t>
  </si>
  <si>
    <t>555.00</t>
  </si>
  <si>
    <t>APROVECHAMIENTO COTO MONTE LA CALABAZA</t>
  </si>
  <si>
    <t>555.01</t>
  </si>
  <si>
    <t>APROVECHAMIENTO PASTOS MONTE LA CALABAZA</t>
  </si>
  <si>
    <t>ARTÍCULO 55</t>
  </si>
  <si>
    <t>599.00</t>
  </si>
  <si>
    <t>OTROS INGRESOS PATRIMONIALES</t>
  </si>
  <si>
    <t>ARTÍCULO 59</t>
  </si>
  <si>
    <t>TOTAL CAPÍTULO V</t>
  </si>
  <si>
    <t>CAPÍTULO VI: ENAJENACIÓN DE INVERSIONES REALES</t>
  </si>
  <si>
    <t>OTROS TERRENOS</t>
  </si>
  <si>
    <t>ARTÍCULO 60</t>
  </si>
  <si>
    <t>TOTAL CAPÍTULO VI</t>
  </si>
  <si>
    <t>CAPÍTULO VII: TRANSFERENCIAS DE CAPITAL</t>
  </si>
  <si>
    <t>750.60</t>
  </si>
  <si>
    <t>OTRAS TRANSFERENCIAS CAPITAL. SUBVENCION DIRECTA CONSEJERIA PRESIDENCIA</t>
  </si>
  <si>
    <t>750.80</t>
  </si>
  <si>
    <t>OTRAS TRANSFERENCIAS. FCL INVERSIONES AGENDA 2030</t>
  </si>
  <si>
    <t>750.81</t>
  </si>
  <si>
    <t>OTRAS TRANSFERENCIAS. FCL INVERSIONES DESAFÍOS DEMOGRÁFICOS</t>
  </si>
  <si>
    <t>750.82</t>
  </si>
  <si>
    <t>OTRAS TRANSF. SUBVENCIÓN REHABILITACIÓN CENTRO TERCERA EDAD SAN JUAN</t>
  </si>
  <si>
    <t>750.83</t>
  </si>
  <si>
    <t>OTRAS TRANSF. SUBV. PRTR ARU SANTA CATALINA</t>
  </si>
  <si>
    <t>ARTÍCULO 75</t>
  </si>
  <si>
    <t>789.00</t>
  </si>
  <si>
    <t>TRANSF. DE FAMILIAS E INST. SIN FINES DE LUCRO. PROPIETARIOS ARU</t>
  </si>
  <si>
    <t>ARTÍCULO 78</t>
  </si>
  <si>
    <t>797.00</t>
  </si>
  <si>
    <t>ARTÍCULO 79</t>
  </si>
  <si>
    <t>TOTAL CAPÍTULO VII</t>
  </si>
  <si>
    <t>CAPÍTULO VIII: ACTIVOS FINANCIEROS</t>
  </si>
  <si>
    <t>830.00</t>
  </si>
  <si>
    <t>REINTEGROS ANTICIPOS AL PERSONAL</t>
  </si>
  <si>
    <t>870.10</t>
  </si>
  <si>
    <t>REMANENTE DE TESORERÍA AFECTADO FONDOS EUROPEOS NEXT-GENERATION</t>
  </si>
  <si>
    <t>ARTÍCULO 80</t>
  </si>
  <si>
    <t>TOTAL CAPÍTULO VIII</t>
  </si>
  <si>
    <t>CAPÍTULO IX: PASIVOS FINANCIEROS</t>
  </si>
  <si>
    <t>913.00</t>
  </si>
  <si>
    <t>PRÉSTAMOS DE ENTES DE FUERA DEL SECTOR PÚBLICO A LARGO PLAZO</t>
  </si>
  <si>
    <t>ARTÍCULO 91</t>
  </si>
  <si>
    <t>TOTAL CAPÍTULO IX</t>
  </si>
  <si>
    <t>PREVISIONES TOTALES ESTADO DE INGRESOS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</si>
</sst>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.00\ &quot;€&quot;;[Red]\-#,##0.00\ &quot;€&quot;"/>
    <numFmt numFmtId="165" formatCode="_-* #,##0.00\ [$€-1]_-;\-* #,##0.00\ [$€-1]_-;_-* &quot;-&quot;??\ [$€-1]_-;_-@"/>
    <numFmt numFmtId="166" formatCode="#,##0.00\ &quot;€&quot;"/>
    <numFmt numFmtId="167" formatCode="#,##0.00&quot;€&quot;"/>
    <numFmt numFmtId="168" formatCode="#,##0.00\ [$€-1]"/>
  </numFmts>
  <fonts count="6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sz val="10.0"/>
      <color theme="1"/>
      <name val="Arial"/>
      <scheme val="minor"/>
    </font>
    <font>
      <color theme="1"/>
      <name val="Arial"/>
    </font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8DB3E2"/>
        <bgColor rgb="FF8DB3E2"/>
      </patternFill>
    </fill>
    <fill>
      <patternFill patternType="solid">
        <fgColor rgb="FFE67C73"/>
        <bgColor rgb="FFE67C73"/>
      </patternFill>
    </fill>
    <fill>
      <patternFill patternType="solid">
        <fgColor rgb="FFFABF8F"/>
        <bgColor rgb="FFFABF8F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2" fontId="2" numFmtId="4" xfId="0" applyAlignment="1" applyBorder="1" applyFill="1" applyFont="1" applyNumberFormat="1">
      <alignment horizontal="center" shrinkToFit="0" vertical="center" wrapText="1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164" xfId="0" applyAlignment="1" applyFont="1" applyNumberFormat="1">
      <alignment horizontal="right" shrinkToFit="0" vertical="center" wrapText="0"/>
    </xf>
    <xf borderId="0" fillId="0" fontId="1" numFmtId="165" xfId="0" applyAlignment="1" applyFont="1" applyNumberFormat="1">
      <alignment readingOrder="0" shrinkToFit="0" vertical="bottom" wrapText="0"/>
    </xf>
    <xf borderId="0" fillId="0" fontId="1" numFmtId="10" xfId="0" applyAlignment="1" applyFont="1" applyNumberFormat="1">
      <alignment shrinkToFit="0" vertical="bottom" wrapText="0"/>
    </xf>
    <xf borderId="0" fillId="0" fontId="1" numFmtId="166" xfId="0" applyAlignment="1" applyFont="1" applyNumberFormat="1">
      <alignment horizontal="right" shrinkToFit="0" vertical="center" wrapText="0"/>
    </xf>
    <xf borderId="0" fillId="0" fontId="2" numFmtId="0" xfId="0" applyAlignment="1" applyFont="1">
      <alignment horizontal="right" shrinkToFit="0" vertical="bottom" wrapText="0"/>
    </xf>
    <xf borderId="0" fillId="0" fontId="2" numFmtId="166" xfId="0" applyAlignment="1" applyFont="1" applyNumberFormat="1">
      <alignment shrinkToFit="0" vertical="bottom" wrapText="0"/>
    </xf>
    <xf borderId="0" fillId="0" fontId="1" numFmtId="166" xfId="0" applyAlignment="1" applyFont="1" applyNumberFormat="1">
      <alignment shrinkToFit="0" vertical="bottom" wrapText="0"/>
    </xf>
    <xf borderId="1" fillId="3" fontId="2" numFmtId="0" xfId="0" applyAlignment="1" applyBorder="1" applyFill="1" applyFont="1">
      <alignment horizontal="right" shrinkToFit="0" vertical="bottom" wrapText="0"/>
    </xf>
    <xf borderId="1" fillId="3" fontId="2" numFmtId="166" xfId="0" applyAlignment="1" applyBorder="1" applyFill="1" applyFont="1" applyNumberFormat="1">
      <alignment shrinkToFit="0" vertical="bottom" wrapText="0"/>
    </xf>
    <xf borderId="0" fillId="0" fontId="1" numFmtId="165" xfId="0" applyAlignment="1" applyFont="1" applyNumberFormat="1">
      <alignment shrinkToFit="0" vertical="bottom" wrapText="0"/>
    </xf>
    <xf borderId="0" fillId="0" fontId="2" numFmtId="0" xfId="0" applyAlignment="1" applyFont="1">
      <alignment shrinkToFit="0" vertical="center" wrapText="1"/>
    </xf>
    <xf borderId="0" fillId="0" fontId="1" numFmtId="4" xfId="0" applyAlignment="1" applyFont="1" applyNumberFormat="1">
      <alignment shrinkToFit="0" vertical="center" wrapText="1"/>
    </xf>
    <xf borderId="0" fillId="0" fontId="1" numFmtId="166" xfId="0" applyAlignment="1" applyFont="1" applyNumberFormat="1">
      <alignment readingOrder="0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1" numFmtId="4" xfId="0" applyAlignment="1" applyFont="1" applyNumberFormat="1">
      <alignment shrinkToFit="0" vertical="bottom" wrapText="0"/>
    </xf>
    <xf borderId="0" fillId="0" fontId="1" numFmtId="49" xfId="0" applyAlignment="1" applyFont="1" applyNumberFormat="1">
      <alignment horizontal="center" shrinkToFit="0" vertical="bottom" wrapText="0"/>
    </xf>
    <xf borderId="0" fillId="0" fontId="1" numFmtId="164" xfId="0" applyAlignment="1" applyFont="1" applyNumberFormat="1">
      <alignment horizontal="right" readingOrder="0" shrinkToFit="0" vertical="center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7" xfId="0" applyAlignment="1" applyFont="1" applyNumberFormat="1">
      <alignment readingOrder="0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166" xfId="0" applyAlignment="1" applyFont="1" applyNumberFormat="1">
      <alignment horizontal="right" shrinkToFit="0" vertical="bottom" wrapText="0"/>
    </xf>
    <xf borderId="0" fillId="0" fontId="1" numFmtId="166" xfId="0" applyAlignment="1" applyFont="1" applyNumberFormat="1">
      <alignment horizontal="right" readingOrder="0" shrinkToFit="0" vertical="bottom" wrapText="0"/>
    </xf>
    <xf borderId="0" fillId="0" fontId="3" numFmtId="168" xfId="0" applyAlignment="1" applyFont="1" applyNumberFormat="1">
      <alignment readingOrder="0"/>
    </xf>
    <xf borderId="0" fillId="0" fontId="2" numFmtId="0" xfId="0" applyAlignment="1" applyFont="1">
      <alignment readingOrder="0" shrinkToFit="0" vertical="bottom" wrapText="0"/>
    </xf>
    <xf borderId="1" fillId="2" fontId="2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right" readingOrder="0" shrinkToFit="0" vertical="bottom" wrapText="0"/>
    </xf>
    <xf borderId="1" fillId="3" fontId="2" numFmtId="0" xfId="0" applyAlignment="1" applyBorder="1" applyFill="1" applyFont="1">
      <alignment horizontal="right" readingOrder="0" shrinkToFit="0" vertical="bottom" wrapText="0"/>
    </xf>
    <xf borderId="0" fillId="0" fontId="1" numFmtId="168" xfId="0" applyAlignment="1" applyFont="1" applyNumberFormat="1">
      <alignment readingOrder="0" shrinkToFit="0" vertical="bottom" wrapText="0"/>
    </xf>
    <xf borderId="0" fillId="0" fontId="2" numFmtId="168" xfId="0" applyAlignment="1" applyFont="1" applyNumberFormat="1">
      <alignment shrinkToFit="0" vertical="bottom" wrapText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readingOrder="0" vertical="bottom"/>
    </xf>
    <xf borderId="0" fillId="0" fontId="4" numFmtId="166" xfId="0" applyAlignment="1" applyFont="1" applyNumberFormat="1">
      <alignment horizontal="right" vertical="bottom"/>
    </xf>
    <xf borderId="0" fillId="0" fontId="4" numFmtId="168" xfId="0" applyAlignment="1" applyFont="1" applyNumberFormat="1">
      <alignment horizontal="right" readingOrder="0" vertical="bottom"/>
    </xf>
    <xf borderId="0" fillId="0" fontId="4" numFmtId="10" xfId="0" applyAlignment="1" applyFont="1" applyNumberFormat="1">
      <alignment horizontal="center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166" xfId="0" applyAlignment="1" applyFont="1" applyNumberFormat="1">
      <alignment horizontal="right" readingOrder="0" vertical="bottom"/>
    </xf>
    <xf borderId="0" fillId="0" fontId="5" numFmtId="168" xfId="0" applyAlignment="1" applyFont="1" applyNumberFormat="1">
      <alignment horizontal="right" vertical="bottom"/>
    </xf>
    <xf borderId="0" fillId="4" fontId="4" numFmtId="10" xfId="0" applyAlignment="1" applyFill="1" applyFont="1" applyNumberFormat="1">
      <alignment horizontal="right" vertical="bottom"/>
    </xf>
    <xf borderId="0" fillId="0" fontId="2" numFmtId="0" xfId="0" applyAlignment="1" applyFont="1">
      <alignment horizontal="left" shrinkToFit="0" vertical="bottom" wrapText="0"/>
    </xf>
    <xf borderId="1" fillId="5" fontId="2" numFmtId="0" xfId="0" applyAlignment="1" applyBorder="1" applyFill="1" applyFont="1">
      <alignment horizontal="center" shrinkToFit="0" vertical="bottom" wrapText="0"/>
    </xf>
    <xf borderId="1" fillId="5" fontId="2" numFmtId="166" xfId="0" applyAlignment="1" applyBorder="1" applyFill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>
  <Task id="{2a0512bf-4598-4edb-b798-652651bd36c9}">
    <Anchor>
      <Comment id="{b33492f8-5e90-435c-8c72-af8537326549}"/>
    </Anchor>
    <History>
      <Event time="2023-10-25T16:32:52.00" id="{fdecff75-8e5e-44b3-b18b-f2b042963454}">
        <Attribution userId="placeholder@email.com" userName="Guillermo López" userProvider="google-sheets"/>
        <Anchor>
          <Comment id="{b33492f8-5e90-435c-8c72-af8537326549}"/>
        </Anchor>
        <Create/>
      </Event>
      <Event time="2023-10-25T16:32:52.00" id="{f20e9b5d-c0da-49fa-87f7-362e309af719}">
        <Attribution userId="placeholder@email.com" userName="Guillermo López" userProvider="google-sheets"/>
        <Anchor>
          <Comment id="{b33492f8-5e90-435c-8c72-af8537326549}"/>
        </Anchor>
        <Assign userId="juanma@sentiraranda.es" userName="juanma@sentiraranda.es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5781675</xdr:colOff>
      <xdr:row>21</xdr:row>
      <xdr:rowOff>0</xdr:rowOff>
    </xdr:from>
    <xdr:ext cx="666750" cy="276225"/>
    <xdr:sp>
      <xdr:nvSpPr>
        <xdr:cNvPr id="3" name="Shape 3"/>
        <xdr:cNvSpPr/>
      </xdr:nvSpPr>
      <xdr:spPr>
        <a:xfrm>
          <a:off x="5017388" y="3646650"/>
          <a:ext cx="657225" cy="266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5781675</xdr:colOff>
      <xdr:row>21</xdr:row>
      <xdr:rowOff>0</xdr:rowOff>
    </xdr:from>
    <xdr:ext cx="666750" cy="276225"/>
    <xdr:sp>
      <xdr:nvSpPr>
        <xdr:cNvPr id="3" name="Shape 3"/>
        <xdr:cNvSpPr/>
      </xdr:nvSpPr>
      <xdr:spPr>
        <a:xfrm>
          <a:off x="5017388" y="3646650"/>
          <a:ext cx="657225" cy="266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5781675</xdr:colOff>
      <xdr:row>21</xdr:row>
      <xdr:rowOff>0</xdr:rowOff>
    </xdr:from>
    <xdr:ext cx="666750" cy="276225"/>
    <xdr:sp>
      <xdr:nvSpPr>
        <xdr:cNvPr id="3" name="Shape 3"/>
        <xdr:cNvSpPr/>
      </xdr:nvSpPr>
      <xdr:spPr>
        <a:xfrm>
          <a:off x="5017388" y="3646650"/>
          <a:ext cx="657225" cy="266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5781675</xdr:colOff>
      <xdr:row>21</xdr:row>
      <xdr:rowOff>0</xdr:rowOff>
    </xdr:from>
    <xdr:ext cx="666750" cy="276225"/>
    <xdr:sp>
      <xdr:nvSpPr>
        <xdr:cNvPr id="3" name="Shape 3"/>
        <xdr:cNvSpPr/>
      </xdr:nvSpPr>
      <xdr:spPr>
        <a:xfrm>
          <a:off x="5017388" y="3646650"/>
          <a:ext cx="657225" cy="266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5781675</xdr:colOff>
      <xdr:row>21</xdr:row>
      <xdr:rowOff>0</xdr:rowOff>
    </xdr:from>
    <xdr:ext cx="666750" cy="276225"/>
    <xdr:sp>
      <xdr:nvSpPr>
        <xdr:cNvPr id="3" name="Shape 3"/>
        <xdr:cNvSpPr/>
      </xdr:nvSpPr>
      <xdr:spPr>
        <a:xfrm>
          <a:off x="5017388" y="3646650"/>
          <a:ext cx="657225" cy="266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5781675</xdr:colOff>
      <xdr:row>21</xdr:row>
      <xdr:rowOff>0</xdr:rowOff>
    </xdr:from>
    <xdr:ext cx="666750" cy="276225"/>
    <xdr:sp>
      <xdr:nvSpPr>
        <xdr:cNvPr id="3" name="Shape 3"/>
        <xdr:cNvSpPr/>
      </xdr:nvSpPr>
      <xdr:spPr>
        <a:xfrm>
          <a:off x="5017388" y="3646650"/>
          <a:ext cx="657225" cy="266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5781675</xdr:colOff>
      <xdr:row>21</xdr:row>
      <xdr:rowOff>0</xdr:rowOff>
    </xdr:from>
    <xdr:ext cx="666750" cy="276225"/>
    <xdr:sp>
      <xdr:nvSpPr>
        <xdr:cNvPr id="3" name="Shape 3"/>
        <xdr:cNvSpPr/>
      </xdr:nvSpPr>
      <xdr:spPr>
        <a:xfrm>
          <a:off x="5017388" y="3646650"/>
          <a:ext cx="657225" cy="266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5781675</xdr:colOff>
      <xdr:row>21</xdr:row>
      <xdr:rowOff>0</xdr:rowOff>
    </xdr:from>
    <xdr:ext cx="666750" cy="276225"/>
    <xdr:sp>
      <xdr:nvSpPr>
        <xdr:cNvPr id="3" name="Shape 3"/>
        <xdr:cNvSpPr/>
      </xdr:nvSpPr>
      <xdr:spPr>
        <a:xfrm>
          <a:off x="5017388" y="3646650"/>
          <a:ext cx="657225" cy="266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723900</xdr:colOff>
      <xdr:row>22</xdr:row>
      <xdr:rowOff>104775</xdr:rowOff>
    </xdr:from>
    <xdr:ext cx="4067175" cy="276225"/>
    <xdr:sp>
      <xdr:nvSpPr>
        <xdr:cNvPr id="4" name="Shape 4"/>
        <xdr:cNvSpPr/>
      </xdr:nvSpPr>
      <xdr:spPr>
        <a:xfrm>
          <a:off x="3317175" y="3646650"/>
          <a:ext cx="4057650" cy="2667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guillermo@sentiraranda.es" id="{8deef9b7-4fc4-4231-aa5f-74c5c3af45e3}" userId="guillermo@sentiraranda.es" providerId="google-sheets"/>
  <x18tc:person displayName="Guillermo López" id="{2e3c154d-e9f3-46ac-aa59-7c3d3afa5632}" providerId="google-sheets"/>
  <x18tc:person displayName="Guillermo López Leal" id="{e29cc01c-c6c4-47ff-8b61-1487fcf8b91f}" providerId="google-sheets"/>
  <x18tc:person displayName="juanma@sentiraranda.es" id="{45d3057d-028b-46aa-bdf1-45f5b81eb977}" userId="juanma@sentiraranda.es" providerId="google-sheets"/>
  <x18tc:person displayName="Juanma Martín" id="{46558bba-1282-4b8f-b6ef-b6f256dd6f28}" providerId="google-sheets"/>
  <x18tc:person displayName="antonio@sentiraranda.es" id="{21ba2312-efd0-455a-bf83-90f802393000}" userId="antonio@sentiraranda.es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09" dT="2023-10-17T10:18:03.00" personId="{2e3c154d-e9f3-46ac-aa59-7c3d3afa5632}" id="{3355b4e8-7ae6-47d5-8d3b-403bd2e7c13b}" done="0">
    <x18tc:text xml:space="preserve">hasta junio de 2024, saber cuánto puede generar</x18tc:text>
  </x18tc:threadedComment>
  <x18tc:threadedComment ref="E13" dT="2023-10-17T10:20:58.00" personId="{2e3c154d-e9f3-46ac-aa59-7c3d3afa5632}" id="{ac0ce8f7-8437-46fd-b3c9-92fbf32b7271}" done="1">
    <x18tc:text xml:space="preserve">licencias de obras para liquidar en 2024, María José y Ana María.
por ejemplo el del hospital!!</x18tc:text>
  </x18tc:threadedComment>
  <x18tc:threadedComment ref="E13" dT="2023-10-17T10:21:08.00" personId="{2e3c154d-e9f3-46ac-aa59-7c3d3afa5632}" id="{69f19be3-690b-4320-b4fe-fb9dc65881b8}" parentId="{ac0ce8f7-8437-46fd-b3c9-92fbf32b7271}">
    <x18tc:text xml:space="preserve">@guillermo@sentiraranda.es</x18tc:text>
    <x18tc:mentions>
      <x18tc:mention mentionpersonId="{8deef9b7-4fc4-4231-aa5f-74c5c3af45e3}" mentionId="{02af5c76-960f-4286-a3fe-42ce1a31ca90}" startIndex="0" length="26"/>
    </x18tc:mentions>
  </x18tc:threadedComment>
  <x18tc:threadedComment ref="E24" dT="2023-10-22T15:47:26.00" personId="{2e3c154d-e9f3-46ac-aa59-7c3d3afa5632}" id="{205802e0-7f36-4238-ad9c-fce154ff5739}" done="0">
    <x18tc:text xml:space="preserve">El servicio de grúa es deficitario en unos 10.000€ mensuales (contrato viejo)
Se ingresan unos 4.000€ mensuales y se pagan unos 15.500</x18tc:text>
  </x18tc:threadedComment>
  <x18tc:threadedComment ref="E24" dT="2023-10-22T15:51:53.00" personId="{2e3c154d-e9f3-46ac-aa59-7c3d3afa5632}" id="{74c8fdc2-b79b-41d5-9bde-069ad93de5f8}" parentId="{205802e0-7f36-4238-ad9c-fce154ff5739}">
    <x18tc:text xml:space="preserve">17.000€ mensuales con la nueva grúa.
Es decir, que tenemos que recoger 4 veces más coches de los actuales @juanma@sentiraranda.es</x18tc:text>
    <x18tc:mentions>
      <x18tc:mention mentionpersonId="{45d3057d-028b-46aa-bdf1-45f5b81eb977}" mentionId="{aa4fb8d1-adff-4431-921f-483822b031d7}" startIndex="107" length="23"/>
    </x18tc:mentions>
  </x18tc:threadedComment>
  <x18tc:threadedComment ref="E24" dT="2023-10-22T16:00:01.00" personId="{2e3c154d-e9f3-46ac-aa59-7c3d3afa5632}" id="{82ae6ad9-3cc8-4fcf-aa54-9e38eb7b71d7}" parentId="{205802e0-7f36-4238-ad9c-fce154ff5739}">
    <x18tc:text xml:space="preserve">251000€ al año con IVA, que son 21.000€ mensuales
Es decir, mínimo tenemos que coger 5 coches por cada 1 que se recoge ahora</x18tc:text>
  </x18tc:threadedComment>
  <x18tc:threadedComment ref="E24" dT="2023-10-22T16:00:10.00" personId="{2e3c154d-e9f3-46ac-aa59-7c3d3afa5632}" id="{086deba0-407d-401e-9619-044c5e18f073}" parentId="{205802e0-7f36-4238-ad9c-fce154ff5739}">
    <x18tc:text xml:space="preserve">@antonio@sentiraranda.es</x18tc:text>
    <x18tc:mentions>
      <x18tc:mention mentionpersonId="{21ba2312-efd0-455a-bf83-90f802393000}" mentionId="{94115368-59df-4d92-ad8d-1bdbb531f5d8}" startIndex="0" length="24"/>
    </x18tc:mentions>
  </x18tc:threadedComment>
  <x18tc:threadedComment ref="E19" dT="2023-09-25T22:13:26.00" personId="{2e3c154d-e9f3-46ac-aa59-7c3d3afa5632}" id="{965cdd5e-e08a-470b-8658-4e9c67d762e8}" done="1">
    <x18tc:text xml:space="preserve">ojo por si se cobra o no</x18tc:text>
  </x18tc:threadedComment>
  <x18tc:threadedComment ref="E19" dT="2023-10-09T08:21:30.00" personId="{2e3c154d-e9f3-46ac-aa59-7c3d3afa5632}" id="{f76fcd7c-1f56-464b-bb12-54ba84c79e42}" parentId="{965cdd5e-e08a-470b-8658-4e9c67d762e8}">
    <x18tc:text xml:space="preserve">Hay que mirar si en 2023 no hay derecho reconocido, usar 2024 todo</x18tc:text>
  </x18tc:threadedComment>
  <x18tc:threadedComment ref="E19" dT="2023-10-09T08:21:32.00" personId="{2e3c154d-e9f3-46ac-aa59-7c3d3afa5632}" id="{273f8e49-6657-4787-8aca-1514bde18b49}" parentId="{965cdd5e-e08a-470b-8658-4e9c67d762e8}">
    <x18tc:text xml:space="preserve">Marcado como resuelto</x18tc:text>
  </x18tc:threadedComment>
  <x18tc:threadedComment ref="E19" dT="2023-10-09T08:21:34.00" personId="{2e3c154d-e9f3-46ac-aa59-7c3d3afa5632}" id="{aee7c4f3-8713-4d55-bca4-043236910535}" parentId="{965cdd5e-e08a-470b-8658-4e9c67d762e8}">
    <x18tc:text xml:space="preserve">Reabierto</x18tc:text>
  </x18tc:threadedComment>
  <x18tc:threadedComment ref="E30" dT="2023-09-25T22:16:10.00" personId="{2e3c154d-e9f3-46ac-aa59-7c3d3afa5632}" id="{289665f4-e6d7-49a0-a115-8b84b28e1606}" done="0">
    <x18tc:text xml:space="preserve">542k en 2022</x18tc:text>
  </x18tc:threadedComment>
  <x18tc:threadedComment ref="E30" dT="2023-10-05T12:06:42.00" personId="{2e3c154d-e9f3-46ac-aa59-7c3d3afa5632}" id="{83e36927-0521-476a-8f3e-a6a86414782b}" parentId="{289665f4-e6d7-49a0-a115-8b84b28e1606}">
    <x18tc:text xml:space="preserve">previsión de unos 550k en 2023</x18tc:text>
  </x18tc:threadedComment>
  <x18tc:threadedComment ref="E84" dT="2023-09-26T20:31:07.00" personId="{2e3c154d-e9f3-46ac-aa59-7c3d3afa5632}" id="{6b2be5e8-b23f-4aa2-bd08-47bb697adf84}" done="1">
    <x18tc:text xml:space="preserve">a vuelapluma, parece una cifra que alguien nos va a dar??</x18tc:text>
  </x18tc:threadedComment>
  <x18tc:threadedComment ref="E84" dT="2023-10-21T11:39:05.00" personId="{2e3c154d-e9f3-46ac-aa59-7c3d3afa5632}" id="{ee98c735-12c9-4ed9-8fa7-e4af225891f4}" parentId="{6b2be5e8-b23f-4aa2-bd08-47bb697adf84}">
    <x18tc:text xml:space="preserve">Van casi 9M en 2023 y la previsión es superior en 2024</x18tc:text>
  </x18tc:threadedComment>
  <x18tc:threadedComment ref="E84" dT="2023-10-24T16:34:36.00" personId="{2e3c154d-e9f3-46ac-aa59-7c3d3afa5632}" id="{b83d31a6-26d9-4acf-a42c-29d134dc544f}" parentId="{6b2be5e8-b23f-4aa2-bd08-47bb697adf84}">
    <x18tc:text xml:space="preserve">Aprox un 3% más que en 2023, que han sido 9M</x18tc:text>
  </x18tc:threadedComment>
  <x18tc:threadedComment ref="E92" dT="2023-09-26T20:48:46.00" personId="{2e3c154d-e9f3-46ac-aa59-7c3d3afa5632}" id="{8017ca11-6b12-46b2-a06b-174a44b04be3}" done="1">
    <x18tc:text xml:space="preserve">hay que calcular todo el año</x18tc:text>
  </x18tc:threadedComment>
  <x18tc:threadedComment ref="E92" dT="2023-10-05T12:06:07.00" personId="{2e3c154d-e9f3-46ac-aa59-7c3d3afa5632}" id="{4bd16cdb-a186-459e-bd73-943bc0145ad2}" parentId="{8017ca11-6b12-46b2-a06b-174a44b04be3}">
    <x18tc:text xml:space="preserve">según correo de Elías, contar en 2024 con lo mismo + luego una posible adenda</x18tc:text>
  </x18tc:threadedComment>
  <x18tc:threadedComment ref="E92" dT="2023-10-10T17:25:50.00" personId="{2e3c154d-e9f3-46ac-aa59-7c3d3afa5632}" id="{69990ba8-a7a4-45a2-87f1-f36671e8b31a}" parentId="{8017ca11-6b12-46b2-a06b-174a44b04be3}">
    <x18tc:text xml:space="preserve">Correo de Andrés Gonzalo el 10 de octubre con información</x18tc:text>
  </x18tc:threadedComment>
  <x18tc:threadedComment ref="E113" dT="2023-09-26T21:34:48.00" personId="{2e3c154d-e9f3-46ac-aa59-7c3d3afa5632}" id="{f27ca196-ea86-4453-a6c1-b3f35dc5ed5f}" done="1">
    <x18tc:text xml:space="preserve">falta bar la huerta</x18tc:text>
  </x18tc:threadedComment>
  <x18tc:threadedComment ref="E123" dT="2023-10-10T17:31:27.00" personId="{2e3c154d-e9f3-46ac-aa59-7c3d3afa5632}" id="{ea519dd3-ec0d-481e-9aec-d6eddcc109e6}" done="0">
    <x18tc:text xml:space="preserve">Artepref, camino de los monjes</x18tc:text>
  </x18tc:threadedComment>
  <x18tc:threadedComment ref="E93" dT="2023-10-15T23:40:07.00" personId="{2e3c154d-e9f3-46ac-aa59-7c3d3afa5632}" id="{fbc0eb3d-8a7e-45f0-91d9-56fab36a3da0}" done="0">
    <x18tc:text xml:space="preserve">correo de Fuertes, con 86138,06 por allendeduero y Aranda de duero</x18tc:text>
  </x18tc:threadedComment>
  <x18tc:threadedComment ref="E45" dT="2023-10-15T23:41:06.00" personId="{2e3c154d-e9f3-46ac-aa59-7c3d3afa5632}" id="{83309eca-eb52-4d40-8e48-c1aa94850e2a}" done="0">
    <x18tc:text xml:space="preserve">correo de Fuertes dom 15/10/2023 21:12</x18tc:text>
  </x18tc:threadedComment>
  <x18tc:threadedComment ref="E86" dT="2023-10-05T17:02:56.00" personId="{2e3c154d-e9f3-46ac-aa59-7c3d3afa5632}" id="{65389e9d-cc61-4ecc-b92e-580c01f206ab}" done="1">
    <x18tc:text xml:space="preserve">por qué este valor?</x18tc:text>
  </x18tc:threadedComment>
  <x18tc:threadedComment ref="E47" dT="2023-10-05T12:05:32.00" personId="{2e3c154d-e9f3-46ac-aa59-7c3d3afa5632}" id="{b3f7cbf7-0e88-452a-82df-aca96f652a1d}" done="0">
    <x18tc:text xml:space="preserve">Con el nuevo contrato no hay ingresos para el Ayuntamiento</x18tc:text>
  </x18tc:threadedComment>
  <x18tc:threadedComment ref="E51" dT="2023-10-05T12:05:38.00" personId="{2e3c154d-e9f3-46ac-aa59-7c3d3afa5632}" id="{3e97989f-2b99-47ae-b1f5-47b4beb20e7c}" done="0">
    <x18tc:text xml:space="preserve">Con el nuevo contrato no hay ingresos para el Ayuntamiento</x18tc:text>
  </x18tc:threadedComment>
  <x18tc:threadedComment ref="E49" dT="2023-10-25T06:54:34.00" personId="{2e3c154d-e9f3-46ac-aa59-7c3d3afa5632}" id="{39ba81d2-4728-47de-8ac3-c0a6fef64c82}" done="1">
    <x18tc:text xml:space="preserve">comprobar si la subida es real de nuevo</x18tc:text>
  </x18tc:threadedComment>
  <x18tc:threadedComment ref="E114" dT="2023-10-25T16:32:52.00" personId="{2e3c154d-e9f3-46ac-aa59-7c3d3afa5632}" id="{b33492f8-5e90-435c-8c72-af8537326549}" done="0">
    <x18tc:text xml:space="preserve">Revisar @juanma@sentiraranda.es
Asignado a juanma@sentiraranda.es</x18tc:text>
    <x18tc:mentions>
      <x18tc:mention mentionpersonId="{45d3057d-028b-46aa-bdf1-45f5b81eb977}" mentionId="{b6b3c218-f9e1-41c8-ad67-a17a2792c4e6}" startIndex="8" length="23"/>
    </x18tc:mentions>
  </x18tc:threadedComment>
  <x18tc:threadedComment ref="E114" dT="2023-10-25T21:55:50.00" personId="{46558bba-1282-4b8f-b6ef-b6f256dd6f28}" id="{767680c6-9a5b-4439-92a7-21acb6edf3ff}" parentId="{b33492f8-5e90-435c-8c72-af8537326549}">
    <x18tc:text xml:space="preserve">No se a que te refieres</x18tc:text>
  </x18tc:threadedComment>
  <x18tc:threadedComment ref="E114" dT="2023-10-25T22:07:57.00" personId="{e29cc01c-c6c4-47ff-8b61-1487fcf8b91f}" id="{64ddedd3-d709-4500-89c9-4320383ecb7e}" parentId="{b33492f8-5e90-435c-8c72-af8537326549}">
    <x18tc:text xml:space="preserve">La idea es ¿cuánto se quiere ingresar por el aparcamiento de camiones?
puse 50.000€ por lo que hablamos del centimazo de la gasolinera y tal.
Es una previsión, se puede quedar en 1000, pero bueno, esto es una previsión</x18tc:text>
  </x18tc:threadedComment>
  <x18tc:threadedComment ref="E114" dT="2023-10-26T06:55:07.00" personId="{46558bba-1282-4b8f-b6ef-b6f256dd6f28}" id="{b9addcbb-fa59-499f-8bf0-1d8b339b800a}" parentId="{b33492f8-5e90-435c-8c72-af8537326549}">
    <x18tc:text xml:space="preserve">Pon 10.000, para este año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3.75"/>
    <col customWidth="1" min="2" max="2" width="15.75"/>
    <col customWidth="1" min="3" max="3" width="78.63"/>
    <col customWidth="1" hidden="1" min="4" max="4" width="15.63"/>
    <col customWidth="1" min="5" max="5" width="15.63"/>
    <col customWidth="1" hidden="1" min="6" max="6" width="11.88"/>
    <col customWidth="1" min="7" max="22" width="10.0"/>
  </cols>
  <sheetData>
    <row r="1" ht="26.2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ht="12.75" customHeight="1">
      <c r="A2" s="4"/>
      <c r="B2" s="5">
        <v>112.0</v>
      </c>
      <c r="C2" s="6" t="s">
        <v>6</v>
      </c>
      <c r="D2" s="7">
        <v>527000.0</v>
      </c>
      <c r="E2" s="8">
        <v>548000.0</v>
      </c>
      <c r="F2" s="9">
        <f t="shared" ref="F2:F9" si="1">((E2-D2)/D2)</f>
        <v>0.03984819734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ht="12.75" customHeight="1">
      <c r="A3" s="4"/>
      <c r="B3" s="5">
        <v>113.0</v>
      </c>
      <c r="C3" s="6" t="s">
        <v>7</v>
      </c>
      <c r="D3" s="10">
        <v>1.0653E7</v>
      </c>
      <c r="E3" s="8">
        <v>1.055E7</v>
      </c>
      <c r="F3" s="9">
        <f t="shared" si="1"/>
        <v>-0.009668637942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ht="12.75" customHeight="1">
      <c r="A4" s="4"/>
      <c r="B4" s="5">
        <v>115.0</v>
      </c>
      <c r="C4" s="6" t="s">
        <v>8</v>
      </c>
      <c r="D4" s="7">
        <v>1710000.0</v>
      </c>
      <c r="E4" s="8">
        <v>1730000.0</v>
      </c>
      <c r="F4" s="9">
        <f t="shared" si="1"/>
        <v>0.01169590643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ht="12.75" customHeight="1">
      <c r="A5" s="4"/>
      <c r="B5" s="5">
        <v>116.0</v>
      </c>
      <c r="C5" s="6" t="s">
        <v>9</v>
      </c>
      <c r="D5" s="7">
        <v>410000.0</v>
      </c>
      <c r="E5" s="8">
        <v>400000.0</v>
      </c>
      <c r="F5" s="9">
        <f t="shared" si="1"/>
        <v>-0.0243902439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ht="12.75" customHeight="1">
      <c r="A6" s="4"/>
      <c r="B6" s="5"/>
      <c r="C6" s="11" t="s">
        <v>10</v>
      </c>
      <c r="D6" s="12">
        <f t="shared" ref="D6:E6" si="2">SUM(D2:D5)</f>
        <v>13300000</v>
      </c>
      <c r="E6" s="12">
        <f t="shared" si="2"/>
        <v>13228000</v>
      </c>
      <c r="F6" s="9">
        <f t="shared" si="1"/>
        <v>-0.005413533835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ht="12.75" customHeight="1">
      <c r="A7" s="4"/>
      <c r="B7" s="5">
        <v>130.0</v>
      </c>
      <c r="C7" s="6" t="s">
        <v>11</v>
      </c>
      <c r="D7" s="13">
        <v>1350000.0</v>
      </c>
      <c r="E7" s="8">
        <v>1450000.0</v>
      </c>
      <c r="F7" s="9">
        <f t="shared" si="1"/>
        <v>0.07407407407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ht="13.5" customHeight="1">
      <c r="A8" s="4"/>
      <c r="B8" s="4"/>
      <c r="C8" s="11" t="s">
        <v>12</v>
      </c>
      <c r="D8" s="12">
        <f t="shared" ref="D8:E8" si="3">SUM(D7)</f>
        <v>1350000</v>
      </c>
      <c r="E8" s="12">
        <f t="shared" si="3"/>
        <v>1450000</v>
      </c>
      <c r="F8" s="9">
        <f t="shared" si="1"/>
        <v>0.07407407407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ht="13.5" customHeight="1">
      <c r="A9" s="4"/>
      <c r="B9" s="4"/>
      <c r="C9" s="14" t="s">
        <v>13</v>
      </c>
      <c r="D9" s="15">
        <f t="shared" ref="D9:E9" si="4">D6+D8</f>
        <v>14650000</v>
      </c>
      <c r="E9" s="15">
        <f t="shared" si="4"/>
        <v>14678000</v>
      </c>
      <c r="F9" s="9">
        <f t="shared" si="1"/>
        <v>0.001911262799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ht="12.75" customHeight="1">
      <c r="A10" s="4"/>
      <c r="B10" s="4"/>
      <c r="C10" s="11"/>
      <c r="D10" s="12"/>
      <c r="E10" s="16"/>
      <c r="F10" s="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ht="13.5" customHeight="1">
      <c r="A11" s="4"/>
      <c r="B11" s="17"/>
      <c r="C11" s="4"/>
      <c r="D11" s="18"/>
      <c r="E11" s="16"/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ht="26.25" customHeight="1">
      <c r="A12" s="4"/>
      <c r="B12" s="2" t="s">
        <v>1</v>
      </c>
      <c r="C12" s="2" t="s">
        <v>14</v>
      </c>
      <c r="D12" s="3" t="s">
        <v>3</v>
      </c>
      <c r="E12" s="3" t="s">
        <v>4</v>
      </c>
      <c r="F12" s="3" t="s">
        <v>5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ht="12.75" customHeight="1">
      <c r="A13" s="4"/>
      <c r="B13" s="5">
        <v>290.0</v>
      </c>
      <c r="C13" s="4" t="s">
        <v>15</v>
      </c>
      <c r="D13" s="13">
        <v>770000.0</v>
      </c>
      <c r="E13" s="19">
        <v>900000.0</v>
      </c>
      <c r="F13" s="9">
        <f t="shared" ref="F13:F15" si="6">((E13-D13)/D13)</f>
        <v>0.1688311688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ht="13.5" customHeight="1">
      <c r="A14" s="4"/>
      <c r="B14" s="20"/>
      <c r="C14" s="11" t="s">
        <v>16</v>
      </c>
      <c r="D14" s="12">
        <f t="shared" ref="D14:E14" si="5">SUM(D13)</f>
        <v>770000</v>
      </c>
      <c r="E14" s="12">
        <f t="shared" si="5"/>
        <v>900000</v>
      </c>
      <c r="F14" s="9">
        <f t="shared" si="6"/>
        <v>0.1688311688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ht="13.5" customHeight="1">
      <c r="A15" s="4"/>
      <c r="B15" s="5"/>
      <c r="C15" s="14" t="s">
        <v>17</v>
      </c>
      <c r="D15" s="15">
        <f t="shared" ref="D15:E15" si="7">D14</f>
        <v>770000</v>
      </c>
      <c r="E15" s="15">
        <f t="shared" si="7"/>
        <v>900000</v>
      </c>
      <c r="F15" s="9">
        <f t="shared" si="6"/>
        <v>0.1688311688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ht="12.75" customHeight="1">
      <c r="A16" s="4"/>
      <c r="B16" s="5"/>
      <c r="C16" s="4"/>
      <c r="D16" s="21"/>
      <c r="E16" s="16"/>
      <c r="F16" s="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ht="13.5" customHeight="1">
      <c r="A17" s="4"/>
      <c r="B17" s="17"/>
      <c r="C17" s="4"/>
      <c r="D17" s="18"/>
      <c r="E17" s="16"/>
      <c r="F17" s="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ht="26.25" customHeight="1">
      <c r="A18" s="4"/>
      <c r="B18" s="2" t="s">
        <v>1</v>
      </c>
      <c r="C18" s="2" t="s">
        <v>18</v>
      </c>
      <c r="D18" s="3" t="s">
        <v>3</v>
      </c>
      <c r="E18" s="3" t="s">
        <v>4</v>
      </c>
      <c r="F18" s="3" t="s">
        <v>5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ht="13.5" customHeight="1">
      <c r="A19" s="4"/>
      <c r="B19" s="22" t="s">
        <v>19</v>
      </c>
      <c r="C19" s="4" t="s">
        <v>20</v>
      </c>
      <c r="D19" s="7">
        <v>2300000.0</v>
      </c>
      <c r="E19" s="23">
        <v>4500000.0</v>
      </c>
      <c r="F19" s="9">
        <f t="shared" ref="F19:F28" si="8">((E19-D19)/D19)</f>
        <v>0.9565217391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ht="13.5" customHeight="1">
      <c r="A20" s="4"/>
      <c r="B20" s="5" t="s">
        <v>21</v>
      </c>
      <c r="C20" s="4" t="s">
        <v>22</v>
      </c>
      <c r="D20" s="7">
        <v>10000.0</v>
      </c>
      <c r="E20" s="8">
        <v>10000.0</v>
      </c>
      <c r="F20" s="9">
        <f t="shared" si="8"/>
        <v>0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ht="12.75" customHeight="1">
      <c r="A21" s="4"/>
      <c r="B21" s="20"/>
      <c r="C21" s="11" t="s">
        <v>23</v>
      </c>
      <c r="D21" s="12">
        <f t="shared" ref="D21:E21" si="9">SUM(D19:D20)</f>
        <v>2310000</v>
      </c>
      <c r="E21" s="12">
        <f t="shared" si="9"/>
        <v>4510000</v>
      </c>
      <c r="F21" s="9">
        <f t="shared" si="8"/>
        <v>0.9523809524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ht="12.75" customHeight="1">
      <c r="A22" s="4"/>
      <c r="B22" s="5" t="s">
        <v>24</v>
      </c>
      <c r="C22" s="4" t="s">
        <v>25</v>
      </c>
      <c r="D22" s="7">
        <v>225000.0</v>
      </c>
      <c r="E22" s="8">
        <v>225000.0</v>
      </c>
      <c r="F22" s="9">
        <f t="shared" si="8"/>
        <v>0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ht="12.75" customHeight="1">
      <c r="A23" s="4"/>
      <c r="B23" s="5" t="s">
        <v>26</v>
      </c>
      <c r="C23" s="4" t="s">
        <v>27</v>
      </c>
      <c r="D23" s="7">
        <v>5000.0</v>
      </c>
      <c r="E23" s="8">
        <v>6000.0</v>
      </c>
      <c r="F23" s="9">
        <f t="shared" si="8"/>
        <v>0.2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ht="12.75" customHeight="1">
      <c r="A24" s="4"/>
      <c r="B24" s="5" t="s">
        <v>28</v>
      </c>
      <c r="C24" s="4" t="s">
        <v>29</v>
      </c>
      <c r="D24" s="7">
        <v>45000.0</v>
      </c>
      <c r="E24" s="8">
        <v>150000.0</v>
      </c>
      <c r="F24" s="9">
        <f t="shared" si="8"/>
        <v>2.333333333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ht="12.75" customHeight="1">
      <c r="A25" s="4"/>
      <c r="B25" s="5" t="s">
        <v>30</v>
      </c>
      <c r="C25" s="4" t="s">
        <v>31</v>
      </c>
      <c r="D25" s="13">
        <v>10000.0</v>
      </c>
      <c r="E25" s="8">
        <v>12000.0</v>
      </c>
      <c r="F25" s="9">
        <f t="shared" si="8"/>
        <v>0.2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ht="12.75" customHeight="1">
      <c r="A26" s="4"/>
      <c r="B26" s="5" t="s">
        <v>32</v>
      </c>
      <c r="C26" s="4" t="s">
        <v>33</v>
      </c>
      <c r="D26" s="7">
        <v>500.0</v>
      </c>
      <c r="E26" s="8">
        <v>60.0</v>
      </c>
      <c r="F26" s="9">
        <f t="shared" si="8"/>
        <v>-0.88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ht="12.75" customHeight="1">
      <c r="A27" s="4"/>
      <c r="B27" s="5" t="s">
        <v>34</v>
      </c>
      <c r="C27" s="4" t="s">
        <v>35</v>
      </c>
      <c r="D27" s="7">
        <v>8000.0</v>
      </c>
      <c r="E27" s="8">
        <v>3000.0</v>
      </c>
      <c r="F27" s="9">
        <f t="shared" si="8"/>
        <v>-0.625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ht="12.75" customHeight="1">
      <c r="A28" s="4"/>
      <c r="B28" s="5"/>
      <c r="C28" s="11" t="s">
        <v>36</v>
      </c>
      <c r="D28" s="12">
        <f t="shared" ref="D28:E28" si="10">SUM(D22:D27)</f>
        <v>293500</v>
      </c>
      <c r="E28" s="12">
        <f t="shared" si="10"/>
        <v>396060</v>
      </c>
      <c r="F28" s="9">
        <f t="shared" si="8"/>
        <v>0.3494378194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ht="12.75" customHeight="1">
      <c r="A29" s="4"/>
      <c r="B29" s="5"/>
      <c r="C29" s="11"/>
      <c r="D29" s="12"/>
      <c r="E29" s="16"/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ht="12.75" customHeight="1">
      <c r="A30" s="4"/>
      <c r="B30" s="5" t="s">
        <v>37</v>
      </c>
      <c r="C30" s="4" t="s">
        <v>38</v>
      </c>
      <c r="D30" s="13">
        <v>380000.0</v>
      </c>
      <c r="E30" s="8">
        <v>550000.0</v>
      </c>
      <c r="F30" s="9">
        <f t="shared" ref="F30:F66" si="11">((E30-D30)/D30)</f>
        <v>0.4473684211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ht="12.75" customHeight="1">
      <c r="A31" s="4"/>
      <c r="B31" s="5" t="s">
        <v>39</v>
      </c>
      <c r="C31" s="4" t="s">
        <v>40</v>
      </c>
      <c r="D31" s="13">
        <v>191000.0</v>
      </c>
      <c r="E31" s="8">
        <v>197000.0</v>
      </c>
      <c r="F31" s="9">
        <f t="shared" si="11"/>
        <v>0.03141361257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ht="12.75" customHeight="1">
      <c r="A32" s="4"/>
      <c r="B32" s="5" t="s">
        <v>41</v>
      </c>
      <c r="C32" s="4" t="s">
        <v>42</v>
      </c>
      <c r="D32" s="13">
        <v>720000.0</v>
      </c>
      <c r="E32" s="8">
        <v>900000.0</v>
      </c>
      <c r="F32" s="9">
        <f t="shared" si="11"/>
        <v>0.25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ht="12.75" customHeight="1">
      <c r="A33" s="4"/>
      <c r="B33" s="5" t="s">
        <v>43</v>
      </c>
      <c r="C33" s="4" t="s">
        <v>44</v>
      </c>
      <c r="D33" s="13">
        <v>40000.0</v>
      </c>
      <c r="E33" s="8">
        <v>40000.0</v>
      </c>
      <c r="F33" s="9">
        <f t="shared" si="11"/>
        <v>0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ht="12.75" customHeight="1">
      <c r="A34" s="4"/>
      <c r="B34" s="5" t="s">
        <v>45</v>
      </c>
      <c r="C34" s="4" t="s">
        <v>46</v>
      </c>
      <c r="D34" s="13">
        <v>30000.0</v>
      </c>
      <c r="E34" s="8">
        <v>30000.0</v>
      </c>
      <c r="F34" s="9">
        <f t="shared" si="11"/>
        <v>0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ht="12.75" customHeight="1">
      <c r="A35" s="4"/>
      <c r="B35" s="5" t="s">
        <v>47</v>
      </c>
      <c r="C35" s="4" t="s">
        <v>48</v>
      </c>
      <c r="D35" s="13">
        <v>25000.0</v>
      </c>
      <c r="E35" s="8">
        <v>2000.0</v>
      </c>
      <c r="F35" s="9">
        <f t="shared" si="11"/>
        <v>-0.92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ht="12.75" customHeight="1">
      <c r="A36" s="4"/>
      <c r="B36" s="5" t="s">
        <v>49</v>
      </c>
      <c r="C36" s="4" t="s">
        <v>50</v>
      </c>
      <c r="D36" s="13">
        <v>37000.0</v>
      </c>
      <c r="E36" s="8">
        <v>70000.0</v>
      </c>
      <c r="F36" s="9">
        <f t="shared" si="11"/>
        <v>0.8918918919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ht="12.75" customHeight="1">
      <c r="A37" s="4"/>
      <c r="B37" s="5" t="s">
        <v>51</v>
      </c>
      <c r="C37" s="4" t="s">
        <v>52</v>
      </c>
      <c r="D37" s="13">
        <v>1200.0</v>
      </c>
      <c r="E37" s="8">
        <v>800.0</v>
      </c>
      <c r="F37" s="9">
        <f t="shared" si="11"/>
        <v>-0.3333333333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ht="12.75" customHeight="1">
      <c r="A38" s="4"/>
      <c r="B38" s="24" t="s">
        <v>53</v>
      </c>
      <c r="C38" s="25" t="s">
        <v>54</v>
      </c>
      <c r="D38" s="19">
        <v>0.0</v>
      </c>
      <c r="E38" s="8">
        <v>3000.0</v>
      </c>
      <c r="F38" s="9" t="str">
        <f t="shared" si="11"/>
        <v>#DIV/0!</v>
      </c>
      <c r="G38" s="26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ht="12.75" customHeight="1">
      <c r="A39" s="4"/>
      <c r="B39" s="5" t="s">
        <v>55</v>
      </c>
      <c r="C39" s="4" t="s">
        <v>56</v>
      </c>
      <c r="D39" s="13">
        <v>40000.0</v>
      </c>
      <c r="E39" s="8">
        <v>30000.0</v>
      </c>
      <c r="F39" s="9">
        <f t="shared" si="11"/>
        <v>-0.25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ht="12.75" customHeight="1">
      <c r="A40" s="4"/>
      <c r="B40" s="5" t="s">
        <v>57</v>
      </c>
      <c r="C40" s="4" t="s">
        <v>58</v>
      </c>
      <c r="D40" s="13">
        <v>15000.0</v>
      </c>
      <c r="E40" s="8">
        <v>10000.0</v>
      </c>
      <c r="F40" s="9">
        <f t="shared" si="11"/>
        <v>-0.3333333333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ht="12.75" customHeight="1">
      <c r="A41" s="4"/>
      <c r="B41" s="27"/>
      <c r="C41" s="11" t="s">
        <v>59</v>
      </c>
      <c r="D41" s="12">
        <f t="shared" ref="D41:E41" si="12">SUM(D30:D40)</f>
        <v>1479200</v>
      </c>
      <c r="E41" s="12">
        <f t="shared" si="12"/>
        <v>1832800</v>
      </c>
      <c r="F41" s="9">
        <f t="shared" si="11"/>
        <v>0.2390481341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ht="12.75" customHeight="1">
      <c r="A42" s="4"/>
      <c r="B42" s="5" t="s">
        <v>60</v>
      </c>
      <c r="C42" s="4" t="s">
        <v>61</v>
      </c>
      <c r="D42" s="7">
        <v>140000.0</v>
      </c>
      <c r="E42" s="8">
        <v>140000.0</v>
      </c>
      <c r="F42" s="9">
        <f t="shared" si="11"/>
        <v>0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ht="12.75" customHeight="1">
      <c r="A43" s="4"/>
      <c r="B43" s="5" t="s">
        <v>62</v>
      </c>
      <c r="C43" s="4" t="s">
        <v>63</v>
      </c>
      <c r="D43" s="7">
        <v>100000.0</v>
      </c>
      <c r="E43" s="8">
        <v>110000.0</v>
      </c>
      <c r="F43" s="9">
        <f t="shared" si="11"/>
        <v>0.1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ht="12.75" customHeight="1">
      <c r="A44" s="4"/>
      <c r="B44" s="5" t="s">
        <v>64</v>
      </c>
      <c r="C44" s="4" t="s">
        <v>65</v>
      </c>
      <c r="D44" s="7">
        <v>45000.0</v>
      </c>
      <c r="E44" s="8">
        <v>55000.0</v>
      </c>
      <c r="F44" s="9">
        <f t="shared" si="11"/>
        <v>0.2222222222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ht="12.75" customHeight="1">
      <c r="A45" s="4"/>
      <c r="B45" s="5" t="s">
        <v>66</v>
      </c>
      <c r="C45" s="4" t="s">
        <v>67</v>
      </c>
      <c r="D45" s="7">
        <v>150000.0</v>
      </c>
      <c r="E45" s="8">
        <v>162000.0</v>
      </c>
      <c r="F45" s="9">
        <f t="shared" si="11"/>
        <v>0.08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ht="12.75" customHeight="1">
      <c r="A46" s="4"/>
      <c r="B46" s="5" t="s">
        <v>68</v>
      </c>
      <c r="C46" s="4" t="s">
        <v>69</v>
      </c>
      <c r="D46" s="7">
        <v>35000.0</v>
      </c>
      <c r="E46" s="8">
        <v>30000.0</v>
      </c>
      <c r="F46" s="9">
        <f t="shared" si="11"/>
        <v>-0.1428571429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ht="12.75" hidden="1" customHeight="1">
      <c r="A47" s="4"/>
      <c r="B47" s="5" t="s">
        <v>70</v>
      </c>
      <c r="C47" s="4" t="s">
        <v>71</v>
      </c>
      <c r="D47" s="7">
        <v>32000.0</v>
      </c>
      <c r="E47" s="8">
        <v>0.0</v>
      </c>
      <c r="F47" s="9">
        <f t="shared" si="11"/>
        <v>-1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ht="12.75" customHeight="1">
      <c r="A48" s="4"/>
      <c r="B48" s="5" t="s">
        <v>72</v>
      </c>
      <c r="C48" s="4" t="s">
        <v>73</v>
      </c>
      <c r="D48" s="7">
        <v>6000.0</v>
      </c>
      <c r="E48" s="7">
        <v>6000.0</v>
      </c>
      <c r="F48" s="9">
        <f t="shared" si="11"/>
        <v>0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ht="12.75" customHeight="1">
      <c r="A49" s="4"/>
      <c r="B49" s="5" t="s">
        <v>74</v>
      </c>
      <c r="C49" s="4" t="s">
        <v>75</v>
      </c>
      <c r="D49" s="7">
        <v>74400.0</v>
      </c>
      <c r="E49" s="8">
        <v>110000.0</v>
      </c>
      <c r="F49" s="9">
        <f t="shared" si="11"/>
        <v>0.4784946237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ht="12.75" customHeight="1">
      <c r="A50" s="4"/>
      <c r="B50" s="5" t="s">
        <v>76</v>
      </c>
      <c r="C50" s="4" t="s">
        <v>77</v>
      </c>
      <c r="D50" s="7">
        <v>500.0</v>
      </c>
      <c r="E50" s="8">
        <v>500.0</v>
      </c>
      <c r="F50" s="9">
        <f t="shared" si="11"/>
        <v>0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ht="12.75" hidden="1" customHeight="1">
      <c r="A51" s="4"/>
      <c r="B51" s="5" t="s">
        <v>78</v>
      </c>
      <c r="C51" s="4" t="s">
        <v>79</v>
      </c>
      <c r="D51" s="7">
        <v>18000.0</v>
      </c>
      <c r="E51" s="8">
        <v>0.0</v>
      </c>
      <c r="F51" s="9">
        <f t="shared" si="11"/>
        <v>-1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ht="12.75" customHeight="1">
      <c r="A52" s="4"/>
      <c r="B52" s="5" t="s">
        <v>80</v>
      </c>
      <c r="C52" s="4" t="s">
        <v>81</v>
      </c>
      <c r="D52" s="7">
        <v>1000.0</v>
      </c>
      <c r="E52" s="8">
        <v>12000.0</v>
      </c>
      <c r="F52" s="9">
        <f t="shared" si="11"/>
        <v>11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ht="12.75" customHeight="1">
      <c r="A53" s="4"/>
      <c r="B53" s="5" t="s">
        <v>82</v>
      </c>
      <c r="C53" s="4" t="s">
        <v>83</v>
      </c>
      <c r="D53" s="7">
        <v>78000.0</v>
      </c>
      <c r="E53" s="8">
        <v>60000.0</v>
      </c>
      <c r="F53" s="9">
        <f t="shared" si="11"/>
        <v>-0.2307692308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ht="12.75" customHeight="1">
      <c r="A54" s="4"/>
      <c r="B54" s="5" t="s">
        <v>84</v>
      </c>
      <c r="C54" s="4" t="s">
        <v>85</v>
      </c>
      <c r="D54" s="7">
        <v>45000.0</v>
      </c>
      <c r="E54" s="8">
        <v>45000.0</v>
      </c>
      <c r="F54" s="9">
        <f t="shared" si="11"/>
        <v>0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ht="12.75" customHeight="1">
      <c r="A55" s="4"/>
      <c r="B55" s="5" t="s">
        <v>86</v>
      </c>
      <c r="C55" s="4" t="s">
        <v>87</v>
      </c>
      <c r="D55" s="7">
        <v>20000.0</v>
      </c>
      <c r="E55" s="8">
        <v>30000.0</v>
      </c>
      <c r="F55" s="9">
        <f t="shared" si="11"/>
        <v>0.5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ht="12.75" customHeight="1">
      <c r="A56" s="4"/>
      <c r="B56" s="5" t="s">
        <v>88</v>
      </c>
      <c r="C56" s="4" t="s">
        <v>89</v>
      </c>
      <c r="D56" s="7">
        <v>1200.0</v>
      </c>
      <c r="E56" s="8">
        <v>1200.0</v>
      </c>
      <c r="F56" s="9">
        <f t="shared" si="11"/>
        <v>0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ht="12.75" hidden="1" customHeight="1">
      <c r="A57" s="4"/>
      <c r="B57" s="5" t="s">
        <v>90</v>
      </c>
      <c r="C57" s="4" t="s">
        <v>91</v>
      </c>
      <c r="D57" s="7">
        <v>5000.0</v>
      </c>
      <c r="E57" s="8">
        <v>0.0</v>
      </c>
      <c r="F57" s="9">
        <f t="shared" si="11"/>
        <v>-1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ht="12.75" customHeight="1">
      <c r="A58" s="4"/>
      <c r="B58" s="5" t="s">
        <v>92</v>
      </c>
      <c r="C58" s="4" t="s">
        <v>93</v>
      </c>
      <c r="D58" s="7">
        <v>5000.0</v>
      </c>
      <c r="E58" s="8">
        <v>5000.0</v>
      </c>
      <c r="F58" s="9">
        <f t="shared" si="11"/>
        <v>0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ht="12.75" customHeight="1">
      <c r="A59" s="4"/>
      <c r="B59" s="5" t="s">
        <v>94</v>
      </c>
      <c r="C59" s="4" t="s">
        <v>95</v>
      </c>
      <c r="D59" s="13">
        <v>1000.0</v>
      </c>
      <c r="E59" s="8">
        <v>1000.0</v>
      </c>
      <c r="F59" s="9">
        <f t="shared" si="11"/>
        <v>0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ht="12.75" customHeight="1">
      <c r="A60" s="4"/>
      <c r="B60" s="20"/>
      <c r="C60" s="11" t="s">
        <v>96</v>
      </c>
      <c r="D60" s="12">
        <f t="shared" ref="D60:E60" si="13">SUM(D42:D59)</f>
        <v>757100</v>
      </c>
      <c r="E60" s="12">
        <f t="shared" si="13"/>
        <v>767700</v>
      </c>
      <c r="F60" s="9">
        <f t="shared" si="11"/>
        <v>0.0140007925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ht="12.75" customHeight="1">
      <c r="A61" s="4"/>
      <c r="B61" s="5" t="s">
        <v>97</v>
      </c>
      <c r="C61" s="4" t="s">
        <v>98</v>
      </c>
      <c r="D61" s="13">
        <v>170000.0</v>
      </c>
      <c r="E61" s="8">
        <v>200000.0</v>
      </c>
      <c r="F61" s="9">
        <f t="shared" si="11"/>
        <v>0.1764705882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ht="12.75" customHeight="1">
      <c r="A62" s="4"/>
      <c r="B62" s="28"/>
      <c r="C62" s="11" t="s">
        <v>99</v>
      </c>
      <c r="D62" s="12">
        <f t="shared" ref="D62:E62" si="14">SUM(D61)</f>
        <v>170000</v>
      </c>
      <c r="E62" s="12">
        <f t="shared" si="14"/>
        <v>200000</v>
      </c>
      <c r="F62" s="9">
        <f t="shared" si="11"/>
        <v>0.1764705882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ht="12.75" customHeight="1">
      <c r="A63" s="4"/>
      <c r="B63" s="5" t="s">
        <v>100</v>
      </c>
      <c r="C63" s="4" t="s">
        <v>101</v>
      </c>
      <c r="D63" s="13">
        <v>315000.0</v>
      </c>
      <c r="E63" s="8">
        <v>350000.0</v>
      </c>
      <c r="F63" s="9">
        <f t="shared" si="11"/>
        <v>0.1111111111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ht="12.75" customHeight="1">
      <c r="A64" s="4"/>
      <c r="B64" s="5" t="s">
        <v>102</v>
      </c>
      <c r="C64" s="4" t="s">
        <v>103</v>
      </c>
      <c r="D64" s="13">
        <v>500.0</v>
      </c>
      <c r="E64" s="8">
        <v>500.0</v>
      </c>
      <c r="F64" s="9">
        <f t="shared" si="11"/>
        <v>0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ht="12.75" customHeight="1">
      <c r="A65" s="4"/>
      <c r="B65" s="5" t="s">
        <v>104</v>
      </c>
      <c r="C65" s="4" t="s">
        <v>105</v>
      </c>
      <c r="D65" s="13">
        <v>500.0</v>
      </c>
      <c r="E65" s="8">
        <v>500.0</v>
      </c>
      <c r="F65" s="9">
        <f t="shared" si="11"/>
        <v>0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ht="12.75" customHeight="1">
      <c r="A66" s="4"/>
      <c r="B66" s="20"/>
      <c r="C66" s="11" t="s">
        <v>106</v>
      </c>
      <c r="D66" s="12">
        <f t="shared" ref="D66:E66" si="15">SUM(D63:D65)</f>
        <v>316000</v>
      </c>
      <c r="E66" s="12">
        <f t="shared" si="15"/>
        <v>351000</v>
      </c>
      <c r="F66" s="9">
        <f t="shared" si="11"/>
        <v>0.1107594937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ht="12.75" customHeight="1">
      <c r="A67" s="4"/>
      <c r="B67" s="4"/>
      <c r="C67" s="4"/>
      <c r="D67" s="13"/>
      <c r="E67" s="16"/>
      <c r="F67" s="9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ht="12.75" customHeight="1">
      <c r="A68" s="4"/>
      <c r="B68" s="5" t="s">
        <v>107</v>
      </c>
      <c r="C68" s="4" t="s">
        <v>108</v>
      </c>
      <c r="D68" s="13">
        <v>10000.0</v>
      </c>
      <c r="E68" s="8">
        <v>10000.0</v>
      </c>
      <c r="F68" s="9">
        <f t="shared" ref="F68:F80" si="17">((E68-D68)/D68)</f>
        <v>0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ht="12.75" customHeight="1">
      <c r="A69" s="4"/>
      <c r="B69" s="20"/>
      <c r="C69" s="11" t="s">
        <v>109</v>
      </c>
      <c r="D69" s="12">
        <f t="shared" ref="D69:E69" si="16">SUM(D68)</f>
        <v>10000</v>
      </c>
      <c r="E69" s="12">
        <f t="shared" si="16"/>
        <v>10000</v>
      </c>
      <c r="F69" s="9">
        <f t="shared" si="17"/>
        <v>0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ht="12.75" customHeight="1">
      <c r="A70" s="4"/>
      <c r="B70" s="5" t="s">
        <v>110</v>
      </c>
      <c r="C70" s="4" t="s">
        <v>111</v>
      </c>
      <c r="D70" s="13">
        <v>10000.0</v>
      </c>
      <c r="E70" s="19">
        <v>5000.0</v>
      </c>
      <c r="F70" s="9">
        <f t="shared" si="17"/>
        <v>-0.5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ht="12.75" customHeight="1">
      <c r="A71" s="4"/>
      <c r="B71" s="5" t="s">
        <v>112</v>
      </c>
      <c r="C71" s="4" t="s">
        <v>113</v>
      </c>
      <c r="D71" s="13">
        <v>355000.0</v>
      </c>
      <c r="E71" s="8">
        <v>380000.0</v>
      </c>
      <c r="F71" s="9">
        <f t="shared" si="17"/>
        <v>0.07042253521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ht="12.75" customHeight="1">
      <c r="A72" s="4"/>
      <c r="B72" s="5" t="s">
        <v>114</v>
      </c>
      <c r="C72" s="4" t="s">
        <v>115</v>
      </c>
      <c r="D72" s="13">
        <v>5000.0</v>
      </c>
      <c r="E72" s="19">
        <v>5000.0</v>
      </c>
      <c r="F72" s="9">
        <f t="shared" si="17"/>
        <v>0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ht="12.75" customHeight="1">
      <c r="A73" s="4"/>
      <c r="B73" s="5" t="s">
        <v>116</v>
      </c>
      <c r="C73" s="4" t="s">
        <v>117</v>
      </c>
      <c r="D73" s="13">
        <v>15000.0</v>
      </c>
      <c r="E73" s="13">
        <v>15000.0</v>
      </c>
      <c r="F73" s="9">
        <f t="shared" si="17"/>
        <v>0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ht="12.75" customHeight="1">
      <c r="A74" s="4"/>
      <c r="B74" s="5" t="s">
        <v>118</v>
      </c>
      <c r="C74" s="4" t="s">
        <v>119</v>
      </c>
      <c r="D74" s="13">
        <v>95000.0</v>
      </c>
      <c r="E74" s="8">
        <v>120000.0</v>
      </c>
      <c r="F74" s="9">
        <f t="shared" si="17"/>
        <v>0.2631578947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ht="12.75" customHeight="1">
      <c r="A75" s="4"/>
      <c r="B75" s="5" t="s">
        <v>120</v>
      </c>
      <c r="C75" s="4" t="s">
        <v>121</v>
      </c>
      <c r="D75" s="13">
        <v>30000.0</v>
      </c>
      <c r="E75" s="8">
        <v>40000.0</v>
      </c>
      <c r="F75" s="9">
        <f t="shared" si="17"/>
        <v>0.3333333333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ht="12.75" customHeight="1">
      <c r="A76" s="4"/>
      <c r="B76" s="5" t="s">
        <v>122</v>
      </c>
      <c r="C76" s="4" t="s">
        <v>123</v>
      </c>
      <c r="D76" s="13">
        <v>500.0</v>
      </c>
      <c r="E76" s="8">
        <v>500.0</v>
      </c>
      <c r="F76" s="9">
        <f t="shared" si="17"/>
        <v>0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ht="12.75" customHeight="1">
      <c r="A77" s="4"/>
      <c r="B77" s="5" t="s">
        <v>124</v>
      </c>
      <c r="C77" s="4" t="s">
        <v>125</v>
      </c>
      <c r="D77" s="13">
        <v>162.83</v>
      </c>
      <c r="E77" s="8">
        <v>3000.0</v>
      </c>
      <c r="F77" s="9">
        <f t="shared" si="17"/>
        <v>17.42412332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ht="12.75" customHeight="1">
      <c r="A78" s="4"/>
      <c r="B78" s="5" t="s">
        <v>126</v>
      </c>
      <c r="C78" s="4" t="s">
        <v>127</v>
      </c>
      <c r="D78" s="13">
        <v>30000.0</v>
      </c>
      <c r="E78" s="8">
        <v>50000.0</v>
      </c>
      <c r="F78" s="9">
        <f t="shared" si="17"/>
        <v>0.6666666667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ht="13.5" customHeight="1">
      <c r="A79" s="4"/>
      <c r="B79" s="5"/>
      <c r="C79" s="11" t="s">
        <v>128</v>
      </c>
      <c r="D79" s="12">
        <f t="shared" ref="D79:E79" si="18">SUM(D70:D78)</f>
        <v>540662.83</v>
      </c>
      <c r="E79" s="12">
        <f t="shared" si="18"/>
        <v>618500</v>
      </c>
      <c r="F79" s="9">
        <f t="shared" si="17"/>
        <v>0.1439661942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ht="13.5" customHeight="1">
      <c r="A80" s="4"/>
      <c r="B80" s="5"/>
      <c r="C80" s="14" t="s">
        <v>129</v>
      </c>
      <c r="D80" s="15">
        <f t="shared" ref="D80:E80" si="19">D79+D69+D66+D62+D60+D41+D28+D21</f>
        <v>5876462.83</v>
      </c>
      <c r="E80" s="15">
        <f t="shared" si="19"/>
        <v>8686060</v>
      </c>
      <c r="F80" s="9">
        <f t="shared" si="17"/>
        <v>0.4781102597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ht="12.75" customHeight="1">
      <c r="A81" s="4"/>
      <c r="B81" s="17"/>
      <c r="C81" s="4"/>
      <c r="D81" s="18"/>
      <c r="E81" s="16"/>
      <c r="F81" s="9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ht="13.5" customHeight="1">
      <c r="A82" s="4"/>
      <c r="B82" s="17"/>
      <c r="C82" s="4"/>
      <c r="D82" s="18"/>
      <c r="E82" s="16"/>
      <c r="F82" s="9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ht="26.25" customHeight="1">
      <c r="A83" s="4"/>
      <c r="B83" s="2" t="s">
        <v>1</v>
      </c>
      <c r="C83" s="2" t="s">
        <v>130</v>
      </c>
      <c r="D83" s="3" t="s">
        <v>3</v>
      </c>
      <c r="E83" s="3" t="s">
        <v>4</v>
      </c>
      <c r="F83" s="3" t="s">
        <v>5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ht="12.75" customHeight="1">
      <c r="A84" s="4"/>
      <c r="B84" s="5" t="s">
        <v>131</v>
      </c>
      <c r="C84" s="4" t="s">
        <v>132</v>
      </c>
      <c r="D84" s="29">
        <v>8183804.02</v>
      </c>
      <c r="E84" s="8">
        <v>9200000.0</v>
      </c>
      <c r="F84" s="9">
        <f t="shared" ref="F84:F87" si="20">((E84-D84)/D84)</f>
        <v>0.1241715928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ht="12.75" customHeight="1">
      <c r="A85" s="4"/>
      <c r="B85" s="5" t="s">
        <v>133</v>
      </c>
      <c r="C85" s="4" t="s">
        <v>134</v>
      </c>
      <c r="D85" s="29">
        <v>18000.0</v>
      </c>
      <c r="E85" s="30">
        <v>36000.0</v>
      </c>
      <c r="F85" s="9">
        <f t="shared" si="20"/>
        <v>1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ht="12.75" customHeight="1">
      <c r="A86" s="4"/>
      <c r="B86" s="5" t="s">
        <v>135</v>
      </c>
      <c r="C86" s="4" t="s">
        <v>136</v>
      </c>
      <c r="D86" s="29">
        <v>730792.34</v>
      </c>
      <c r="E86" s="8">
        <v>310589.44</v>
      </c>
      <c r="F86" s="9">
        <f t="shared" si="20"/>
        <v>-0.5749963115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ht="12.75" customHeight="1">
      <c r="A87" s="4"/>
      <c r="B87" s="5" t="s">
        <v>137</v>
      </c>
      <c r="C87" s="4" t="s">
        <v>138</v>
      </c>
      <c r="D87" s="29">
        <v>37500.0</v>
      </c>
      <c r="E87" s="8">
        <v>37500.0</v>
      </c>
      <c r="F87" s="9">
        <f t="shared" si="20"/>
        <v>0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ht="12.75" customHeight="1">
      <c r="A88" s="4"/>
      <c r="B88" s="24" t="s">
        <v>139</v>
      </c>
      <c r="C88" s="25" t="s">
        <v>140</v>
      </c>
      <c r="D88" s="30">
        <v>0.0</v>
      </c>
      <c r="E88" s="8">
        <v>20000.0</v>
      </c>
      <c r="F88" s="9"/>
      <c r="G88" s="26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ht="12.75" customHeight="1">
      <c r="A89" s="4"/>
      <c r="B89" s="24" t="s">
        <v>141</v>
      </c>
      <c r="C89" s="25" t="s">
        <v>142</v>
      </c>
      <c r="D89" s="30">
        <v>0.0</v>
      </c>
      <c r="E89" s="8">
        <v>26609.91</v>
      </c>
      <c r="F89" s="9"/>
      <c r="G89" s="26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ht="12.75" customHeight="1">
      <c r="A90" s="4"/>
      <c r="B90" s="20"/>
      <c r="C90" s="11" t="s">
        <v>143</v>
      </c>
      <c r="D90" s="12">
        <f>SUM(D84:D87)</f>
        <v>8970096.36</v>
      </c>
      <c r="E90" s="12">
        <f>SUM(E84:E89)</f>
        <v>9630699.35</v>
      </c>
      <c r="F90" s="9">
        <f t="shared" ref="F90:F95" si="21">((E90-D90)/D90)</f>
        <v>0.07364502715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ht="12.75" customHeight="1">
      <c r="A91" s="4"/>
      <c r="B91" s="5" t="s">
        <v>144</v>
      </c>
      <c r="C91" s="4" t="s">
        <v>145</v>
      </c>
      <c r="D91" s="13">
        <v>168775.0</v>
      </c>
      <c r="E91" s="8">
        <v>157071.12</v>
      </c>
      <c r="F91" s="9">
        <f t="shared" si="21"/>
        <v>-0.06934605244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ht="12.75" customHeight="1">
      <c r="A92" s="4"/>
      <c r="B92" s="5" t="s">
        <v>146</v>
      </c>
      <c r="C92" s="4" t="s">
        <v>147</v>
      </c>
      <c r="D92" s="13">
        <v>2212376.57</v>
      </c>
      <c r="E92" s="19">
        <v>2446000.0</v>
      </c>
      <c r="F92" s="9">
        <f t="shared" si="21"/>
        <v>0.1055984018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ht="12.75" customHeight="1">
      <c r="A93" s="4"/>
      <c r="B93" s="5" t="s">
        <v>148</v>
      </c>
      <c r="C93" s="4" t="s">
        <v>149</v>
      </c>
      <c r="D93" s="13">
        <v>110431.08</v>
      </c>
      <c r="E93" s="8">
        <v>172276.12</v>
      </c>
      <c r="F93" s="9">
        <f t="shared" si="21"/>
        <v>0.5600329183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ht="12.75" customHeight="1">
      <c r="A94" s="4"/>
      <c r="B94" s="5" t="s">
        <v>150</v>
      </c>
      <c r="C94" s="4" t="s">
        <v>151</v>
      </c>
      <c r="D94" s="13">
        <v>27700.0</v>
      </c>
      <c r="E94" s="13">
        <v>27700.0</v>
      </c>
      <c r="F94" s="9">
        <f t="shared" si="21"/>
        <v>0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ht="12.75" hidden="1" customHeight="1">
      <c r="A95" s="4"/>
      <c r="B95" s="5" t="s">
        <v>152</v>
      </c>
      <c r="C95" s="4" t="s">
        <v>153</v>
      </c>
      <c r="D95" s="29">
        <v>20000.0</v>
      </c>
      <c r="E95" s="8">
        <v>0.0</v>
      </c>
      <c r="F95" s="9">
        <f t="shared" si="21"/>
        <v>-1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ht="12.75" customHeight="1">
      <c r="A96" s="4"/>
      <c r="B96" s="24" t="s">
        <v>154</v>
      </c>
      <c r="C96" s="25" t="s">
        <v>155</v>
      </c>
      <c r="D96" s="30">
        <v>0.0</v>
      </c>
      <c r="E96" s="8">
        <v>47426.35</v>
      </c>
      <c r="F96" s="9"/>
      <c r="G96" s="26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ht="12.75" customHeight="1">
      <c r="A97" s="4"/>
      <c r="B97" s="5"/>
      <c r="C97" s="11" t="s">
        <v>156</v>
      </c>
      <c r="D97" s="12">
        <f t="shared" ref="D97:E97" si="22">SUM(D91:D96)</f>
        <v>2539282.65</v>
      </c>
      <c r="E97" s="12">
        <f t="shared" si="22"/>
        <v>2850473.59</v>
      </c>
      <c r="F97" s="9">
        <f t="shared" ref="F97:F106" si="23">((E97-D97)/D97)</f>
        <v>0.122550729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ht="12.75" customHeight="1">
      <c r="A98" s="4"/>
      <c r="B98" s="5" t="s">
        <v>157</v>
      </c>
      <c r="C98" s="4" t="s">
        <v>158</v>
      </c>
      <c r="D98" s="13">
        <v>350000.0</v>
      </c>
      <c r="E98" s="8">
        <v>350000.0</v>
      </c>
      <c r="F98" s="9">
        <f t="shared" si="23"/>
        <v>0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ht="12.75" customHeight="1">
      <c r="A99" s="4"/>
      <c r="B99" s="28"/>
      <c r="C99" s="11" t="s">
        <v>159</v>
      </c>
      <c r="D99" s="12">
        <f t="shared" ref="D99:E99" si="24">SUM(D98)</f>
        <v>350000</v>
      </c>
      <c r="E99" s="12">
        <f t="shared" si="24"/>
        <v>350000</v>
      </c>
      <c r="F99" s="9">
        <f t="shared" si="23"/>
        <v>0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ht="12.75" customHeight="1">
      <c r="A100" s="4"/>
      <c r="B100" s="5" t="s">
        <v>160</v>
      </c>
      <c r="C100" s="4" t="s">
        <v>161</v>
      </c>
      <c r="D100" s="13">
        <v>3500.0</v>
      </c>
      <c r="E100" s="13">
        <v>3500.0</v>
      </c>
      <c r="F100" s="9">
        <f t="shared" si="23"/>
        <v>0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ht="12.75" customHeight="1">
      <c r="A101" s="4"/>
      <c r="B101" s="5" t="s">
        <v>162</v>
      </c>
      <c r="C101" s="4" t="s">
        <v>163</v>
      </c>
      <c r="D101" s="13">
        <v>7000.0</v>
      </c>
      <c r="E101" s="13">
        <v>7000.0</v>
      </c>
      <c r="F101" s="9">
        <f t="shared" si="23"/>
        <v>0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ht="12.75" customHeight="1">
      <c r="A102" s="4"/>
      <c r="B102" s="5" t="s">
        <v>164</v>
      </c>
      <c r="C102" s="4" t="s">
        <v>165</v>
      </c>
      <c r="D102" s="13">
        <v>10000.0</v>
      </c>
      <c r="E102" s="19">
        <v>5000.0</v>
      </c>
      <c r="F102" s="9">
        <f t="shared" si="23"/>
        <v>-0.5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ht="12.75" customHeight="1">
      <c r="A103" s="4"/>
      <c r="B103" s="28"/>
      <c r="C103" s="11" t="s">
        <v>166</v>
      </c>
      <c r="D103" s="12">
        <f t="shared" ref="D103:E103" si="25">SUM(D100:D102)</f>
        <v>20500</v>
      </c>
      <c r="E103" s="12">
        <f t="shared" si="25"/>
        <v>15500</v>
      </c>
      <c r="F103" s="9">
        <f t="shared" si="23"/>
        <v>-0.243902439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ht="12.75" hidden="1" customHeight="1">
      <c r="A104" s="4"/>
      <c r="B104" s="5" t="s">
        <v>167</v>
      </c>
      <c r="C104" s="4" t="s">
        <v>168</v>
      </c>
      <c r="D104" s="13">
        <v>48000.0</v>
      </c>
      <c r="E104" s="8">
        <v>0.0</v>
      </c>
      <c r="F104" s="9">
        <f t="shared" si="23"/>
        <v>-1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ht="13.5" hidden="1" customHeight="1">
      <c r="A105" s="4"/>
      <c r="B105" s="28"/>
      <c r="C105" s="11" t="s">
        <v>169</v>
      </c>
      <c r="D105" s="12">
        <f t="shared" ref="D105:E105" si="26">SUM(D104)</f>
        <v>48000</v>
      </c>
      <c r="E105" s="12">
        <f t="shared" si="26"/>
        <v>0</v>
      </c>
      <c r="F105" s="9">
        <f t="shared" si="23"/>
        <v>-1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ht="13.5" customHeight="1">
      <c r="A106" s="4"/>
      <c r="B106" s="4"/>
      <c r="C106" s="14" t="s">
        <v>170</v>
      </c>
      <c r="D106" s="15">
        <f t="shared" ref="D106:E106" si="27">D90+D97+D99+D103+D105</f>
        <v>11927879.01</v>
      </c>
      <c r="E106" s="15">
        <f t="shared" si="27"/>
        <v>12846672.94</v>
      </c>
      <c r="F106" s="9">
        <f t="shared" si="23"/>
        <v>0.07702911215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ht="13.5" customHeight="1">
      <c r="A107" s="4"/>
      <c r="B107" s="17"/>
      <c r="C107" s="4"/>
      <c r="D107" s="18"/>
      <c r="E107" s="16"/>
      <c r="F107" s="9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ht="26.25" customHeight="1">
      <c r="A108" s="4"/>
      <c r="B108" s="2" t="s">
        <v>1</v>
      </c>
      <c r="C108" s="2" t="s">
        <v>171</v>
      </c>
      <c r="D108" s="3" t="s">
        <v>3</v>
      </c>
      <c r="E108" s="3" t="s">
        <v>4</v>
      </c>
      <c r="F108" s="3" t="s">
        <v>5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ht="12.75" customHeight="1">
      <c r="A109" s="25"/>
      <c r="B109" s="24" t="s">
        <v>172</v>
      </c>
      <c r="C109" s="25" t="s">
        <v>173</v>
      </c>
      <c r="D109" s="19">
        <v>0.0</v>
      </c>
      <c r="E109" s="8">
        <v>400000.0</v>
      </c>
      <c r="F109" s="9" t="str">
        <f t="shared" ref="F109:F120" si="28">((E109-D109)/D109)</f>
        <v>#DIV/0!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ht="12.75" customHeight="1">
      <c r="A110" s="4"/>
      <c r="B110" s="5" t="s">
        <v>174</v>
      </c>
      <c r="C110" s="4" t="s">
        <v>175</v>
      </c>
      <c r="D110" s="13">
        <v>5500.0</v>
      </c>
      <c r="E110" s="13">
        <v>5500.0</v>
      </c>
      <c r="F110" s="9">
        <f t="shared" si="28"/>
        <v>0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ht="12.75" customHeight="1">
      <c r="A111" s="4"/>
      <c r="B111" s="20"/>
      <c r="C111" s="11" t="s">
        <v>176</v>
      </c>
      <c r="D111" s="12">
        <f>SUM(D110)</f>
        <v>5500</v>
      </c>
      <c r="E111" s="12">
        <f>SUM(E109:E110)</f>
        <v>405500</v>
      </c>
      <c r="F111" s="9">
        <f t="shared" si="28"/>
        <v>72.72727273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ht="12.75" hidden="1" customHeight="1">
      <c r="A112" s="4"/>
      <c r="B112" s="5" t="s">
        <v>177</v>
      </c>
      <c r="C112" s="4" t="s">
        <v>178</v>
      </c>
      <c r="D112" s="13">
        <v>20000.0</v>
      </c>
      <c r="E112" s="31">
        <v>0.0</v>
      </c>
      <c r="F112" s="9">
        <f t="shared" si="28"/>
        <v>-1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ht="12.75" customHeight="1">
      <c r="A113" s="4"/>
      <c r="B113" s="5" t="s">
        <v>179</v>
      </c>
      <c r="C113" s="4" t="s">
        <v>180</v>
      </c>
      <c r="D113" s="13">
        <v>3500.0</v>
      </c>
      <c r="E113" s="8">
        <f>5784 + 8100</f>
        <v>13884</v>
      </c>
      <c r="F113" s="9">
        <f t="shared" si="28"/>
        <v>2.966857143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ht="12.75" customHeight="1">
      <c r="A114" s="4"/>
      <c r="B114" s="5" t="s">
        <v>181</v>
      </c>
      <c r="C114" s="4" t="s">
        <v>182</v>
      </c>
      <c r="D114" s="13">
        <v>1000.0</v>
      </c>
      <c r="E114" s="8">
        <v>1100.0</v>
      </c>
      <c r="F114" s="9">
        <f t="shared" si="28"/>
        <v>0.1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ht="12.75" customHeight="1">
      <c r="A115" s="4"/>
      <c r="B115" s="5" t="s">
        <v>183</v>
      </c>
      <c r="C115" s="4" t="s">
        <v>184</v>
      </c>
      <c r="D115" s="13">
        <v>9700.0</v>
      </c>
      <c r="E115" s="19">
        <v>5780.0</v>
      </c>
      <c r="F115" s="9">
        <f t="shared" si="28"/>
        <v>-0.4041237113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ht="12.75" customHeight="1">
      <c r="A116" s="4"/>
      <c r="B116" s="24" t="s">
        <v>185</v>
      </c>
      <c r="C116" s="4" t="s">
        <v>186</v>
      </c>
      <c r="D116" s="19">
        <v>0.0</v>
      </c>
      <c r="E116" s="13">
        <v>150.0</v>
      </c>
      <c r="F116" s="9" t="str">
        <f t="shared" si="28"/>
        <v>#DIV/0!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ht="12.75" customHeight="1">
      <c r="A117" s="4"/>
      <c r="B117" s="20"/>
      <c r="C117" s="11" t="s">
        <v>187</v>
      </c>
      <c r="D117" s="12">
        <f t="shared" ref="D117:E117" si="29">SUM(D112:D116)</f>
        <v>34200</v>
      </c>
      <c r="E117" s="12">
        <f t="shared" si="29"/>
        <v>20914</v>
      </c>
      <c r="F117" s="9">
        <f t="shared" si="28"/>
        <v>-0.3884795322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ht="12.75" customHeight="1">
      <c r="A118" s="4"/>
      <c r="B118" s="5" t="s">
        <v>188</v>
      </c>
      <c r="C118" s="4" t="s">
        <v>189</v>
      </c>
      <c r="D118" s="13">
        <v>75100.0</v>
      </c>
      <c r="E118" s="19">
        <v>1000.0</v>
      </c>
      <c r="F118" s="9">
        <f t="shared" si="28"/>
        <v>-0.9866844208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ht="13.5" customHeight="1">
      <c r="A119" s="4"/>
      <c r="B119" s="28"/>
      <c r="C119" s="11" t="s">
        <v>190</v>
      </c>
      <c r="D119" s="12">
        <f t="shared" ref="D119:E119" si="30">SUM(D118)</f>
        <v>75100</v>
      </c>
      <c r="E119" s="12">
        <f t="shared" si="30"/>
        <v>1000</v>
      </c>
      <c r="F119" s="9">
        <f t="shared" si="28"/>
        <v>-0.9866844208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ht="13.5" customHeight="1">
      <c r="A120" s="4"/>
      <c r="B120" s="28"/>
      <c r="C120" s="14" t="s">
        <v>191</v>
      </c>
      <c r="D120" s="15">
        <f t="shared" ref="D120:E120" si="31">D111+D117+D119</f>
        <v>114800</v>
      </c>
      <c r="E120" s="15">
        <f t="shared" si="31"/>
        <v>427414</v>
      </c>
      <c r="F120" s="9">
        <f t="shared" si="28"/>
        <v>2.723118467</v>
      </c>
      <c r="G120" s="4"/>
      <c r="H120" s="4"/>
      <c r="I120" s="25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ht="13.5" customHeight="1">
      <c r="A121" s="25"/>
      <c r="B121" s="32"/>
      <c r="C121" s="11"/>
      <c r="D121" s="12"/>
      <c r="E121" s="16"/>
      <c r="F121" s="9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ht="26.25" customHeight="1">
      <c r="A122" s="4"/>
      <c r="B122" s="2" t="s">
        <v>1</v>
      </c>
      <c r="C122" s="33" t="s">
        <v>192</v>
      </c>
      <c r="D122" s="3" t="s">
        <v>3</v>
      </c>
      <c r="E122" s="3" t="s">
        <v>4</v>
      </c>
      <c r="F122" s="3" t="s">
        <v>5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ht="12.75" customHeight="1">
      <c r="A123" s="4"/>
      <c r="B123" s="24">
        <v>609.0</v>
      </c>
      <c r="C123" s="25" t="s">
        <v>193</v>
      </c>
      <c r="D123" s="19">
        <v>0.0</v>
      </c>
      <c r="E123" s="8">
        <v>6000.0</v>
      </c>
      <c r="F123" s="9" t="str">
        <f>(E123-D123)/D123</f>
        <v>#DIV/0!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ht="12.75" customHeight="1">
      <c r="A124" s="4"/>
      <c r="B124" s="20"/>
      <c r="C124" s="34" t="s">
        <v>194</v>
      </c>
      <c r="D124" s="12">
        <f t="shared" ref="D124:E124" si="32">D123</f>
        <v>0</v>
      </c>
      <c r="E124" s="12">
        <f t="shared" si="32"/>
        <v>6000</v>
      </c>
      <c r="F124" s="9" t="str">
        <f t="shared" ref="F124:F125" si="34">((E124-D124)/D124)</f>
        <v>#DIV/0!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ht="13.5" customHeight="1">
      <c r="A125" s="4"/>
      <c r="B125" s="28"/>
      <c r="C125" s="35" t="s">
        <v>195</v>
      </c>
      <c r="D125" s="15">
        <f t="shared" ref="D125:E125" si="33">D124</f>
        <v>0</v>
      </c>
      <c r="E125" s="15">
        <f t="shared" si="33"/>
        <v>6000</v>
      </c>
      <c r="F125" s="9" t="str">
        <f t="shared" si="34"/>
        <v>#DIV/0!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ht="13.5" customHeight="1">
      <c r="A126" s="4"/>
      <c r="B126" s="28"/>
      <c r="C126" s="11"/>
      <c r="D126" s="12"/>
      <c r="E126" s="16"/>
      <c r="F126" s="9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ht="26.25" customHeight="1">
      <c r="A127" s="4"/>
      <c r="B127" s="2" t="s">
        <v>1</v>
      </c>
      <c r="C127" s="2" t="s">
        <v>196</v>
      </c>
      <c r="D127" s="3" t="s">
        <v>3</v>
      </c>
      <c r="E127" s="3" t="s">
        <v>4</v>
      </c>
      <c r="F127" s="3" t="s">
        <v>5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ht="12.75" hidden="1" customHeight="1">
      <c r="A128" s="4"/>
      <c r="B128" s="5" t="s">
        <v>197</v>
      </c>
      <c r="C128" s="4" t="s">
        <v>198</v>
      </c>
      <c r="D128" s="13">
        <v>143182.33</v>
      </c>
      <c r="E128" s="36">
        <v>0.0</v>
      </c>
      <c r="F128" s="9">
        <f t="shared" ref="F128:F131" si="35">((E128-D128)/D128)</f>
        <v>-1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ht="12.75" customHeight="1">
      <c r="A129" s="4"/>
      <c r="B129" s="5" t="s">
        <v>199</v>
      </c>
      <c r="C129" s="4" t="s">
        <v>200</v>
      </c>
      <c r="D129" s="13">
        <v>268374.11</v>
      </c>
      <c r="E129" s="36">
        <v>268000.0</v>
      </c>
      <c r="F129" s="9">
        <f t="shared" si="35"/>
        <v>-0.001393986924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ht="12.75" customHeight="1">
      <c r="A130" s="4"/>
      <c r="B130" s="5" t="s">
        <v>201</v>
      </c>
      <c r="C130" s="4" t="s">
        <v>202</v>
      </c>
      <c r="D130" s="13">
        <v>268374.11</v>
      </c>
      <c r="E130" s="36">
        <v>268000.0</v>
      </c>
      <c r="F130" s="9">
        <f t="shared" si="35"/>
        <v>-0.001393986924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ht="12.75" hidden="1" customHeight="1">
      <c r="A131" s="4"/>
      <c r="B131" s="5" t="s">
        <v>203</v>
      </c>
      <c r="C131" s="4" t="s">
        <v>204</v>
      </c>
      <c r="D131" s="13">
        <v>61134.0</v>
      </c>
      <c r="E131" s="36">
        <v>0.0</v>
      </c>
      <c r="F131" s="9">
        <f t="shared" si="35"/>
        <v>-1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ht="12.75" customHeight="1">
      <c r="A132" s="4"/>
      <c r="B132" s="24" t="s">
        <v>205</v>
      </c>
      <c r="C132" s="25" t="s">
        <v>206</v>
      </c>
      <c r="D132" s="19">
        <v>0.0</v>
      </c>
      <c r="E132" s="36">
        <v>855515.16</v>
      </c>
      <c r="F132" s="9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ht="12.75" customHeight="1">
      <c r="A133" s="4"/>
      <c r="B133" s="20"/>
      <c r="C133" s="11" t="s">
        <v>207</v>
      </c>
      <c r="D133" s="12">
        <f t="shared" ref="D133:E133" si="36">SUM(D128:D132)</f>
        <v>741064.55</v>
      </c>
      <c r="E133" s="37">
        <f t="shared" si="36"/>
        <v>1391515.16</v>
      </c>
      <c r="F133" s="9">
        <f t="shared" ref="F133:F138" si="37">((E133-D133)/D133)</f>
        <v>0.8777246328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ht="12.75" customHeight="1">
      <c r="A134" s="38"/>
      <c r="B134" s="39" t="s">
        <v>208</v>
      </c>
      <c r="C134" s="40" t="s">
        <v>209</v>
      </c>
      <c r="D134" s="41">
        <v>0.0</v>
      </c>
      <c r="E134" s="42">
        <v>74240.4</v>
      </c>
      <c r="F134" s="43" t="str">
        <f t="shared" si="37"/>
        <v>#DIV/0!</v>
      </c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</row>
    <row r="135" ht="12.75" customHeight="1">
      <c r="A135" s="38"/>
      <c r="B135" s="44"/>
      <c r="C135" s="45" t="s">
        <v>210</v>
      </c>
      <c r="D135" s="46">
        <v>0.0</v>
      </c>
      <c r="E135" s="47">
        <f>SUM(E134)</f>
        <v>74240.4</v>
      </c>
      <c r="F135" s="48" t="str">
        <f t="shared" si="37"/>
        <v>#DIV/0!</v>
      </c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</row>
    <row r="136" ht="12.75" hidden="1" customHeight="1">
      <c r="A136" s="4"/>
      <c r="B136" s="24" t="s">
        <v>211</v>
      </c>
      <c r="C136" s="25" t="s">
        <v>168</v>
      </c>
      <c r="D136" s="19">
        <v>0.0</v>
      </c>
      <c r="E136" s="36">
        <v>0.0</v>
      </c>
      <c r="F136" s="9" t="str">
        <f t="shared" si="37"/>
        <v>#DIV/0!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ht="12.75" hidden="1" customHeight="1">
      <c r="A137" s="4"/>
      <c r="B137" s="20"/>
      <c r="C137" s="34" t="s">
        <v>212</v>
      </c>
      <c r="D137" s="12">
        <f>SUM(D130:D136)</f>
        <v>1070572.66</v>
      </c>
      <c r="E137" s="37">
        <f>SUM(E136)</f>
        <v>0</v>
      </c>
      <c r="F137" s="9">
        <f t="shared" si="37"/>
        <v>-1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ht="13.5" customHeight="1">
      <c r="A138" s="4"/>
      <c r="B138" s="28"/>
      <c r="C138" s="14" t="s">
        <v>213</v>
      </c>
      <c r="D138" s="15">
        <f>D133</f>
        <v>741064.55</v>
      </c>
      <c r="E138" s="15">
        <f>SUM(E133,E137,E135)</f>
        <v>1465755.56</v>
      </c>
      <c r="F138" s="9">
        <f t="shared" si="37"/>
        <v>0.9779053795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ht="13.5" customHeight="1">
      <c r="A139" s="4"/>
      <c r="B139" s="28"/>
      <c r="C139" s="11"/>
      <c r="D139" s="12"/>
      <c r="E139" s="16"/>
      <c r="F139" s="9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ht="26.25" customHeight="1">
      <c r="A140" s="4"/>
      <c r="B140" s="2" t="s">
        <v>1</v>
      </c>
      <c r="C140" s="2" t="s">
        <v>214</v>
      </c>
      <c r="D140" s="3" t="s">
        <v>3</v>
      </c>
      <c r="E140" s="3" t="s">
        <v>4</v>
      </c>
      <c r="F140" s="3" t="s">
        <v>5</v>
      </c>
      <c r="G140" s="25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ht="12.75" customHeight="1">
      <c r="A141" s="4"/>
      <c r="B141" s="5" t="s">
        <v>215</v>
      </c>
      <c r="C141" s="4" t="s">
        <v>216</v>
      </c>
      <c r="D141" s="13">
        <v>15000.0</v>
      </c>
      <c r="E141" s="13">
        <v>15000.0</v>
      </c>
      <c r="F141" s="9">
        <f t="shared" ref="F141:F144" si="38">((E141-D141)/D141)</f>
        <v>0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ht="13.5" customHeight="1">
      <c r="A142" s="4"/>
      <c r="B142" s="24" t="s">
        <v>217</v>
      </c>
      <c r="C142" s="25" t="s">
        <v>218</v>
      </c>
      <c r="D142" s="19">
        <v>0.0</v>
      </c>
      <c r="E142" s="19">
        <f>IFERROR(__xludf.DUMMYFUNCTION("IMPORTRANGE(""https://docs.google.com/spreadsheets/d/12edwXNVQxYT-KeRPeNqQH1Kc9M3cpKVUqs2VaOEA-aw"",""2024!SUMA_AFECTADO"")"),2157195.5)</f>
        <v>2157195.5</v>
      </c>
      <c r="F142" s="9" t="str">
        <f t="shared" si="38"/>
        <v>#DIV/0!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ht="13.5" customHeight="1">
      <c r="A143" s="4"/>
      <c r="B143" s="5"/>
      <c r="C143" s="34" t="s">
        <v>219</v>
      </c>
      <c r="D143" s="12">
        <f t="shared" ref="D143:E143" si="39">SUM(D141:D142)</f>
        <v>15000</v>
      </c>
      <c r="E143" s="12">
        <f t="shared" si="39"/>
        <v>2172195.5</v>
      </c>
      <c r="F143" s="9">
        <f t="shared" si="38"/>
        <v>143.8130333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ht="13.5" customHeight="1">
      <c r="A144" s="4"/>
      <c r="B144" s="4"/>
      <c r="C144" s="14" t="s">
        <v>220</v>
      </c>
      <c r="D144" s="15" t="str">
        <f>SUM(#REF!)</f>
        <v>#REF!</v>
      </c>
      <c r="E144" s="15">
        <f>SUM(E143)</f>
        <v>2172195.5</v>
      </c>
      <c r="F144" s="9" t="str">
        <f t="shared" si="38"/>
        <v>#REF!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ht="12.75" customHeight="1">
      <c r="A145" s="4"/>
      <c r="B145" s="4"/>
      <c r="C145" s="4"/>
      <c r="D145" s="4"/>
      <c r="E145" s="16"/>
      <c r="F145" s="9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ht="26.25" customHeight="1">
      <c r="A146" s="4"/>
      <c r="B146" s="2" t="s">
        <v>1</v>
      </c>
      <c r="C146" s="33" t="s">
        <v>221</v>
      </c>
      <c r="D146" s="3" t="s">
        <v>3</v>
      </c>
      <c r="E146" s="3" t="s">
        <v>4</v>
      </c>
      <c r="F146" s="3" t="s">
        <v>5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ht="12.75" customHeight="1">
      <c r="A147" s="4"/>
      <c r="B147" s="5" t="s">
        <v>222</v>
      </c>
      <c r="C147" s="4" t="s">
        <v>223</v>
      </c>
      <c r="D147" s="13">
        <v>8310560.01</v>
      </c>
      <c r="E147" s="8">
        <f>IFERROR(__xludf.DUMMYFUNCTION("IMPORTRANGE(""https://docs.google.com/spreadsheets/d/12edwXNVQxYT-KeRPeNqQH1Kc9M3cpKVUqs2VaOEA-aw"",""2024!SUMA_REMANENTES"")"),8618380.98)</f>
        <v>8618380.98</v>
      </c>
      <c r="F147" s="9">
        <f t="shared" ref="F147:F149" si="41">((E147-D147)/D147)</f>
        <v>0.03703973855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ht="13.5" customHeight="1">
      <c r="A148" s="4"/>
      <c r="B148" s="28"/>
      <c r="C148" s="11" t="s">
        <v>224</v>
      </c>
      <c r="D148" s="12">
        <f t="shared" ref="D148:E148" si="40">SUM(D147)</f>
        <v>8310560.01</v>
      </c>
      <c r="E148" s="12">
        <f t="shared" si="40"/>
        <v>8618380.98</v>
      </c>
      <c r="F148" s="9">
        <f t="shared" si="41"/>
        <v>0.03703973855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ht="13.5" customHeight="1">
      <c r="A149" s="4"/>
      <c r="B149" s="4"/>
      <c r="C149" s="14" t="s">
        <v>225</v>
      </c>
      <c r="D149" s="15">
        <f t="shared" ref="D149:E149" si="42">SUM(D148)</f>
        <v>8310560.01</v>
      </c>
      <c r="E149" s="15">
        <f t="shared" si="42"/>
        <v>8618380.98</v>
      </c>
      <c r="F149" s="9">
        <f t="shared" si="41"/>
        <v>0.03703973855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ht="12.75" customHeight="1">
      <c r="A150" s="4"/>
      <c r="B150" s="4"/>
      <c r="C150" s="4"/>
      <c r="D150" s="4"/>
      <c r="E150" s="16"/>
      <c r="F150" s="9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ht="16.5" customHeight="1">
      <c r="A151" s="4"/>
      <c r="B151" s="49"/>
      <c r="C151" s="50" t="s">
        <v>226</v>
      </c>
      <c r="D151" s="51" t="str">
        <f>D9+D15+D80+D106+D120+D138+D144+D149</f>
        <v>#REF!</v>
      </c>
      <c r="E151" s="51">
        <f>SUM(E9,E15,E80,E106,E120,E125,E144,E149,E138)</f>
        <v>49800478.98</v>
      </c>
      <c r="F151" s="9" t="str">
        <f>((E151-D151)/D151)</f>
        <v>#REF!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ht="12.0" customHeight="1">
      <c r="A152" s="4"/>
      <c r="B152" s="4"/>
      <c r="C152" s="4"/>
      <c r="D152" s="4"/>
      <c r="E152" s="16"/>
      <c r="F152" s="9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ht="12.75" customHeight="1">
      <c r="A153" s="4"/>
      <c r="B153" s="28"/>
      <c r="C153" s="28"/>
      <c r="D153" s="21"/>
      <c r="E153" s="16"/>
      <c r="F153" s="9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</sheetData>
  <conditionalFormatting sqref="F1:F153">
    <cfRule type="colorScale" priority="1">
      <colorScale>
        <cfvo type="formula" val="-1"/>
        <cfvo type="formula" val="0"/>
        <cfvo type="formula" val="1"/>
        <color rgb="FFE67C73"/>
        <color rgb="FFFFFFFF"/>
        <color rgb="FF57BB8A"/>
      </colorScale>
    </cfRule>
  </conditionalFormatting>
  <printOptions/>
  <pageMargins bottom="0.75" footer="0.0" header="0.0" left="0.7" right="0.7" top="0.75"/>
  <pageSetup fitToHeight="0" paperSize="9" orientation="portrait"/>
  <headerFooter>
    <oddHeader>&amp;C&amp;F</oddHeader>
    <oddFooter>&amp;CPresupuesto Ayuntamiento Aranda de Duero 2024</oddFooter>
  </headerFooter>
  <drawing r:id="rId4"/>
  <legacyDrawing r:id="rId5"/>
</worksheet>
</file>