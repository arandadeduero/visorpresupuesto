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5"/>
    <sheet state="visible" name="Búsqueda" sheetId="2" r:id="rId6"/>
    <sheet state="visible" name="acum-tareas" sheetId="3" r:id="rId7"/>
  </sheets>
  <definedNames>
    <definedName name="p3340_48900">#REF!</definedName>
    <definedName name="P3360_78000">#REF!</definedName>
    <definedName localSheetId="0" name="suma_cap3">'2024'!$G$1276</definedName>
    <definedName name="suma_cap2">#REF!</definedName>
    <definedName localSheetId="0" name="subida">#REF!</definedName>
    <definedName localSheetId="0" name="P9290_78900">#REF!</definedName>
    <definedName name="p3410_48900">#REF!</definedName>
    <definedName localSheetId="0" name="p1522_78000">'2024'!$G$1505</definedName>
    <definedName localSheetId="0" name="p3410_48900">'2024'!$G$1325</definedName>
    <definedName localSheetId="0" name="p2311_48902">'2024'!$G$1297</definedName>
    <definedName localSheetId="0" name="suma_cap1">'2024'!$G$483</definedName>
    <definedName localSheetId="0" name="p3380_48900">'2024'!$G$1321</definedName>
    <definedName name="p1522_78001">#REF!</definedName>
    <definedName localSheetId="0" name="p2311_48901">'2024'!$G$1296</definedName>
    <definedName localSheetId="0" name="suma_cap7">'2024'!$G$1513</definedName>
    <definedName name="p1522_78000">#REF!</definedName>
    <definedName name="p1710_48900">#REF!</definedName>
    <definedName localSheetId="0" name="suma_cap6">'2024'!$G$1497</definedName>
    <definedName name="p9120_48900">#REF!</definedName>
    <definedName localSheetId="0" name="suma_cap8">'2024'!$G$1523</definedName>
    <definedName name="p2311_48901">#REF!</definedName>
    <definedName name="p3260_48900">#REF!</definedName>
    <definedName name="suma_cap7">#REF!</definedName>
    <definedName localSheetId="0" name="p9200_48900">'2024'!$G$1347</definedName>
    <definedName name="p3380_48900">#REF!</definedName>
    <definedName name="suma_cap5">#REF!</definedName>
    <definedName name="p2313_48900">#REF!</definedName>
    <definedName name="p9430_48900">#REF!</definedName>
    <definedName localSheetId="0" name="p2311_48900">'2024'!$G$1295</definedName>
    <definedName name="p2311_48900">#REF!</definedName>
    <definedName localSheetId="0" name="suma_cap5">'2024'!$G$1368</definedName>
    <definedName localSheetId="0" name="p4320_46700">'2024'!$G$1334</definedName>
    <definedName localSheetId="0" name="p4330_48900">'2024'!$G$1339</definedName>
    <definedName name="p9240_48900">#REF!</definedName>
    <definedName localSheetId="0" name="P3360_78000">'2024'!$G$1510</definedName>
    <definedName name="suma_cap6">#REF!</definedName>
    <definedName localSheetId="0" name="suma_cap4">'2024'!$G$1358</definedName>
    <definedName name="p4320_46700">#REF!</definedName>
    <definedName name="suma_cap9">#REF!</definedName>
    <definedName name="suma_cap3">#REF!</definedName>
    <definedName localSheetId="0" name="p3340_48900">'2024'!$G$1309</definedName>
    <definedName localSheetId="0" name="p4320_48900">'2024'!$G$1335</definedName>
    <definedName localSheetId="0" name="p1710_48900">'2024'!$G$1291</definedName>
    <definedName localSheetId="0" name="p9240_48900">'2024'!$G$1351</definedName>
    <definedName localSheetId="0" name="p2313_48900">'2024'!$G$1301</definedName>
    <definedName localSheetId="0" name="p3341_48900">'2024'!$G$1313</definedName>
    <definedName localSheetId="0" name="suma_cap9">'2024'!$G$1533</definedName>
    <definedName localSheetId="0" name="p3260_48900">'2024'!$G$1305</definedName>
    <definedName name="P9290_78900">#REF!</definedName>
    <definedName name="suma_cap1">#REF!</definedName>
    <definedName localSheetId="0" name="p9430_48900">'2024'!$G$1355</definedName>
    <definedName name="suma_cap4">#REF!</definedName>
    <definedName name="subida">#REF!</definedName>
    <definedName localSheetId="0" name="p3373_48900">'2024'!$G$1317</definedName>
    <definedName name="suma_cap8">#REF!</definedName>
    <definedName localSheetId="0" name="p1610_48900">'2024'!$G$1283</definedName>
    <definedName localSheetId="0" name="p4310_48900">'2024'!$G$1330</definedName>
    <definedName name="p9200_48900">#REF!</definedName>
    <definedName name="p4310_48900">#REF!</definedName>
    <definedName name="p4320_48900">#REF!</definedName>
    <definedName name="p1610_48900">#REF!</definedName>
    <definedName name="p2311_48902">#REF!</definedName>
    <definedName name="p3373_48900">#REF!</definedName>
    <definedName localSheetId="0" name="p1700_48900">'2024'!$G$1287</definedName>
    <definedName localSheetId="0" name="suma_cap2">'2024'!$G$1261</definedName>
    <definedName name="p3341_48900">#REF!</definedName>
    <definedName name="p1700_48900">#REF!</definedName>
    <definedName localSheetId="0" name="p9120_48900">'2024'!$G$1343</definedName>
    <definedName name="p4330_48900">#REF!</definedName>
    <definedName localSheetId="0" name="p1522_78001">'2024'!$G$1506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tc={026307b8-149a-4386-a951-70b9b97e3b2d}</author>
    <author>tc={11d3e40d-a5ac-44f7-8907-522da7d5fdb2}</author>
    <author>tc={147d0d52-be1c-4da2-8cec-6dc1136724d8}</author>
    <author>tc={1698b6ab-928c-4757-a1df-e3ed7ad76f2a}</author>
    <author>tc={18f3a602-1e19-4c84-a515-d145aba4fe33}</author>
    <author>tc={1eb59d6a-0260-4063-bec1-8124251de4c4}</author>
    <author>tc={20102d0a-3b4a-48e6-9e52-551f6d3b5cd5}</author>
    <author>tc={21a7c08e-4f02-442b-bf52-d0f2eaa3a7d7}</author>
    <author>tc={2239b4bf-2b9d-412f-b0b8-715fc635fa94}</author>
    <author>tc={3695169f-4611-4558-9d13-588e5e1021ce}</author>
    <author>tc={3a440edf-bc85-429d-8875-20ddb38faadb}</author>
    <author>tc={3cc50097-79b9-4c8b-afbc-bcfe4e332280}</author>
    <author>tc={3d99d950-81dd-49ac-8b8c-7046250f8371}</author>
    <author>tc={3f9a8096-ea78-4e4f-9cd0-f8e61d0870dd}</author>
    <author>tc={405f22e4-eb80-4526-b674-be4291a577ea}</author>
    <author>tc={4b46209e-3e32-4913-b14c-62d25b9c8e49}</author>
    <author>tc={4c986b56-f65a-4f5e-a1f2-86c8c4d714eb}</author>
    <author>tc={6479476b-6121-41f4-8a1e-f9b55a16de40}</author>
    <author>tc={6a2971ce-a2dc-4c85-85a3-513646fb4dbe}</author>
    <author>tc={6c24422d-1897-4f57-8285-bb7a5b238cbd}</author>
    <author>tc={7cd9a4b9-a199-4e1f-ab47-dbf55ff688c0}</author>
    <author>tc={888b3284-295b-4ab3-96f0-cc5b62cdf3c4}</author>
    <author>tc={9bf68266-ee64-41f8-a1fe-b653a2fdbbd6}</author>
    <author>tc={a1757098-1240-4cde-8db2-475d357988a4}</author>
    <author>tc={a64f05ab-b637-4114-8694-33442b14e00d}</author>
    <author>tc={aec15c38-04f9-42b6-956f-8585524f2d86}</author>
    <author>tc={b7deea3e-47e9-402b-ac0d-13d29faf9bf7}</author>
    <author>tc={c1be8acc-dd25-4cb9-83a0-daaec3e5d292}</author>
    <author>tc={c9bf9faa-abe5-4325-9334-7286e246fa88}</author>
    <author>tc={cbab91aa-ab62-4232-b39a-1ce3c9f1c8b5}</author>
    <author>tc={d658e615-9cd4-4abd-99c0-a1d7846e5b06}</author>
    <author>tc={d6e7dec4-79e5-4ebf-a271-cc6bd9d2b30d}</author>
    <author>tc={d84df3cf-d65f-4510-8529-b60a874868c1}</author>
    <author>tc={ec440463-91d4-4b9d-9242-99293c9b6659}</author>
    <author>tc={f35e0596-a737-4853-a5f2-b1fa86aa95ae}</author>
    <author>tc={f3ade39f-9f2a-4e9f-af9c-eb468f7f7600}</author>
  </authors>
  <commentList>
    <comment authorId="0" xr:uid="{026307b8-149a-4386-a951-70b9b97e3b2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la suma del anexo 3 y 4
</t>
      </text>
    </comment>
    <comment authorId="1" xr:uid="{11d3e40d-a5ac-44f7-8907-522da7d5fdb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@juanma@sentiraranda.es pregunta PSOE que por qué sube esto, en su día me lo mandaste.
Dime actividades para justificar
Asignado a juanma@sentiraranda.es
</t>
      </text>
    </comment>
    <comment authorId="2" xr:uid="{147d0d52-be1c-4da2-8cec-6dc1136724d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Comprobar esta partida
</t>
      </text>
    </comment>
    <comment authorId="3" xr:uid="{1698b6ab-928c-4757-a1df-e3ed7ad76f2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Mantenimiento Escala ROSENBAUER
Mantenimiento Brazo INCIPRESA
Mantenimiento equipos de Salvamento HOLMATRO
Mantenimiento Máscaras, Espalderas y Compresor 
Manteminiento Bombonas Aire Comprimido
Mantenimiento Chaquetón y Cubrepantalón Incendios confinados
</t>
      </text>
    </comment>
    <comment authorId="4" xr:uid="{18f3a602-1e19-4c84-a515-d145aba4fe3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cross de la constitución
Reply:
	subido
</t>
      </text>
    </comment>
    <comment authorId="5" xr:uid="{1eb59d6a-0260-4063-bec1-8124251de4c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transcripcion de plenos
</t>
      </text>
    </comment>
    <comment authorId="6" xr:uid="{20102d0a-3b4a-48e6-9e52-551f6d3b5cd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Microsoft 365
</t>
      </text>
    </comment>
    <comment authorId="7" xr:uid="{21a7c08e-4f02-442b-bf52-d0f2eaa3a7d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lecturas de contador. 80k todo el año, prorrateado a 5 según las contrataciones por acumulación de tareas
</t>
      </text>
    </comment>
    <comment authorId="8" xr:uid="{2239b4bf-2b9d-412f-b0b8-715fc635fa9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concejales liberados x4
Reply:
	+ personal eventual prensa
Reply:
	Negociar en la RPT que la persona de Técnico de presupuestos sea funcionario y no eventual
Reply:
	Revisar los niveles
Reply:
	@antonio@sentiraranda.es esto es importante, sí es cierto, hay límite del 55% en el caso de Aranda para los concejales liberados, que van con respecto a un Secretario de Estado, se quedarían en 42500€ anuales por concejal 100% liberado
Reply:
	http://femp.femp.es/files/3580-776-fichero/WEB%20Retribuciones%20%20Sueldo%20Secretario%20Estado.pdf
</t>
      </text>
    </comment>
    <comment authorId="9" xr:uid="{3695169f-4611-4558-9d13-588e5e1021c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@juanma@sentiraranda.es vamos a hacer alguna feria? Si no, nos cepillamos esto
Asignado a juanma@sentiraranda.es
Reply:
	Voy a intentar la feria de FP, la de coches, Envero y sobre todo Fiduero. Con Gastroduero no prometo nada aunque me gustaria
</t>
      </text>
    </comment>
    <comment authorId="10" xr:uid="{3a440edf-bc85-429d-8875-20ddb38faad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concejales liberados x4
Reply:
	+ personal eventual prensa
</t>
      </text>
    </comment>
    <comment authorId="11" xr:uid="{3cc50097-79b9-4c8b-afbc-bcfe4e33228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colegios e intercambio cultural
</t>
      </text>
    </comment>
    <comment authorId="12" xr:uid="{3d99d950-81dd-49ac-8b8c-7046250f837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Limpieza del mercadillo de santa catalina
</t>
      </text>
    </comment>
    <comment authorId="13" xr:uid="{3f9a8096-ea78-4e4f-9cd0-f8e61d0870d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60k + SegSocial
</t>
      </text>
    </comment>
    <comment authorId="14" xr:uid="{405f22e4-eb80-4526-b674-be4291a577e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contratos completos escuelas infantiles
</t>
      </text>
    </comment>
    <comment authorId="15" xr:uid="{4b46209e-3e32-4913-b14c-62d25b9c8e4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RRSS
</t>
      </text>
    </comment>
    <comment authorId="16" xr:uid="{4c986b56-f65a-4f5e-a1f2-86c8c4d714e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Recogida perros
y palomas
</t>
      </text>
    </comment>
    <comment authorId="17" xr:uid="{6479476b-6121-41f4-8a1e-f9b55a16de4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incremento del contrato de la grúa
</t>
      </text>
    </comment>
    <comment authorId="18" xr:uid="{6a2971ce-a2dc-4c85-85a3-513646fb4db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Control analitico agua y oca de los centros de transformación y allta tension
</t>
      </text>
    </comment>
    <comment authorId="19" xr:uid="{6c24422d-1897-4f57-8285-bb7a5b238cb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Contrato de parques y jardines
</t>
      </text>
    </comment>
    <comment authorId="20" xr:uid="{7cd9a4b9-a199-4e1f-ab47-dbf55ff688c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IPC de depuración
</t>
      </text>
    </comment>
    <comment authorId="21" xr:uid="{888b3284-295b-4ab3-96f0-cc5b62cdf3c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Portal de transparencia
</t>
      </text>
    </comment>
    <comment authorId="22" xr:uid="{9bf68266-ee64-41f8-a1fe-b653a2fdbbd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ora y grua nuevo contrato
</t>
      </text>
    </comment>
    <comment authorId="23" xr:uid="{a1757098-1240-4cde-8db2-475d357988a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Aquí está el arreglo de calles (200k) y el arreglo de polígicos (300k)
</t>
      </text>
    </comment>
    <comment authorId="24" xr:uid="{a64f05ab-b637-4114-8694-33442b14e00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Sonorama
</t>
      </text>
    </comment>
    <comment authorId="25" xr:uid="{aec15c38-04f9-42b6-956f-8585524f2d8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¿Ésto es correcto?
Reply:
	ahora mismo hay 0€ gastados en esta partida y todo lo demás está en el resto de promoción deportiva
</t>
      </text>
    </comment>
    <comment authorId="26" xr:uid="{b7deea3e-47e9-402b-ac0d-13d29faf9bf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¿por qué quieres 460.000€ @juanma@sentiraranda.es ?
Asignado a juanma@sentiraranda.es
</t>
      </text>
    </comment>
    <comment authorId="27" xr:uid="{c1be8acc-dd25-4cb9-83a0-daaec3e5d29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Desratización
</t>
      </text>
    </comment>
    <comment authorId="28" xr:uid="{c9bf9faa-abe5-4325-9334-7286e246fa8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Integración con DehÚ
</t>
      </text>
    </comment>
    <comment authorId="29" xr:uid="{cbab91aa-ab62-4232-b39a-1ce3c9f1c8b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Hay que comprobar si el contrato de FCC aparece alguna partida o alguna información sobre el mercadillo de Santa Catalina @belen@sentiraranda.es
Asignado a belen@sentiraranda.es
Reply:
	@belen@sentiraranda.es manda un correo a Ruth y a Carlos para decir que se añada la limpieza de los mercadillos en el pliego que están realizando
Reply:
	Carlos me confirma que está contemplado
</t>
      </text>
    </comment>
    <comment authorId="30" xr:uid="{d658e615-9cd4-4abd-99c0-a1d7846e5b0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-62400 si al final hay concejales liberados
</t>
      </text>
    </comment>
    <comment authorId="31" xr:uid="{d6e7dec4-79e5-4ebf-a271-cc6bd9d2b30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Alquiler de equipos de Iluminación y sonido espetáculos todo el año
</t>
      </text>
    </comment>
    <comment authorId="32" xr:uid="{d84df3cf-d65f-4510-8529-b60a874868c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alquiler espacio CC Caja de Burgos
Reply:
	Convenio de cesión de espacio con el Cultural Caja de Burgos. En los presupuestos de 2023 se eliminó esta partida. Es muy importante MANTENERLA Y DOTARLA
</t>
      </text>
    </comment>
    <comment authorId="33" xr:uid="{ec440463-91d4-4b9d-9242-99293c9b665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Sonorama, Arandina y Villa de Aranda
Reply:
	@juanma@sentiraranda.es @belen@sentiraranda.es
Reply:
	la idea es hacer el patrocinio como un contrato, no una subvención
Reply:
	Sonorama son 140.000 y 70.000 para los otros ?
Reply:
	No encuentro el documento que le envié a Willy, pero creo recordar que puse más
Reply:
	Hablamos de 40.000€ para Villa y 40 para arandina seguro.
Más luego el deporte base
Reply:
	sólo sonorama al final
</t>
      </text>
    </comment>
    <comment authorId="34" xr:uid="{f35e0596-a737-4853-a5f2-b1fa86aa95a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María José
</t>
      </text>
    </comment>
    <comment authorId="35" xr:uid="{f3ade39f-9f2a-4e9f-af9c-eb468f7f760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27500 + SegSocial
</t>
      </text>
    </comment>
  </commentList>
</comments>
</file>

<file path=xl/sharedStrings.xml><?xml version="1.0" encoding="utf-8"?>
<sst xmlns="http://schemas.openxmlformats.org/spreadsheetml/2006/main" count="2109" uniqueCount="375">
  <si>
    <t>Partida</t>
  </si>
  <si>
    <t>partida</t>
  </si>
  <si>
    <t>2023</t>
  </si>
  <si>
    <t>2024</t>
  </si>
  <si>
    <t>221.02</t>
  </si>
  <si>
    <t>Cantidad</t>
  </si>
  <si>
    <t>Mensual</t>
  </si>
  <si>
    <t>2 meses 2023</t>
  </si>
  <si>
    <t>7 meses 2024</t>
  </si>
  <si>
    <t>Retrib mens / pers</t>
  </si>
  <si>
    <t>SS mens / pers</t>
  </si>
  <si>
    <t>Retrib</t>
  </si>
  <si>
    <t>SS</t>
  </si>
  <si>
    <t>9200 / 120</t>
  </si>
  <si>
    <t>2 administrativos PRTR</t>
  </si>
  <si>
    <t>Subida salarial</t>
  </si>
  <si>
    <t>CLASIFICACIÓN</t>
  </si>
  <si>
    <t>CAPITULO I</t>
  </si>
  <si>
    <t>PROGRAMA</t>
  </si>
  <si>
    <t>ECONÓMICA</t>
  </si>
  <si>
    <t>9320 / 120</t>
  </si>
  <si>
    <t>1 aux gestión tribut</t>
  </si>
  <si>
    <t>ADMON. GRAL. DE LA SEGURIDAD</t>
  </si>
  <si>
    <t>120.03</t>
  </si>
  <si>
    <t>Sueldos del Grupo C1</t>
  </si>
  <si>
    <t>1610 / 120</t>
  </si>
  <si>
    <t>3 aux aguas</t>
  </si>
  <si>
    <t>120.04</t>
  </si>
  <si>
    <t>Sueldos del Grupo C2</t>
  </si>
  <si>
    <t>120.06</t>
  </si>
  <si>
    <t>Trienios</t>
  </si>
  <si>
    <t>121.00</t>
  </si>
  <si>
    <t>Complemento de destino</t>
  </si>
  <si>
    <t>121.01</t>
  </si>
  <si>
    <t>Complemento espécifico</t>
  </si>
  <si>
    <t>2 ayudantes infor</t>
  </si>
  <si>
    <t>Productividad</t>
  </si>
  <si>
    <t>160.00</t>
  </si>
  <si>
    <t>Cuotas Seguridad Social</t>
  </si>
  <si>
    <t>131.00</t>
  </si>
  <si>
    <t>Retribuciones básicas</t>
  </si>
  <si>
    <t>131.02</t>
  </si>
  <si>
    <t>Otras remuneraciones</t>
  </si>
  <si>
    <t>1510 / 120</t>
  </si>
  <si>
    <t>160.02</t>
  </si>
  <si>
    <t>2 arquitectos urbani</t>
  </si>
  <si>
    <t>SEGURIDAD</t>
  </si>
  <si>
    <t>Arquitectos 1510</t>
  </si>
  <si>
    <t>Sueldos A1 120.00</t>
  </si>
  <si>
    <t>Comp destino 121.00</t>
  </si>
  <si>
    <t>C esp 121.01</t>
  </si>
  <si>
    <t>Productividad 150</t>
  </si>
  <si>
    <t>SS 160.00</t>
  </si>
  <si>
    <t>Sueldo</t>
  </si>
  <si>
    <t>120.01</t>
  </si>
  <si>
    <t>Sueldos del Grupo A2</t>
  </si>
  <si>
    <t>151.00</t>
  </si>
  <si>
    <t>Gratificaciones</t>
  </si>
  <si>
    <t>Prod</t>
  </si>
  <si>
    <t>SUMA bomb + pol</t>
  </si>
  <si>
    <t>Dest</t>
  </si>
  <si>
    <t>Esp</t>
  </si>
  <si>
    <t>EXTINCIÓN DE INCENDIOS</t>
  </si>
  <si>
    <t>Informáticos 9200</t>
  </si>
  <si>
    <t>Sueldos C1 120.03</t>
  </si>
  <si>
    <t>Con 10 bomberos + disponibilidad</t>
  </si>
  <si>
    <t>PRTR 9200</t>
  </si>
  <si>
    <t>C1 9200/12003</t>
  </si>
  <si>
    <t>Comp esp 121.01</t>
  </si>
  <si>
    <t>Prod 150</t>
  </si>
  <si>
    <t xml:space="preserve">SS 160.00 </t>
  </si>
  <si>
    <t>Gest Trib 9320</t>
  </si>
  <si>
    <t>Aguas 1610</t>
  </si>
  <si>
    <t>Cementerio 1640</t>
  </si>
  <si>
    <t>5 meses!!</t>
  </si>
  <si>
    <t>1640-12005 Sueldo (Salario y Pagas Extra 7.164,88</t>
  </si>
  <si>
    <t>1640-12101 Complemento específico 4.474,56</t>
  </si>
  <si>
    <t>1640-12100 Complemento de destino 2.834,80</t>
  </si>
  <si>
    <t>1640-150 Productividad 433,44</t>
  </si>
  <si>
    <t>1640-16000 Coste Seguridad Social 5.500,96</t>
  </si>
  <si>
    <t>ADMON. GRAL. DE URBANISMO</t>
  </si>
  <si>
    <t>Nueva RPT final</t>
  </si>
  <si>
    <t>URBANISMO</t>
  </si>
  <si>
    <t>120.00</t>
  </si>
  <si>
    <t>Sueldos del Grupo A1</t>
  </si>
  <si>
    <t>131.01</t>
  </si>
  <si>
    <t>Horas extraordinarias</t>
  </si>
  <si>
    <t>URBANISMO. OFICINA GESTION ARU SANTA CATALINA</t>
  </si>
  <si>
    <t>VÍAS PÚBLICAS URBANAS</t>
  </si>
  <si>
    <t>130.00</t>
  </si>
  <si>
    <t>130.01</t>
  </si>
  <si>
    <t>130.02</t>
  </si>
  <si>
    <t>160.01</t>
  </si>
  <si>
    <t>ABASTECIMIENTO Y DISTRIBUCIÓN DE AGUAS</t>
  </si>
  <si>
    <t>CEMENTERIO</t>
  </si>
  <si>
    <t>120.05</t>
  </si>
  <si>
    <t>Sueldos del Grupo E</t>
  </si>
  <si>
    <t>ALUMBRADO PÚBLICO</t>
  </si>
  <si>
    <t>ADMON. GRAL. DEL MEDIO AMBIENTE</t>
  </si>
  <si>
    <t>PARQUES Y JARDINES</t>
  </si>
  <si>
    <t xml:space="preserve">OTRAS PRESTACIONES </t>
  </si>
  <si>
    <t>162.00</t>
  </si>
  <si>
    <t>Formación y Perfeccionam. Personal Funcionario</t>
  </si>
  <si>
    <t>162.04</t>
  </si>
  <si>
    <t>Acción social de Personal Funcionario</t>
  </si>
  <si>
    <t>162.05</t>
  </si>
  <si>
    <t>Seguros de Personal Funcionario</t>
  </si>
  <si>
    <t>162.10</t>
  </si>
  <si>
    <t>Formación y Perfeccionam. Personal Laboral</t>
  </si>
  <si>
    <t>162.14</t>
  </si>
  <si>
    <t>Acción social de Personal Laboral</t>
  </si>
  <si>
    <t>162.15</t>
  </si>
  <si>
    <t>Seguros de Personal Laboral</t>
  </si>
  <si>
    <t>ADMON. GRAL. ASISTENCIA SOCIAL PRIMARIA</t>
  </si>
  <si>
    <t>ASISTENCIA SOCIAL PRIMARIA</t>
  </si>
  <si>
    <t>FORMACIÓN Y EMPLEO OTROS PROGRAMAS</t>
  </si>
  <si>
    <t>ADMON. GRAL. DE LA EDUCACIÓN</t>
  </si>
  <si>
    <t>ESCUELA DE MÚSICA Y DANZA</t>
  </si>
  <si>
    <t>ESCUELA DE FOLKLORE</t>
  </si>
  <si>
    <t>ADMON. GRAL. DE LA CULTURA</t>
  </si>
  <si>
    <t>BIBLIOTECA</t>
  </si>
  <si>
    <t>PROMOCIÓN CULTURAL</t>
  </si>
  <si>
    <t>CENTROS CÍVICOS</t>
  </si>
  <si>
    <t>CASA DE LA JUVENTUD Y CENTRO ARTE JOVEN</t>
  </si>
  <si>
    <t>FESTEJOS</t>
  </si>
  <si>
    <t>PROMOCIÓN DEPORTIVA</t>
  </si>
  <si>
    <t>INSTALACIONES DEPORTIVAS</t>
  </si>
  <si>
    <t>TURISMO</t>
  </si>
  <si>
    <t>DESARROLLO ECONÓMICO</t>
  </si>
  <si>
    <t>CONSUMO</t>
  </si>
  <si>
    <t>ÓRGANOS DE GOBIERNO</t>
  </si>
  <si>
    <t>100.00</t>
  </si>
  <si>
    <t>&lt;-- un 55% de un sec de estado (que son 77893,18€)</t>
  </si>
  <si>
    <t>110.00</t>
  </si>
  <si>
    <t>Retribuciones básicas de personal eventual</t>
  </si>
  <si>
    <t>Liberados</t>
  </si>
  <si>
    <t>Eventuales</t>
  </si>
  <si>
    <t>Salario antonio</t>
  </si>
  <si>
    <t>Max</t>
  </si>
  <si>
    <t>Min</t>
  </si>
  <si>
    <t>Juanma</t>
  </si>
  <si>
    <t>Fuertes</t>
  </si>
  <si>
    <t>Ana</t>
  </si>
  <si>
    <t>Seguridad social</t>
  </si>
  <si>
    <t>Suma actual</t>
  </si>
  <si>
    <t>4+3</t>
  </si>
  <si>
    <t xml:space="preserve">Carlos </t>
  </si>
  <si>
    <t>ADMINISTRACIÓN GENERAL</t>
  </si>
  <si>
    <t>Liberaciones + eventuales</t>
  </si>
  <si>
    <t>SECRETARÍA GENERAL</t>
  </si>
  <si>
    <t>ADMINISTRACIÓN DE PERSONAL</t>
  </si>
  <si>
    <t>INTERVENCIÓN</t>
  </si>
  <si>
    <t>GESTIÓN TRIBUTARIA Y RECAUDACIÓN</t>
  </si>
  <si>
    <t>CONTRATACIÓN Y PATRIMONIO</t>
  </si>
  <si>
    <t>TESORERÍA</t>
  </si>
  <si>
    <t>Gratificationes</t>
  </si>
  <si>
    <t>TOTAL CAPÍTULO I</t>
  </si>
  <si>
    <t>CAPITULO II</t>
  </si>
  <si>
    <t>Arrendamiento de maquinaria, instalaciones y utillaje</t>
  </si>
  <si>
    <t>Repar., manten. y conserv. de edificios</t>
  </si>
  <si>
    <t>Repar., manten. y conserv. de maquinaria</t>
  </si>
  <si>
    <t>Repar., manten. y conserv. de elementos de transporte</t>
  </si>
  <si>
    <t>Repar., manten. y conserv. de mobiliario</t>
  </si>
  <si>
    <t>Equipos para procesos de informción</t>
  </si>
  <si>
    <t>220.00</t>
  </si>
  <si>
    <t>Material de oficina</t>
  </si>
  <si>
    <t>221.00</t>
  </si>
  <si>
    <t>Energía eléctrica</t>
  </si>
  <si>
    <t>Gas</t>
  </si>
  <si>
    <t>221.03</t>
  </si>
  <si>
    <t>Combustible y carburantes</t>
  </si>
  <si>
    <t>221.04</t>
  </si>
  <si>
    <t>Vestuario</t>
  </si>
  <si>
    <t>221.99</t>
  </si>
  <si>
    <t>Otros suministros</t>
  </si>
  <si>
    <t>222.00</t>
  </si>
  <si>
    <t>Comunicaciones</t>
  </si>
  <si>
    <t>222.01</t>
  </si>
  <si>
    <t>Comunicaciones postales</t>
  </si>
  <si>
    <t>Primas de seguros</t>
  </si>
  <si>
    <t>225.02</t>
  </si>
  <si>
    <t>Tributos de las Entidades Locales</t>
  </si>
  <si>
    <t>226.01</t>
  </si>
  <si>
    <t>Atenciones protocolarias y de representación</t>
  </si>
  <si>
    <t>226.02</t>
  </si>
  <si>
    <t>Publicidad y propaganda</t>
  </si>
  <si>
    <t>226.03</t>
  </si>
  <si>
    <t>Publicaciones en Diarios Oficiales</t>
  </si>
  <si>
    <t>226.99</t>
  </si>
  <si>
    <t>Otros gastos. Gastos diversos</t>
  </si>
  <si>
    <t>227.99</t>
  </si>
  <si>
    <t>Trabajos realizados por otras empresas</t>
  </si>
  <si>
    <t>230.09</t>
  </si>
  <si>
    <t>Dietas del personal</t>
  </si>
  <si>
    <t>ORDENACIÓN DEL TRÁFICO Y ESTACIONAMIENTO</t>
  </si>
  <si>
    <t xml:space="preserve">Trabajos realizados por otras empresas </t>
  </si>
  <si>
    <t>&lt;-- ora y grua</t>
  </si>
  <si>
    <t>PROTECCIÓN CIVIL</t>
  </si>
  <si>
    <t>Energía  eléctrica</t>
  </si>
  <si>
    <t>Repar., manten. y conserv. de equipos informáticos</t>
  </si>
  <si>
    <t>220.01</t>
  </si>
  <si>
    <t>Prensa y revistas</t>
  </si>
  <si>
    <t xml:space="preserve">Gas </t>
  </si>
  <si>
    <t>227.06</t>
  </si>
  <si>
    <t>Estudios y trabajos técnicos</t>
  </si>
  <si>
    <t>Locomoción</t>
  </si>
  <si>
    <t>VIVIENDA. OFICINA GESTION ARU SANTA CATALINA</t>
  </si>
  <si>
    <t>Arrendamientos de otro inmovilizado material</t>
  </si>
  <si>
    <t>SEGÚN CUADRO ARQUITECTA ARU</t>
  </si>
  <si>
    <t>Arrendamiento de elementos de transporte</t>
  </si>
  <si>
    <t>Repar., manten. y conserv. de infraestructuras</t>
  </si>
  <si>
    <t>Transporte</t>
  </si>
  <si>
    <t>233.01</t>
  </si>
  <si>
    <t>Otras indemnizaciones del personal</t>
  </si>
  <si>
    <t>ALCANTARILLADO</t>
  </si>
  <si>
    <t>Arrendamiento de maquinaria, Instalaciones y utillaje</t>
  </si>
  <si>
    <t>225.01</t>
  </si>
  <si>
    <t>Tributos CCAA</t>
  </si>
  <si>
    <t>Otras indemnizaciones</t>
  </si>
  <si>
    <t>ABASTECIMIENTO Y DISTRIBUCIÓN DE AGUA</t>
  </si>
  <si>
    <t>Repar., manten. y conserv. de infraestructuras y bienes</t>
  </si>
  <si>
    <t>225.00</t>
  </si>
  <si>
    <t>Tributos estatales</t>
  </si>
  <si>
    <t>RECOGIDA DE RESIDUOS</t>
  </si>
  <si>
    <t>227.00</t>
  </si>
  <si>
    <t>Limpieza y aseo</t>
  </si>
  <si>
    <t>TRATAMIENTO DE RESIDUOS</t>
  </si>
  <si>
    <t>LIMPIEZA VIARIA</t>
  </si>
  <si>
    <t>220.02</t>
  </si>
  <si>
    <t>Material informático no inventariable</t>
  </si>
  <si>
    <t>221.12</t>
  </si>
  <si>
    <t>Suministros de material electrónico y de telecomunicaciones</t>
  </si>
  <si>
    <t>Otros  suministros</t>
  </si>
  <si>
    <t>ADMON. GRAL. MEDIO AMBIENTE</t>
  </si>
  <si>
    <t xml:space="preserve">Energía eléctrica </t>
  </si>
  <si>
    <t>221.15</t>
  </si>
  <si>
    <t>Plantas y árboles</t>
  </si>
  <si>
    <t>&lt;-- arbolado fuera casco urbano</t>
  </si>
  <si>
    <t>PROTECCIÓN CONTAMINAC. ACÚSTICA Y ATM.</t>
  </si>
  <si>
    <t xml:space="preserve">Estudios y trabajos técnicos </t>
  </si>
  <si>
    <t>226.09</t>
  </si>
  <si>
    <t>Actividades culturales y deportivas</t>
  </si>
  <si>
    <t>COLECTIVOS MARGINADOS</t>
  </si>
  <si>
    <t>PROMOCIÓN DE LA IGUALDAD</t>
  </si>
  <si>
    <t>TERCERA EDAD Y DEPENDENCIA</t>
  </si>
  <si>
    <t>Arrendamiento de edificios y otras construcciones</t>
  </si>
  <si>
    <t>FORMACIÓN Y EMPLEO. OTROS PROGRAMAS</t>
  </si>
  <si>
    <t>PROTECCIÓN SALUBRIDAD PÚBLICA</t>
  </si>
  <si>
    <t>FUNCIONAMIENTO CENTROS DOCENTES</t>
  </si>
  <si>
    <t>221.07</t>
  </si>
  <si>
    <t>Red de calor</t>
  </si>
  <si>
    <t>SERVICIOS COMPLEMENTARIOS EDUCACIÓN</t>
  </si>
  <si>
    <t>Atenciones protocolarias</t>
  </si>
  <si>
    <t xml:space="preserve">Actividades culturales y deportivas </t>
  </si>
  <si>
    <t>Cánones</t>
  </si>
  <si>
    <t>Prensa, revistas y publicaciones</t>
  </si>
  <si>
    <t>226.06</t>
  </si>
  <si>
    <t>Reuniones y  conferencias</t>
  </si>
  <si>
    <t>ESCUELA DE FOLCLORE</t>
  </si>
  <si>
    <t>Prensa, revistas, publicaciones y libros</t>
  </si>
  <si>
    <t>MUSEOS</t>
  </si>
  <si>
    <t>Arrendamiento edificios (ADIF Museo del Tren)</t>
  </si>
  <si>
    <t>ESCUELA Y MUSEO DE CERÁMICA</t>
  </si>
  <si>
    <t xml:space="preserve">PROMOCIÓN CULTURAL </t>
  </si>
  <si>
    <t>Arrendamiento de edificios</t>
  </si>
  <si>
    <t>Reuniones y conferencias</t>
  </si>
  <si>
    <t>BANDA DE MÚSICA</t>
  </si>
  <si>
    <t>Red de Calor</t>
  </si>
  <si>
    <t>ALBERGUE JUVENIL</t>
  </si>
  <si>
    <t>HUERTOS DE OCIO</t>
  </si>
  <si>
    <t>226.11</t>
  </si>
  <si>
    <t xml:space="preserve">Actividades Fiestas Patronales </t>
  </si>
  <si>
    <t>PROMOCION INDUSTRIAL</t>
  </si>
  <si>
    <t>COMERCIO</t>
  </si>
  <si>
    <t xml:space="preserve">Publicidad y propaganda </t>
  </si>
  <si>
    <t>FERIAS</t>
  </si>
  <si>
    <t xml:space="preserve">Otros gastos. Gastos diversos </t>
  </si>
  <si>
    <t>Trabajos de otras empresas</t>
  </si>
  <si>
    <t>HERMANAMIENTOS</t>
  </si>
  <si>
    <t>TRANSPORTE URBANO DE VIAJEROS</t>
  </si>
  <si>
    <t>233.00</t>
  </si>
  <si>
    <t>Indemnizaciones asistencias organos de gobierno</t>
  </si>
  <si>
    <t>aprox quitar para concejales liberados</t>
  </si>
  <si>
    <t>230.00</t>
  </si>
  <si>
    <t>Dietas de cargos electivos</t>
  </si>
  <si>
    <t>Repar. y conserv. Mobiliario</t>
  </si>
  <si>
    <t>226.04</t>
  </si>
  <si>
    <t>Servicios jurídicos</t>
  </si>
  <si>
    <t>226.10</t>
  </si>
  <si>
    <t>Multas e indemnizaciones</t>
  </si>
  <si>
    <t>&lt;-- incluye PRL</t>
  </si>
  <si>
    <t>PARTICIPACIÓN CIUDADANA</t>
  </si>
  <si>
    <t>ATENCIÓN A LOS CIUDADANOS</t>
  </si>
  <si>
    <t>SERVICIOS NO CLASIFICADOS</t>
  </si>
  <si>
    <t>ADMINISTRACIÓN GENERAL. ECON. Y HACIENDA</t>
  </si>
  <si>
    <t>TOTAL CAPÍTULO II</t>
  </si>
  <si>
    <t>CAPITULO III</t>
  </si>
  <si>
    <t>0110</t>
  </si>
  <si>
    <t>DEUDA PÚBLICA</t>
  </si>
  <si>
    <t>310.00</t>
  </si>
  <si>
    <t>Intereses</t>
  </si>
  <si>
    <t>311.00</t>
  </si>
  <si>
    <t>Gastos de formalización, modificación y cancelación</t>
  </si>
  <si>
    <t>359.00</t>
  </si>
  <si>
    <t>Otros gastos financieros</t>
  </si>
  <si>
    <t>TOTAL CAPÍTULO III</t>
  </si>
  <si>
    <t>CAPITULO IV</t>
  </si>
  <si>
    <t>489.00</t>
  </si>
  <si>
    <t>Transferencias a familias e instituciones sin fines de lucro</t>
  </si>
  <si>
    <t>489.01</t>
  </si>
  <si>
    <t>Otras transferencias ( Plataforma 0'7 )</t>
  </si>
  <si>
    <t>489.02</t>
  </si>
  <si>
    <t>Atenciones benéficas y asistenciales</t>
  </si>
  <si>
    <t>DEPORTES PROMOCIÓN DEPORTIVA</t>
  </si>
  <si>
    <t>472.00</t>
  </si>
  <si>
    <t>Subvenciones para reducir el precio a pagar por los consumidores</t>
  </si>
  <si>
    <t>&lt;&lt;- arandabonos</t>
  </si>
  <si>
    <t>467.00</t>
  </si>
  <si>
    <t>Transferencias a otras Entidades Locales</t>
  </si>
  <si>
    <t>Dotaciones Grupos Municipales</t>
  </si>
  <si>
    <t xml:space="preserve">Transferencias a familias e instituciones </t>
  </si>
  <si>
    <t xml:space="preserve">Transferencias a familias e instituciones sin fines de lucro </t>
  </si>
  <si>
    <t>TRANSFERENCIAS A LA AGUILERA</t>
  </si>
  <si>
    <t>468.00</t>
  </si>
  <si>
    <t>A Entidades Locales Menores (La Aguilera)</t>
  </si>
  <si>
    <t>TOTAL CAPÍTULO IV</t>
  </si>
  <si>
    <t>CAPITULO V</t>
  </si>
  <si>
    <t>500.00</t>
  </si>
  <si>
    <t>Fondo de contingencia</t>
  </si>
  <si>
    <t>TOTAL CAPÍTULO V</t>
  </si>
  <si>
    <t>CAPITULO VI</t>
  </si>
  <si>
    <t>Maquinaria, instalaciones y utillaje</t>
  </si>
  <si>
    <t>Inversiones de carácter inmaterial</t>
  </si>
  <si>
    <t>Otras inversiones nuevas en infraestructuras y bienes destinados al uso general</t>
  </si>
  <si>
    <t>Otras inver. nuevas infraest. y b. destinados uso gral.</t>
  </si>
  <si>
    <t>Equipos para procesos información</t>
  </si>
  <si>
    <t>Otras inversiones de reposición en infraestructuras y bienes destinados al uso general</t>
  </si>
  <si>
    <t>VIVIENDA</t>
  </si>
  <si>
    <t>Inversiones gestionadas por otros entes</t>
  </si>
  <si>
    <t>Otras inver. de reposicion de infraest. y b. destinados uso gral.</t>
  </si>
  <si>
    <t>Maquinaria, instalaciones técnicas y utillaje</t>
  </si>
  <si>
    <t>Edificios y otras construcciones</t>
  </si>
  <si>
    <t>ALUMBRADO</t>
  </si>
  <si>
    <t>PROTECCIÓN DE LA SALUBRIDAD PÚBLICA</t>
  </si>
  <si>
    <t>Otras inv. nuevas asociadas al fcto. operativo de los servicios</t>
  </si>
  <si>
    <t>Equipos para procesos de información</t>
  </si>
  <si>
    <t>Mobiliario</t>
  </si>
  <si>
    <t>Inversiones gestionadas para otros entes</t>
  </si>
  <si>
    <t>EQUIPAMIENTOS CULTURALES Y CASA DE CULTURA</t>
  </si>
  <si>
    <t>Otras inversiones nuevas asociadas al funcionamiento operativo de los servicios</t>
  </si>
  <si>
    <t>Elementos de transporte</t>
  </si>
  <si>
    <t>Otros gastos en inversiones de bienes patrimoniales</t>
  </si>
  <si>
    <t>CAMINOS</t>
  </si>
  <si>
    <t>Equipos procesos información</t>
  </si>
  <si>
    <t>Otras inversiones nuevas asociadas al funcionamiento operativo de los servicios.</t>
  </si>
  <si>
    <t>DIFF!!</t>
  </si>
  <si>
    <t>NO CLASIFICADOS</t>
  </si>
  <si>
    <t>TOTAL CAPÍTULO VI</t>
  </si>
  <si>
    <t>CAPITULO VII</t>
  </si>
  <si>
    <t>CONSERV. Y REHABILITAC. DE LA EDIFICACIÓN</t>
  </si>
  <si>
    <t>780.00</t>
  </si>
  <si>
    <r>
      <rPr>
        <rFont val="Arial"/>
        <color theme="1"/>
        <sz val="10.0"/>
      </rPr>
      <t>Transferencias a familias e instituciones sin fines de lucro</t>
    </r>
    <r>
      <rPr>
        <rFont val="Arial"/>
        <color theme="1"/>
        <sz val="8.0"/>
      </rPr>
      <t xml:space="preserve"> (ITE)</t>
    </r>
  </si>
  <si>
    <t>780.01</t>
  </si>
  <si>
    <r>
      <rPr>
        <rFont val="Arial"/>
        <color theme="1"/>
        <sz val="10.0"/>
      </rPr>
      <t xml:space="preserve">Transferencias a familias e instituciones sin fines de lucro </t>
    </r>
    <r>
      <rPr>
        <rFont val="Arial"/>
        <color theme="1"/>
        <sz val="8.0"/>
      </rPr>
      <t>(FACHADAS)</t>
    </r>
  </si>
  <si>
    <t>PATRIMONIO HISTÓRICO - ARTÍSTICO</t>
  </si>
  <si>
    <t>&lt;-- bodegas</t>
  </si>
  <si>
    <t>TOTAL CAPÍTULO VII</t>
  </si>
  <si>
    <t>CAPITULO VIII</t>
  </si>
  <si>
    <t>OTRAS ATENCIONES AL PERSONAL</t>
  </si>
  <si>
    <t>Concesiones de préstamos no públicos a corto plazo</t>
  </si>
  <si>
    <t>TOTAL CAPÍTULO VIII</t>
  </si>
  <si>
    <t>CAPITULO IX</t>
  </si>
  <si>
    <t>Amortización de préstamos a L/P de entes de fuera del Sector Público</t>
  </si>
  <si>
    <t>TOTAL CAPÍTULO IX</t>
  </si>
  <si>
    <t>TOTAL ESTADO DE GASTOS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</si>
</sst>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#,##0.00\ &quot;€&quot;"/>
  </numFmts>
  <fonts count="17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color rgb="FFFF0000"/>
      <name val="Arial"/>
      <scheme val="minor"/>
    </font>
    <font>
      <b/>
      <sz val="10.0"/>
      <color theme="1"/>
      <name val="Arial"/>
    </font>
    <font>
      <sz val="11.0"/>
      <color rgb="FFFF0000"/>
      <name val="Arial"/>
    </font>
    <font>
      <sz val="10.0"/>
      <color rgb="FFFF0000"/>
      <name val="Arial"/>
    </font>
    <font>
      <color theme="1"/>
      <name val="Arial"/>
    </font>
    <font>
      <b/>
      <color theme="1"/>
      <name val="Arial"/>
    </font>
    <font>
      <b/>
      <sz val="13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9FDFB"/>
        <bgColor rgb="FFF9FDFB"/>
      </patternFill>
    </fill>
    <fill>
      <patternFill patternType="solid">
        <fgColor rgb="FFEAF1DD"/>
        <bgColor rgb="FFEAF1DD"/>
      </patternFill>
    </fill>
    <fill>
      <patternFill patternType="solid">
        <fgColor theme="8"/>
        <bgColor theme="8"/>
      </patternFill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EEA7A1"/>
        <bgColor rgb="FFEEA7A1"/>
      </patternFill>
    </fill>
    <fill>
      <patternFill patternType="solid">
        <fgColor rgb="FF4BACC6"/>
        <bgColor rgb="FF4BACC6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 style="medium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 style="medium">
        <color rgb="FF000000"/>
      </top>
      <bottom/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45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1" xfId="0" applyAlignment="1" applyFont="1" applyNumberFormat="1">
      <alignment horizontal="right" vertic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0" fontId="3" numFmtId="164" xfId="0" applyFont="1" applyNumberFormat="1"/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3" numFmtId="165" xfId="0" applyFont="1" applyNumberFormat="1"/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vertical="center"/>
    </xf>
    <xf borderId="0" fillId="0" fontId="2" numFmtId="165" xfId="0" applyAlignment="1" applyFont="1" applyNumberFormat="1">
      <alignment vertical="center"/>
    </xf>
    <xf borderId="0" fillId="0" fontId="3" numFmtId="0" xfId="0" applyFont="1"/>
    <xf borderId="0" fillId="2" fontId="5" numFmtId="10" xfId="0" applyAlignment="1" applyFill="1" applyFont="1" applyNumberFormat="1">
      <alignment horizontal="right" vertical="bottom"/>
    </xf>
    <xf borderId="0" fillId="0" fontId="3" numFmtId="2" xfId="0" applyFont="1" applyNumberFormat="1"/>
    <xf borderId="0" fillId="0" fontId="2" numFmtId="0" xfId="0" applyAlignment="1" applyFont="1">
      <alignment horizontal="center" vertical="center"/>
    </xf>
    <xf borderId="2" fillId="3" fontId="6" numFmtId="0" xfId="0" applyAlignment="1" applyBorder="1" applyFill="1" applyFont="1">
      <alignment horizontal="center" vertical="center"/>
    </xf>
    <xf borderId="3" fillId="0" fontId="7" numFmtId="0" xfId="0" applyBorder="1" applyFont="1"/>
    <xf borderId="4" fillId="3" fontId="8" numFmtId="0" xfId="0" applyAlignment="1" applyBorder="1" applyFill="1" applyFont="1">
      <alignment horizontal="center" vertical="center"/>
    </xf>
    <xf borderId="5" fillId="3" fontId="6" numFmtId="1" xfId="0" applyAlignment="1" applyBorder="1" applyFill="1" applyFont="1" applyNumberFormat="1">
      <alignment horizontal="center" vertical="center"/>
    </xf>
    <xf borderId="6" fillId="3" fontId="9" numFmtId="165" xfId="0" applyAlignment="1" applyBorder="1" applyFill="1" applyFont="1" applyNumberFormat="1">
      <alignment horizontal="center" vertical="center"/>
    </xf>
    <xf borderId="7" fillId="3" fontId="6" numFmtId="1" xfId="0" applyAlignment="1" applyBorder="1" applyFill="1" applyFont="1" applyNumberFormat="1">
      <alignment horizontal="center" vertical="center"/>
    </xf>
    <xf borderId="7" fillId="3" fontId="6" numFmtId="0" xfId="0" applyAlignment="1" applyBorder="1" applyFill="1" applyFont="1">
      <alignment horizontal="right" vertical="center"/>
    </xf>
    <xf borderId="8" fillId="0" fontId="7" numFmtId="0" xfId="0" applyBorder="1" applyFont="1"/>
    <xf borderId="9" fillId="3" fontId="9" numFmtId="1" xfId="0" applyAlignment="1" applyBorder="1" applyFill="1" applyFont="1" applyNumberFormat="1">
      <alignment vertical="center"/>
    </xf>
    <xf borderId="0" fillId="0" fontId="10" numFmtId="0" xfId="0" applyAlignment="1" applyFont="1">
      <alignment readingOrder="0"/>
    </xf>
    <xf borderId="1" fillId="4" fontId="8" numFmtId="0" xfId="0" applyAlignment="1" applyBorder="1" applyFill="1" applyFont="1">
      <alignment horizontal="center" shrinkToFit="0" vertical="center" wrapText="1"/>
    </xf>
    <xf borderId="0" fillId="0" fontId="10" numFmtId="4" xfId="0" applyAlignment="1" applyFont="1" applyNumberFormat="1">
      <alignment readingOrder="0"/>
    </xf>
    <xf borderId="1" fillId="4" fontId="8" numFmtId="1" xfId="0" applyAlignment="1" applyBorder="1" applyFill="1" applyFont="1" applyNumberFormat="1">
      <alignment horizontal="right" shrinkToFit="0" vertical="center" wrapText="1"/>
    </xf>
    <xf borderId="1" fillId="4" fontId="8" numFmtId="1" xfId="0" applyAlignment="1" applyBorder="1" applyFill="1" applyFont="1" applyNumberFormat="1">
      <alignment shrinkToFit="0" vertical="center" wrapText="1"/>
    </xf>
    <xf borderId="0" fillId="0" fontId="10" numFmtId="0" xfId="0" applyFont="1"/>
    <xf borderId="1" fillId="4" fontId="5" numFmtId="1" xfId="0" applyAlignment="1" applyBorder="1" applyFill="1" applyFont="1" applyNumberFormat="1">
      <alignment shrinkToFit="0" vertical="center" wrapText="1"/>
    </xf>
    <xf borderId="1" fillId="4" fontId="8" numFmtId="1" xfId="0" applyAlignment="1" applyBorder="1" applyFill="1" applyFont="1" applyNumberFormat="1">
      <alignment readingOrder="0" shrinkToFit="0" vertical="center" wrapText="1"/>
    </xf>
    <xf borderId="0" fillId="0" fontId="6" numFmtId="1" xfId="0" applyAlignment="1" applyFont="1" applyNumberFormat="1">
      <alignment horizontal="right" vertical="center"/>
    </xf>
    <xf borderId="0" fillId="0" fontId="2" numFmtId="165" xfId="0" applyAlignment="1" applyFont="1" applyNumberFormat="1">
      <alignment readingOrder="0" vertical="center"/>
    </xf>
    <xf borderId="0" fillId="0" fontId="5" numFmtId="1" xfId="0" applyAlignment="1" applyFont="1" applyNumberFormat="1">
      <alignment vertical="center"/>
    </xf>
    <xf borderId="0" fillId="0" fontId="8" numFmtId="1" xfId="0" applyAlignment="1" applyFont="1" applyNumberFormat="1">
      <alignment horizontal="right" vertical="center"/>
    </xf>
    <xf borderId="10" fillId="5" fontId="6" numFmtId="1" xfId="0" applyAlignment="1" applyBorder="1" applyFill="1" applyFont="1" applyNumberFormat="1">
      <alignment horizontal="right" vertical="center"/>
    </xf>
    <xf borderId="1" fillId="5" fontId="11" numFmtId="165" xfId="0" applyAlignment="1" applyBorder="1" applyFill="1" applyFont="1" applyNumberFormat="1">
      <alignment vertical="center"/>
    </xf>
    <xf borderId="0" fillId="0" fontId="4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2" xfId="0" applyAlignment="1" applyFont="1" applyNumberFormat="1">
      <alignment shrinkToFit="0" wrapText="1"/>
    </xf>
    <xf borderId="0" fillId="0" fontId="3" numFmtId="3" xfId="0" applyAlignment="1" applyFont="1" applyNumberFormat="1">
      <alignment readingOrder="0"/>
    </xf>
    <xf borderId="0" fillId="0" fontId="11" numFmtId="1" xfId="0" applyAlignment="1" applyFont="1" applyNumberFormat="1">
      <alignment horizontal="right" vertical="center"/>
    </xf>
    <xf borderId="0" fillId="0" fontId="2" numFmtId="1" xfId="0" applyAlignment="1" applyFont="1" applyNumberFormat="1">
      <alignment vertical="center"/>
    </xf>
    <xf borderId="10" fillId="5" fontId="11" numFmtId="1" xfId="0" applyAlignment="1" applyBorder="1" applyFill="1" applyFont="1" applyNumberFormat="1">
      <alignment horizontal="right" vertical="center"/>
    </xf>
    <xf borderId="0" fillId="0" fontId="3" numFmtId="10" xfId="0" applyFont="1" applyNumberFormat="1"/>
    <xf borderId="0" fillId="0" fontId="11" numFmtId="165" xfId="0" applyAlignment="1" applyFont="1" applyNumberFormat="1">
      <alignment vertical="center"/>
    </xf>
    <xf borderId="0" fillId="0" fontId="3" numFmtId="2" xfId="0" applyAlignment="1" applyFont="1" applyNumberFormat="1">
      <alignment readingOrder="0"/>
    </xf>
    <xf borderId="1" fillId="4" fontId="8" numFmtId="0" xfId="0" applyAlignment="1" applyBorder="1" applyFill="1" applyFont="1">
      <alignment horizontal="center" vertical="center"/>
    </xf>
    <xf borderId="1" fillId="4" fontId="8" numFmtId="1" xfId="0" applyAlignment="1" applyBorder="1" applyFill="1" applyFont="1" applyNumberFormat="1">
      <alignment horizontal="right" vertical="center"/>
    </xf>
    <xf borderId="1" fillId="4" fontId="8" numFmtId="1" xfId="0" applyAlignment="1" applyBorder="1" applyFill="1" applyFont="1" applyNumberFormat="1">
      <alignment vertical="center"/>
    </xf>
    <xf borderId="1" fillId="4" fontId="5" numFmtId="1" xfId="0" applyAlignment="1" applyBorder="1" applyFill="1" applyFont="1" applyNumberFormat="1">
      <alignment vertical="center"/>
    </xf>
    <xf borderId="1" fillId="4" fontId="8" numFmtId="1" xfId="0" applyAlignment="1" applyBorder="1" applyFill="1" applyFont="1" applyNumberFormat="1">
      <alignment readingOrder="0" vertical="center"/>
    </xf>
    <xf borderId="1" fillId="0" fontId="2" numFmtId="164" xfId="0" applyAlignment="1" applyBorder="1" applyFont="1" applyNumberFormat="1">
      <alignment readingOrder="0" vertical="center"/>
    </xf>
    <xf borderId="1" fillId="0" fontId="3" numFmtId="164" xfId="0" applyBorder="1" applyFont="1" applyNumberFormat="1"/>
    <xf borderId="0" fillId="0" fontId="2" numFmtId="1" xfId="0" applyAlignment="1" applyFont="1" applyNumberFormat="1">
      <alignment horizontal="left" vertical="center"/>
    </xf>
    <xf borderId="1" fillId="0" fontId="3" numFmtId="164" xfId="0" applyAlignment="1" applyBorder="1" applyFont="1" applyNumberFormat="1">
      <alignment readingOrder="0"/>
    </xf>
    <xf borderId="1" fillId="0" fontId="1" numFmtId="164" xfId="0" applyBorder="1" applyFont="1" applyNumberFormat="1"/>
    <xf borderId="0" fillId="0" fontId="2" numFmtId="0" xfId="0" applyAlignment="1" applyFont="1">
      <alignment horizontal="left" vertic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horizontal="center" vertical="center"/>
    </xf>
    <xf borderId="0" fillId="0" fontId="13" numFmtId="0" xfId="0" applyFont="1"/>
    <xf borderId="0" fillId="0" fontId="5" numFmtId="1" xfId="0" applyAlignment="1" applyFont="1" applyNumberFormat="1">
      <alignment horizontal="left" vertical="center"/>
    </xf>
    <xf borderId="5" fillId="0" fontId="6" numFmtId="1" xfId="0" applyAlignment="1" applyBorder="1" applyFont="1" applyNumberFormat="1">
      <alignment horizontal="right" vertical="center"/>
    </xf>
    <xf borderId="5" fillId="6" fontId="6" numFmtId="1" xfId="0" applyAlignment="1" applyBorder="1" applyFill="1" applyFont="1" applyNumberFormat="1">
      <alignment horizontal="right" vertical="center"/>
    </xf>
    <xf borderId="11" fillId="0" fontId="8" numFmtId="1" xfId="0" applyAlignment="1" applyBorder="1" applyFont="1" applyNumberFormat="1">
      <alignment horizontal="right" vertical="center"/>
    </xf>
    <xf borderId="11" fillId="0" fontId="2" numFmtId="0" xfId="0" applyAlignment="1" applyBorder="1" applyFont="1">
      <alignment vertical="center"/>
    </xf>
    <xf borderId="12" fillId="0" fontId="6" numFmtId="1" xfId="0" applyAlignment="1" applyBorder="1" applyFont="1" applyNumberFormat="1">
      <alignment horizontal="right" vertical="center"/>
    </xf>
    <xf borderId="12" fillId="0" fontId="11" numFmtId="165" xfId="0" applyAlignment="1" applyBorder="1" applyFont="1" applyNumberFormat="1">
      <alignment vertical="center"/>
    </xf>
    <xf borderId="1" fillId="4" fontId="9" numFmtId="1" xfId="0" applyAlignment="1" applyBorder="1" applyFill="1" applyFont="1" applyNumberFormat="1">
      <alignment vertical="center"/>
    </xf>
    <xf borderId="0" fillId="0" fontId="11" numFmtId="0" xfId="0" applyAlignment="1" applyFont="1">
      <alignment horizontal="right" vertical="center"/>
    </xf>
    <xf borderId="0" fillId="0" fontId="8" numFmtId="0" xfId="0" applyAlignment="1" applyFont="1">
      <alignment horizontal="center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right" readingOrder="0" vertical="center"/>
    </xf>
    <xf borderId="0" fillId="0" fontId="5" numFmtId="0" xfId="0" applyAlignment="1" applyFont="1">
      <alignment vertical="center"/>
    </xf>
    <xf borderId="0" fillId="0" fontId="1" numFmtId="2" xfId="0" applyAlignment="1" applyFont="1" applyNumberFormat="1">
      <alignment horizontal="center" readingOrder="0"/>
    </xf>
    <xf borderId="0" fillId="0" fontId="1" numFmtId="0" xfId="0" applyFont="1"/>
    <xf borderId="1" fillId="0" fontId="1" numFmtId="0" xfId="0" applyAlignment="1" applyBorder="1" applyFont="1">
      <alignment horizontal="center" readingOrder="0"/>
    </xf>
    <xf borderId="0" fillId="0" fontId="3" numFmtId="1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3" numFmtId="9" xfId="0" applyAlignment="1" applyBorder="1" applyFont="1" applyNumberFormat="1">
      <alignment readingOrder="0"/>
    </xf>
    <xf borderId="1" fillId="0" fontId="3" numFmtId="9" xfId="0" applyBorder="1" applyFont="1" applyNumberFormat="1"/>
    <xf borderId="0" fillId="0" fontId="1" numFmtId="0" xfId="0" applyAlignment="1" applyFont="1">
      <alignment readingOrder="0"/>
    </xf>
    <xf borderId="0" fillId="0" fontId="5" numFmtId="0" xfId="0" applyAlignment="1" applyFont="1">
      <alignment horizontal="center" vertical="center"/>
    </xf>
    <xf borderId="0" fillId="0" fontId="8" numFmtId="0" xfId="0" applyAlignment="1" applyFont="1">
      <alignment horizontal="left" readingOrder="0" vertical="center"/>
    </xf>
    <xf borderId="13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0" fillId="0" fontId="5" numFmtId="10" xfId="0" applyAlignment="1" applyFont="1" applyNumberFormat="1">
      <alignment horizontal="right" vertical="bottom"/>
    </xf>
    <xf borderId="0" fillId="0" fontId="8" numFmtId="1" xfId="0" applyAlignment="1" applyFont="1" applyNumberFormat="1">
      <alignment horizontal="center" vertical="center"/>
    </xf>
    <xf borderId="6" fillId="0" fontId="11" numFmtId="165" xfId="0" applyAlignment="1" applyBorder="1" applyFont="1" applyNumberFormat="1">
      <alignment vertical="center"/>
    </xf>
    <xf borderId="14" fillId="3" fontId="9" numFmtId="165" xfId="0" applyAlignment="1" applyBorder="1" applyFill="1" applyFont="1" applyNumberFormat="1">
      <alignment horizontal="center" vertical="center"/>
    </xf>
    <xf borderId="9" fillId="3" fontId="9" numFmtId="1" xfId="0" applyAlignment="1" applyBorder="1" applyFill="1" applyFont="1" applyNumberFormat="1">
      <alignment readingOrder="0" vertical="center"/>
    </xf>
    <xf borderId="5" fillId="4" fontId="5" numFmtId="1" xfId="0" applyAlignment="1" applyBorder="1" applyFill="1" applyFont="1" applyNumberFormat="1">
      <alignment vertical="center"/>
    </xf>
    <xf borderId="0" fillId="0" fontId="2" numFmtId="1" xfId="0" applyAlignment="1" applyFont="1" applyNumberFormat="1">
      <alignment horizontal="right" readingOrder="0" vertical="center"/>
    </xf>
    <xf borderId="0" fillId="0" fontId="2" numFmtId="1" xfId="0" applyAlignment="1" applyFont="1" applyNumberFormat="1">
      <alignment horizontal="left" readingOrder="0" vertical="center"/>
    </xf>
    <xf borderId="0" fillId="7" fontId="2" numFmtId="1" xfId="0" applyAlignment="1" applyFill="1" applyFont="1" applyNumberFormat="1">
      <alignment horizontal="left" vertical="center"/>
    </xf>
    <xf borderId="0" fillId="0" fontId="14" numFmtId="0" xfId="0" applyFont="1"/>
    <xf borderId="0" fillId="0" fontId="14" numFmtId="1" xfId="0" applyAlignment="1" applyFont="1" applyNumberFormat="1">
      <alignment horizontal="right"/>
    </xf>
    <xf borderId="0" fillId="0" fontId="14" numFmtId="1" xfId="0" applyFont="1" applyNumberFormat="1"/>
    <xf borderId="11" fillId="0" fontId="14" numFmtId="1" xfId="0" applyBorder="1" applyFont="1" applyNumberFormat="1"/>
    <xf borderId="11" fillId="0" fontId="14" numFmtId="165" xfId="0" applyBorder="1" applyFont="1" applyNumberFormat="1"/>
    <xf borderId="11" fillId="0" fontId="14" numFmtId="165" xfId="0" applyAlignment="1" applyBorder="1" applyFont="1" applyNumberFormat="1">
      <alignment horizontal="right"/>
    </xf>
    <xf borderId="0" fillId="2" fontId="14" numFmtId="10" xfId="0" applyAlignment="1" applyFill="1" applyFont="1" applyNumberFormat="1">
      <alignment vertical="bottom"/>
    </xf>
    <xf borderId="0" fillId="0" fontId="14" numFmtId="0" xfId="0" applyAlignment="1" applyFont="1">
      <alignment vertical="bottom"/>
    </xf>
    <xf borderId="0" fillId="8" fontId="14" numFmtId="0" xfId="0" applyAlignment="1" applyFill="1" applyFont="1">
      <alignment shrinkToFit="0" vertical="bottom" wrapText="0"/>
    </xf>
    <xf borderId="0" fillId="0" fontId="14" numFmtId="2" xfId="0" applyAlignment="1" applyFont="1" applyNumberFormat="1">
      <alignment vertical="bottom"/>
    </xf>
    <xf borderId="0" fillId="0" fontId="2" numFmtId="1" xfId="0" applyAlignment="1" applyFont="1" applyNumberFormat="1">
      <alignment readingOrder="0" vertical="center"/>
    </xf>
    <xf borderId="0" fillId="0" fontId="13" numFmtId="0" xfId="0" applyAlignment="1" applyFont="1">
      <alignment horizontal="center" vertical="center"/>
    </xf>
    <xf borderId="0" fillId="0" fontId="2" numFmtId="3" xfId="0" applyAlignment="1" applyFont="1" applyNumberFormat="1">
      <alignment horizontal="right" vertical="center"/>
    </xf>
    <xf borderId="0" fillId="0" fontId="14" numFmtId="165" xfId="0" applyAlignment="1" applyFont="1" applyNumberFormat="1">
      <alignment horizontal="right" readingOrder="0"/>
    </xf>
    <xf borderId="0" fillId="0" fontId="3" numFmtId="164" xfId="0" applyAlignment="1" applyFont="1" applyNumberFormat="1">
      <alignment readingOrder="0"/>
    </xf>
    <xf borderId="0" fillId="9" fontId="5" numFmtId="10" xfId="0" applyAlignment="1" applyFill="1" applyFont="1" applyNumberFormat="1">
      <alignment horizontal="right" vertical="bottom"/>
    </xf>
    <xf borderId="0" fillId="0" fontId="4" numFmtId="4" xfId="0" applyAlignment="1" applyFont="1" applyNumberFormat="1">
      <alignment vertical="center"/>
    </xf>
    <xf borderId="0" fillId="0" fontId="8" numFmtId="1" xfId="0" applyAlignment="1" applyFont="1" applyNumberFormat="1">
      <alignment horizontal="right" readingOrder="0" vertical="center"/>
    </xf>
    <xf borderId="0" fillId="0" fontId="6" numFmtId="165" xfId="0" applyAlignment="1" applyFont="1" applyNumberFormat="1">
      <alignment horizontal="right" vertical="center"/>
    </xf>
    <xf borderId="1" fillId="4" fontId="8" numFmtId="49" xfId="0" applyAlignment="1" applyBorder="1" applyFill="1" applyFont="1" applyNumberFormat="1">
      <alignment horizontal="center" vertical="center"/>
    </xf>
    <xf borderId="0" fillId="0" fontId="8" numFmtId="49" xfId="0" applyAlignment="1" applyFont="1" applyNumberFormat="1">
      <alignment horizontal="right" vertical="center"/>
    </xf>
    <xf borderId="2" fillId="3" fontId="6" numFmtId="0" xfId="0" applyAlignment="1" applyBorder="1" applyFill="1" applyFont="1">
      <alignment horizontal="center" shrinkToFit="0" vertical="center" wrapText="1"/>
    </xf>
    <xf borderId="4" fillId="3" fontId="8" numFmtId="0" xfId="0" applyAlignment="1" applyBorder="1" applyFill="1" applyFont="1">
      <alignment horizontal="center" shrinkToFit="0" vertical="center" wrapText="1"/>
    </xf>
    <xf borderId="15" fillId="3" fontId="6" numFmtId="1" xfId="0" applyAlignment="1" applyBorder="1" applyFill="1" applyFont="1" applyNumberFormat="1">
      <alignment horizontal="center" shrinkToFit="0" vertical="center" wrapText="1"/>
    </xf>
    <xf borderId="6" fillId="3" fontId="9" numFmtId="165" xfId="0" applyAlignment="1" applyBorder="1" applyFill="1" applyFont="1" applyNumberFormat="1">
      <alignment horizontal="center" shrinkToFit="0" vertical="center" wrapText="1"/>
    </xf>
    <xf borderId="6" fillId="3" fontId="6" numFmtId="1" xfId="0" applyAlignment="1" applyBorder="1" applyFill="1" applyFont="1" applyNumberFormat="1">
      <alignment horizontal="center" shrinkToFit="0" vertical="center" wrapText="1"/>
    </xf>
    <xf borderId="6" fillId="3" fontId="6" numFmtId="0" xfId="0" applyAlignment="1" applyBorder="1" applyFill="1" applyFont="1">
      <alignment horizontal="center" shrinkToFit="0" vertical="center" wrapText="1"/>
    </xf>
    <xf borderId="14" fillId="0" fontId="7" numFmtId="0" xfId="0" applyBorder="1" applyFont="1"/>
    <xf borderId="16" fillId="3" fontId="6" numFmtId="1" xfId="0" applyAlignment="1" applyBorder="1" applyFill="1" applyFont="1" applyNumberFormat="1">
      <alignment horizontal="center" shrinkToFit="0" vertical="center" wrapText="1"/>
    </xf>
    <xf borderId="17" fillId="3" fontId="9" numFmtId="1" xfId="0" applyAlignment="1" applyBorder="1" applyFill="1" applyFont="1" applyNumberFormat="1">
      <alignment shrinkToFit="0" vertical="center" wrapText="1"/>
    </xf>
    <xf borderId="17" fillId="3" fontId="9" numFmtId="1" xfId="0" applyAlignment="1" applyBorder="1" applyFill="1" applyFont="1" applyNumberFormat="1">
      <alignment readingOrder="0" shrinkToFit="0" vertical="center" wrapText="1"/>
    </xf>
    <xf borderId="18" fillId="4" fontId="8" numFmtId="0" xfId="0" applyAlignment="1" applyBorder="1" applyFill="1" applyFont="1">
      <alignment horizontal="center" shrinkToFit="0" vertical="center" wrapText="1"/>
    </xf>
    <xf borderId="18" fillId="4" fontId="8" numFmtId="1" xfId="0" applyAlignment="1" applyBorder="1" applyFill="1" applyFont="1" applyNumberFormat="1">
      <alignment horizontal="right" shrinkToFit="0" vertical="center" wrapText="1"/>
    </xf>
    <xf borderId="18" fillId="4" fontId="8" numFmtId="1" xfId="0" applyAlignment="1" applyBorder="1" applyFill="1" applyFont="1" applyNumberFormat="1">
      <alignment vertical="center"/>
    </xf>
    <xf borderId="5" fillId="4" fontId="5" numFmtId="1" xfId="0" applyAlignment="1" applyBorder="1" applyFill="1" applyFont="1" applyNumberFormat="1">
      <alignment shrinkToFit="0" vertical="center" wrapText="1"/>
    </xf>
    <xf borderId="18" fillId="4" fontId="8" numFmtId="1" xfId="0" applyAlignment="1" applyBorder="1" applyFill="1" applyFont="1" applyNumberFormat="1">
      <alignment shrinkToFit="0" vertical="center" wrapText="1"/>
    </xf>
    <xf borderId="18" fillId="4" fontId="8" numFmtId="1" xfId="0" applyAlignment="1" applyBorder="1" applyFill="1" applyFont="1" applyNumberForma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2" numFmtId="0" xfId="0" applyAlignment="1" applyFont="1">
      <alignment shrinkToFit="0" vertical="center" wrapText="1"/>
    </xf>
    <xf borderId="0" fillId="0" fontId="5" numFmtId="1" xfId="0" applyAlignment="1" applyFont="1" applyNumberFormat="1">
      <alignment horizontal="left" shrinkToFit="0" vertical="center" wrapText="1"/>
    </xf>
    <xf borderId="0" fillId="0" fontId="2" numFmtId="165" xfId="0" applyAlignment="1" applyFont="1" applyNumberFormat="1">
      <alignment shrinkToFit="0" vertical="center" wrapText="1"/>
    </xf>
    <xf borderId="0" fillId="0" fontId="2" numFmtId="165" xfId="0" applyAlignment="1" applyFont="1" applyNumberFormat="1">
      <alignment readingOrder="0" shrinkToFit="0" vertical="center" wrapText="1"/>
    </xf>
    <xf borderId="0" fillId="0" fontId="8" numFmtId="1" xfId="0" applyAlignment="1" applyFont="1" applyNumberFormat="1">
      <alignment horizontal="right" shrinkToFit="0" vertical="center" wrapText="1"/>
    </xf>
    <xf borderId="10" fillId="5" fontId="6" numFmtId="1" xfId="0" applyAlignment="1" applyBorder="1" applyFill="1" applyFont="1" applyNumberFormat="1">
      <alignment horizontal="right" shrinkToFit="0" vertical="center" wrapText="1"/>
    </xf>
    <xf borderId="1" fillId="5" fontId="11" numFmtId="165" xfId="0" applyAlignment="1" applyBorder="1" applyFill="1" applyFont="1" applyNumberForma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6" numFmtId="1" xfId="0" applyAlignment="1" applyFont="1" applyNumberFormat="1">
      <alignment horizontal="right" shrinkToFit="0" vertical="center" wrapText="1"/>
    </xf>
    <xf borderId="0" fillId="0" fontId="11" numFmtId="1" xfId="0" applyAlignment="1" applyFont="1" applyNumberFormat="1">
      <alignment horizontal="right" shrinkToFit="0" vertical="center" wrapText="1"/>
    </xf>
    <xf borderId="0" fillId="0" fontId="2" numFmtId="1" xfId="0" applyAlignment="1" applyFont="1" applyNumberFormat="1">
      <alignment shrinkToFit="0" vertical="center" wrapText="1"/>
    </xf>
    <xf borderId="0" fillId="0" fontId="5" numFmtId="1" xfId="0" applyAlignment="1" applyFont="1" applyNumberFormat="1">
      <alignment shrinkToFit="0" vertical="center" wrapText="1"/>
    </xf>
    <xf borderId="0" fillId="0" fontId="11" numFmtId="165" xfId="0" applyAlignment="1" applyFont="1" applyNumberFormat="1">
      <alignment shrinkToFit="0" vertical="center" wrapText="1"/>
    </xf>
    <xf borderId="0" fillId="0" fontId="2" numFmtId="1" xfId="0" applyAlignment="1" applyFont="1" applyNumberFormat="1">
      <alignment horizontal="right" shrinkToFit="0" vertical="center" wrapText="1"/>
    </xf>
    <xf borderId="0" fillId="0" fontId="2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1" fillId="5" fontId="11" numFmtId="165" xfId="0" applyAlignment="1" applyBorder="1" applyFill="1" applyFont="1" applyNumberFormat="1">
      <alignment readingOrder="0" shrinkToFit="0" vertical="center" wrapText="1"/>
    </xf>
    <xf borderId="0" fillId="0" fontId="8" numFmtId="1" xfId="0" applyAlignment="1" applyFont="1" applyNumberFormat="1">
      <alignment horizontal="right" readingOrder="0" shrinkToFit="0" vertical="center" wrapText="1"/>
    </xf>
    <xf borderId="5" fillId="6" fontId="6" numFmtId="1" xfId="0" applyAlignment="1" applyBorder="1" applyFill="1" applyFont="1" applyNumberFormat="1">
      <alignment horizontal="right" shrinkToFit="0" vertical="center" wrapText="1"/>
    </xf>
    <xf borderId="1" fillId="4" fontId="8" numFmtId="1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165" xfId="0" applyAlignment="1" applyFont="1" applyNumberFormat="1">
      <alignment horizontal="right" vertical="center"/>
    </xf>
    <xf borderId="6" fillId="0" fontId="11" numFmtId="165" xfId="0" applyAlignment="1" applyBorder="1" applyFont="1" applyNumberFormat="1">
      <alignment readingOrder="0" vertical="center"/>
    </xf>
    <xf borderId="1" fillId="5" fontId="11" numFmtId="165" xfId="0" applyAlignment="1" applyBorder="1" applyFill="1" applyFont="1" applyNumberFormat="1">
      <alignment readingOrder="0" vertical="center"/>
    </xf>
    <xf borderId="19" fillId="0" fontId="14" numFmtId="0" xfId="0" applyBorder="1" applyFont="1"/>
    <xf borderId="13" fillId="10" fontId="8" numFmtId="0" xfId="0" applyAlignment="1" applyBorder="1" applyFill="1" applyFont="1">
      <alignment horizontal="center" readingOrder="0"/>
    </xf>
    <xf borderId="13" fillId="10" fontId="14" numFmtId="1" xfId="0" applyBorder="1" applyFill="1" applyFont="1" applyNumberFormat="1"/>
    <xf borderId="13" fillId="10" fontId="8" numFmtId="1" xfId="0" applyAlignment="1" applyBorder="1" applyFill="1" applyFont="1" applyNumberFormat="1">
      <alignment readingOrder="0"/>
    </xf>
    <xf borderId="13" fillId="10" fontId="8" numFmtId="1" xfId="0" applyAlignment="1" applyBorder="1" applyFill="1" applyFont="1" applyNumberFormat="1">
      <alignment horizontal="right"/>
    </xf>
    <xf borderId="20" fillId="10" fontId="8" numFmtId="1" xfId="0" applyAlignment="1" applyBorder="1" applyFill="1" applyFont="1" applyNumberFormat="1">
      <alignment horizontal="right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21" fillId="0" fontId="14" numFmtId="165" xfId="0" applyAlignment="1" applyBorder="1" applyFont="1" applyNumberFormat="1">
      <alignment horizontal="right"/>
    </xf>
    <xf borderId="22" fillId="0" fontId="15" numFmtId="165" xfId="0" applyAlignment="1" applyBorder="1" applyFont="1" applyNumberFormat="1">
      <alignment horizontal="right"/>
    </xf>
    <xf borderId="0" fillId="0" fontId="8" numFmtId="1" xfId="0" applyAlignment="1" applyFont="1" applyNumberFormat="1">
      <alignment horizontal="right" readingOrder="0" shrinkToFit="0" wrapText="1"/>
    </xf>
    <xf borderId="23" fillId="5" fontId="14" numFmtId="165" xfId="0" applyBorder="1" applyFill="1" applyFont="1" applyNumberFormat="1"/>
    <xf borderId="23" fillId="5" fontId="15" numFmtId="165" xfId="0" applyAlignment="1" applyBorder="1" applyFill="1" applyFont="1" applyNumberFormat="1">
      <alignment horizontal="right"/>
    </xf>
    <xf borderId="1" fillId="4" fontId="8" numFmtId="0" xfId="0" applyAlignment="1" applyBorder="1" applyFill="1" applyFont="1">
      <alignment horizontal="center" readingOrder="0" vertical="center"/>
    </xf>
    <xf borderId="1" fillId="4" fontId="8" numFmtId="1" xfId="0" applyAlignment="1" applyBorder="1" applyFill="1" applyFont="1" applyNumberFormat="1">
      <alignment horizontal="left" readingOrder="0" vertical="center"/>
    </xf>
    <xf borderId="0" fillId="0" fontId="4" numFmtId="0" xfId="0" applyAlignment="1" applyFont="1">
      <alignment horizontal="center" readingOrder="0" vertical="center"/>
    </xf>
    <xf borderId="0" fillId="0" fontId="3" numFmtId="165" xfId="0" applyAlignment="1" applyFont="1" applyNumberFormat="1">
      <alignment readingOrder="0"/>
    </xf>
    <xf borderId="0" fillId="0" fontId="8" numFmtId="0" xfId="0" applyAlignment="1" applyFont="1">
      <alignment horizontal="right" readingOrder="0" shrinkToFit="0" vertical="center" wrapText="1"/>
    </xf>
    <xf borderId="0" fillId="6" fontId="5" numFmtId="10" xfId="0" applyAlignment="1" applyFill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8" numFmtId="0" xfId="0" applyAlignment="1" applyFont="1">
      <alignment horizontal="right" readingOrder="0" shrinkToFit="0" wrapText="1"/>
    </xf>
    <xf borderId="0" fillId="0" fontId="14" numFmtId="165" xfId="0" applyFont="1" applyNumberFormat="1"/>
    <xf borderId="0" fillId="0" fontId="15" numFmtId="165" xfId="0" applyAlignment="1" applyFont="1" applyNumberFormat="1">
      <alignment horizontal="right"/>
    </xf>
    <xf borderId="19" fillId="0" fontId="14" numFmtId="0" xfId="0" applyAlignment="1" applyBorder="1" applyFont="1">
      <alignment vertical="bottom"/>
    </xf>
    <xf borderId="13" fillId="10" fontId="8" numFmtId="0" xfId="0" applyAlignment="1" applyBorder="1" applyFill="1" applyFont="1">
      <alignment horizontal="center" readingOrder="0" vertical="bottom"/>
    </xf>
    <xf borderId="13" fillId="10" fontId="14" numFmtId="1" xfId="0" applyAlignment="1" applyBorder="1" applyFill="1" applyFont="1" applyNumberFormat="1">
      <alignment vertical="bottom"/>
    </xf>
    <xf borderId="13" fillId="10" fontId="8" numFmtId="1" xfId="0" applyAlignment="1" applyBorder="1" applyFill="1" applyFont="1" applyNumberFormat="1">
      <alignment readingOrder="0" vertical="bottom"/>
    </xf>
    <xf borderId="13" fillId="10" fontId="8" numFmtId="1" xfId="0" applyAlignment="1" applyBorder="1" applyFill="1" applyFont="1" applyNumberFormat="1">
      <alignment horizontal="right" vertical="bottom"/>
    </xf>
    <xf borderId="20" fillId="10" fontId="8" numFmtId="1" xfId="0" applyAlignment="1" applyBorder="1" applyFill="1" applyFont="1" applyNumberFormat="1">
      <alignment horizontal="right" vertical="bottom"/>
    </xf>
    <xf borderId="0" fillId="6" fontId="14" numFmtId="10" xfId="0" applyAlignment="1" applyFill="1" applyFont="1" applyNumberFormat="1">
      <alignment vertical="bottom"/>
    </xf>
    <xf borderId="0" fillId="0" fontId="14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14" numFmtId="0" xfId="0" applyAlignment="1" applyFont="1">
      <alignment readingOrder="0" vertical="bottom"/>
    </xf>
    <xf borderId="11" fillId="0" fontId="14" numFmtId="165" xfId="0" applyAlignment="1" applyBorder="1" applyFont="1" applyNumberFormat="1">
      <alignment vertical="bottom"/>
    </xf>
    <xf borderId="21" fillId="0" fontId="14" numFmtId="165" xfId="0" applyAlignment="1" applyBorder="1" applyFont="1" applyNumberFormat="1">
      <alignment horizontal="right" vertical="bottom"/>
    </xf>
    <xf borderId="0" fillId="0" fontId="8" numFmtId="0" xfId="0" applyAlignment="1" applyFont="1">
      <alignment horizontal="right" readingOrder="0" shrinkToFit="0" vertical="bottom" wrapText="1"/>
    </xf>
    <xf borderId="23" fillId="5" fontId="14" numFmtId="165" xfId="0" applyAlignment="1" applyBorder="1" applyFill="1" applyFont="1" applyNumberFormat="1">
      <alignment vertical="bottom"/>
    </xf>
    <xf borderId="23" fillId="5" fontId="15" numFmtId="165" xfId="0" applyAlignment="1" applyBorder="1" applyFill="1" applyFont="1" applyNumberFormat="1">
      <alignment horizontal="right" vertical="bottom"/>
    </xf>
    <xf borderId="24" fillId="10" fontId="14" numFmtId="1" xfId="0" applyAlignment="1" applyBorder="1" applyFill="1" applyFont="1" applyNumberFormat="1">
      <alignment vertical="bottom"/>
    </xf>
    <xf borderId="24" fillId="10" fontId="8" numFmtId="1" xfId="0" applyAlignment="1" applyBorder="1" applyFill="1" applyFont="1" applyNumberFormat="1">
      <alignment horizontal="right" vertical="bottom"/>
    </xf>
    <xf borderId="25" fillId="0" fontId="14" numFmtId="0" xfId="0" applyAlignment="1" applyBorder="1" applyFont="1">
      <alignment vertical="bottom"/>
    </xf>
    <xf borderId="25" fillId="0" fontId="4" numFmtId="0" xfId="0" applyAlignment="1" applyBorder="1" applyFont="1">
      <alignment horizontal="center" vertical="bottom"/>
    </xf>
    <xf borderId="0" fillId="0" fontId="14" numFmtId="165" xfId="0" applyAlignment="1" applyFont="1" applyNumberFormat="1">
      <alignment vertical="bottom"/>
    </xf>
    <xf borderId="0" fillId="0" fontId="14" numFmtId="165" xfId="0" applyAlignment="1" applyFont="1" applyNumberFormat="1">
      <alignment horizontal="right" vertical="bottom"/>
    </xf>
    <xf borderId="0" fillId="0" fontId="15" numFmtId="165" xfId="0" applyAlignment="1" applyFont="1" applyNumberFormat="1">
      <alignment horizontal="right" vertical="bottom"/>
    </xf>
    <xf borderId="0" fillId="0" fontId="4" numFmtId="0" xfId="0" applyAlignment="1" applyFont="1">
      <alignment horizontal="center" vertical="bottom"/>
    </xf>
    <xf borderId="0" fillId="0" fontId="14" numFmtId="165" xfId="0" applyAlignment="1" applyFont="1" applyNumberFormat="1">
      <alignment horizontal="right" readingOrder="0" vertical="bottom"/>
    </xf>
    <xf borderId="11" fillId="0" fontId="14" numFmtId="165" xfId="0" applyAlignment="1" applyBorder="1" applyFont="1" applyNumberFormat="1">
      <alignment horizontal="right" vertical="bottom"/>
    </xf>
    <xf borderId="11" fillId="0" fontId="15" numFmtId="165" xfId="0" applyAlignment="1" applyBorder="1" applyFont="1" applyNumberFormat="1">
      <alignment horizontal="right" vertical="bottom"/>
    </xf>
    <xf borderId="0" fillId="0" fontId="8" numFmtId="0" xfId="0" applyAlignment="1" applyFont="1">
      <alignment horizontal="right" shrinkToFit="0" vertical="bottom" wrapText="1"/>
    </xf>
    <xf borderId="0" fillId="0" fontId="11" numFmtId="165" xfId="0" applyAlignment="1" applyFont="1" applyNumberFormat="1">
      <alignment readingOrder="0" vertical="center"/>
    </xf>
    <xf borderId="23" fillId="5" fontId="15" numFmtId="165" xfId="0" applyAlignment="1" applyBorder="1" applyFill="1" applyFont="1" applyNumberFormat="1">
      <alignment horizontal="right" readingOrder="0" vertical="bottom"/>
    </xf>
    <xf borderId="1" fillId="4" fontId="8" numFmtId="1" xfId="0" applyAlignment="1" applyBorder="1" applyFill="1" applyFont="1" applyNumberFormat="1">
      <alignment horizontal="left" vertical="center"/>
    </xf>
    <xf borderId="1" fillId="4" fontId="8" numFmtId="1" xfId="0" applyAlignment="1" applyBorder="1" applyFill="1" applyFont="1" applyNumberFormat="1">
      <alignment horizontal="left" shrinkToFit="0" vertical="center" wrapText="1"/>
    </xf>
    <xf borderId="5" fillId="4" fontId="5" numFmtId="1" xfId="0" applyAlignment="1" applyBorder="1" applyFill="1" applyFont="1" applyNumberFormat="1">
      <alignment horizontal="left" vertical="center"/>
    </xf>
    <xf borderId="2" fillId="3" fontId="6" numFmtId="0" xfId="0" applyAlignment="1" applyBorder="1" applyFill="1" applyFont="1">
      <alignment horizontal="center"/>
    </xf>
    <xf borderId="15" fillId="3" fontId="6" numFmtId="1" xfId="0" applyAlignment="1" applyBorder="1" applyFill="1" applyFont="1" applyNumberFormat="1">
      <alignment horizontal="center"/>
    </xf>
    <xf borderId="6" fillId="3" fontId="9" numFmtId="165" xfId="0" applyAlignment="1" applyBorder="1" applyFill="1" applyFont="1" applyNumberFormat="1">
      <alignment horizontal="center"/>
    </xf>
    <xf borderId="6" fillId="3" fontId="6" numFmtId="1" xfId="0" applyAlignment="1" applyBorder="1" applyFill="1" applyFont="1" applyNumberFormat="1">
      <alignment horizontal="center"/>
    </xf>
    <xf borderId="6" fillId="3" fontId="6" numFmtId="0" xfId="0" applyAlignment="1" applyBorder="1" applyFill="1" applyFont="1">
      <alignment horizontal="right"/>
    </xf>
    <xf borderId="16" fillId="3" fontId="6" numFmtId="1" xfId="0" applyAlignment="1" applyBorder="1" applyFill="1" applyFont="1" applyNumberFormat="1">
      <alignment horizontal="center"/>
    </xf>
    <xf borderId="17" fillId="3" fontId="9" numFmtId="1" xfId="0" applyBorder="1" applyFill="1" applyFont="1" applyNumberFormat="1"/>
    <xf borderId="17" fillId="3" fontId="9" numFmtId="1" xfId="0" applyAlignment="1" applyBorder="1" applyFill="1" applyFont="1" applyNumberFormat="1">
      <alignment readingOrder="0"/>
    </xf>
    <xf borderId="18" fillId="4" fontId="8" numFmtId="0" xfId="0" applyAlignment="1" applyBorder="1" applyFill="1" applyFont="1">
      <alignment horizontal="center"/>
    </xf>
    <xf borderId="18" fillId="4" fontId="8" numFmtId="1" xfId="0" applyAlignment="1" applyBorder="1" applyFill="1" applyFont="1" applyNumberFormat="1">
      <alignment horizontal="right"/>
    </xf>
    <xf borderId="18" fillId="4" fontId="8" numFmtId="1" xfId="0" applyBorder="1" applyFill="1" applyFont="1" applyNumberFormat="1"/>
    <xf borderId="5" fillId="4" fontId="5" numFmtId="1" xfId="0" applyBorder="1" applyFill="1" applyFont="1" applyNumberFormat="1"/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5" numFmtId="1" xfId="0" applyFont="1" applyNumberFormat="1"/>
    <xf borderId="0" fillId="0" fontId="2" numFmtId="165" xfId="0" applyFont="1" applyNumberFormat="1"/>
    <xf borderId="0" fillId="0" fontId="8" numFmtId="1" xfId="0" applyAlignment="1" applyFont="1" applyNumberFormat="1">
      <alignment horizontal="right"/>
    </xf>
    <xf borderId="10" fillId="5" fontId="6" numFmtId="1" xfId="0" applyAlignment="1" applyBorder="1" applyFill="1" applyFont="1" applyNumberFormat="1">
      <alignment horizontal="right"/>
    </xf>
    <xf borderId="1" fillId="4" fontId="8" numFmtId="49" xfId="0" applyAlignment="1" applyBorder="1" applyFill="1" applyFont="1" applyNumberFormat="1">
      <alignment horizontal="center"/>
    </xf>
    <xf borderId="1" fillId="4" fontId="8" numFmtId="1" xfId="0" applyAlignment="1" applyBorder="1" applyFill="1" applyFont="1" applyNumberFormat="1">
      <alignment horizontal="right"/>
    </xf>
    <xf borderId="1" fillId="4" fontId="8" numFmtId="1" xfId="0" applyBorder="1" applyFill="1" applyFont="1" applyNumberFormat="1"/>
    <xf borderId="0" fillId="0" fontId="5" numFmtId="1" xfId="0" applyAlignment="1" applyFont="1" applyNumberFormat="1">
      <alignment horizontal="left"/>
    </xf>
    <xf borderId="0" fillId="0" fontId="8" numFmtId="49" xfId="0" applyAlignment="1" applyFont="1" applyNumberFormat="1">
      <alignment horizontal="right"/>
    </xf>
    <xf borderId="0" fillId="0" fontId="16" numFmtId="0" xfId="0" applyAlignment="1" applyFont="1">
      <alignment horizontal="right" vertical="center"/>
    </xf>
    <xf borderId="6" fillId="0" fontId="9" numFmtId="165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>
  <Task id="{6e286aa9-96e1-4304-806e-aba2d513cf1f}">
    <Anchor>
      <Comment id="{3695169f-4611-4558-9d13-588e5e1021ce}"/>
    </Anchor>
    <History>
      <Event time="2023-10-24T17:10:50.00" id="{0311bd8a-115b-4551-a9e4-73ab00972ebb}">
        <Attribution userId="placeholder@email.com" userName="Guillermo López" userProvider="google-sheets"/>
        <Anchor>
          <Comment id="{3695169f-4611-4558-9d13-588e5e1021ce}"/>
        </Anchor>
        <Create/>
      </Event>
      <Event time="2023-10-24T17:10:50.00" id="{6f49310c-6eb4-43bc-b073-e4a659d62184}">
        <Attribution userId="placeholder@email.com" userName="Guillermo López" userProvider="google-sheets"/>
        <Anchor>
          <Comment id="{3695169f-4611-4558-9d13-588e5e1021ce}"/>
        </Anchor>
        <Assign userId="juanma@sentiraranda.es" userName="juanma@sentiraranda.es" userProvider="google-sheets"/>
      </Event>
    </History>
  </Task>
  <Task id="{ec0ff73f-23c9-4352-8b5b-d31dea74c754}">
    <Anchor>
      <Comment id="{b7deea3e-47e9-402b-ac0d-13d29faf9bf7}"/>
    </Anchor>
    <History>
      <Event time="2023-10-22T17:00:50.00" id="{bc3178f2-db91-49b5-8f47-658f12ba5434}">
        <Attribution userId="placeholder@email.com" userName="Guillermo López" userProvider="google-sheets"/>
        <Anchor>
          <Comment id="{b7deea3e-47e9-402b-ac0d-13d29faf9bf7}"/>
        </Anchor>
        <Create/>
      </Event>
      <Event time="2023-10-22T17:00:50.00" id="{1e8bda96-42b9-4b49-a093-3cb873c088f1}">
        <Attribution userId="placeholder@email.com" userName="Guillermo López" userProvider="google-sheets"/>
        <Anchor>
          <Comment id="{b7deea3e-47e9-402b-ac0d-13d29faf9bf7}"/>
        </Anchor>
        <Assign userId="juanma@sentiraranda.es" userName="juanma@sentiraranda.es" userProvider="google-sheets"/>
      </Event>
    </History>
  </Task>
  <Task id="{7aa4d11b-c991-41e4-8e61-1640dd14d5ef}">
    <Anchor>
      <Comment id="{cbab91aa-ab62-4232-b39a-1ce3c9f1c8b5}"/>
    </Anchor>
    <History>
      <Event time="2023-10-25T17:26:19.00" id="{5e928c2d-501d-4e32-9522-fc125f8e5fcc}">
        <Attribution userId="placeholder@email.com" userName="Guillermo López" userProvider="google-sheets"/>
        <Anchor>
          <Comment id="{cbab91aa-ab62-4232-b39a-1ce3c9f1c8b5}"/>
        </Anchor>
        <Create/>
      </Event>
      <Event time="2023-10-25T17:26:19.00" id="{435da57a-939b-4530-8fb5-b47766fc755e}">
        <Attribution userId="placeholder@email.com" userName="Guillermo López" userProvider="google-sheets"/>
        <Anchor>
          <Comment id="{cbab91aa-ab62-4232-b39a-1ce3c9f1c8b5}"/>
        </Anchor>
        <Assign userId="belen@sentiraranda.es" userName="belen@sentiraranda.es" userProvider="google-sheets"/>
      </Event>
    </History>
  </Task>
  <Task id="{1c8338a7-ca24-471e-a7d7-eba29b9ead68}">
    <Anchor>
      <Comment id="{11d3e40d-a5ac-44f7-8907-522da7d5fdb2}"/>
    </Anchor>
    <History>
      <Event time="2023-12-11T18:12:59.00" id="{dfe54398-b9aa-4945-948a-1d2c608f78b2}">
        <Attribution userId="placeholder@email.com" userName="Guillermo López" userProvider="google-sheets"/>
        <Anchor>
          <Comment id="{11d3e40d-a5ac-44f7-8907-522da7d5fdb2}"/>
        </Anchor>
        <Create/>
      </Event>
      <Event time="2023-12-11T18:12:59.00" id="{348ccdad-d2d7-4d02-a5ad-c0c58419f72e}">
        <Attribution userId="placeholder@email.com" userName="Guillermo López" userProvider="google-sheets"/>
        <Anchor>
          <Comment id="{11d3e40d-a5ac-44f7-8907-522da7d5fdb2}"/>
        </Anchor>
        <Assign userId="juanma@sentiraranda.es" userName="juanma@sentiraranda.es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Criado" id="{54910ae8-7b53-48a6-8440-996d1aefe52a}" providerId="google-sheets"/>
  <x18tc:person displayName="Guillermo López" id="{9efe5076-e426-4348-8ac3-1de58e431696}" providerId="google-sheets"/>
  <x18tc:person displayName="juanma@sentiraranda.es" id="{8da6be4f-b062-49bb-a5da-a461d622511b}" userId="juanma@sentiraranda.es" providerId="google-sheets"/>
  <x18tc:person displayName="Elia" id="{0e431308-d4e6-406f-9652-711b10c2ab41}" providerId="google-sheets"/>
  <x18tc:person displayName="Belén Esteban" id="{2e5a94e0-7dc3-46b6-b339-e13ec7a56936}" providerId="google-sheets"/>
  <x18tc:person displayName="Juanma Martín" id="{3cbcc3c9-b2fe-4f72-9027-6941d919184b}" providerId="google-sheets"/>
  <x18tc:person displayName="belen@sentiraranda.es" id="{8ef15892-3eee-45e7-adec-0025e29bcffd}" userId="belen@sentiraranda.es" providerId="google-sheets"/>
  <x18tc:person displayName="antonio@sentiraranda.es" id="{9e74e78d-761e-44cf-a7d8-fb480559324d}" userId="antonio@sentiraranda.es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3-10-31T18:50:29.00" personId="{9efe5076-e426-4348-8ac3-1de58e431696}" id="{4b46209e-3e32-4913-b14c-62d25b9c8e49}" done="0">
    <x18tc:text xml:space="preserve">RRSS</x18tc:text>
  </x18tc:threadedComment>
  <x18tc:threadedComment ref="A1" dT="2023-10-24T17:10:06.00" personId="{9efe5076-e426-4348-8ac3-1de58e431696}" id="{18f3a602-1e19-4c84-a515-d145aba4fe33}" done="1">
    <x18tc:text xml:space="preserve">cross de la constitución</x18tc:text>
  </x18tc:threadedComment>
  <x18tc:threadedComment ref="A1" dT="2023-11-26T15:42:42.00" personId="{9efe5076-e426-4348-8ac3-1de58e431696}" id="{363527ac-b37d-4057-b389-bb4227aaa024}" parentId="{18f3a602-1e19-4c84-a515-d145aba4fe33}">
    <x18tc:text xml:space="preserve">subido</x18tc:text>
  </x18tc:threadedComment>
  <x18tc:threadedComment ref="A1" dT="2023-10-24T17:10:50.00" personId="{9efe5076-e426-4348-8ac3-1de58e431696}" id="{3695169f-4611-4558-9d13-588e5e1021ce}" done="1">
    <x18tc:text xml:space="preserve">@juanma@sentiraranda.es vamos a hacer alguna feria? Si no, nos cepillamos esto
Asignado a juanma@sentiraranda.es</x18tc:text>
    <x18tc:mentions>
      <x18tc:mention mentionpersonId="{8da6be4f-b062-49bb-a5da-a461d622511b}" mentionId="{1d3b0562-5ad6-4c48-9e53-4dfe4c90c411}" startIndex="0" length="23"/>
    </x18tc:mentions>
  </x18tc:threadedComment>
  <x18tc:threadedComment ref="A1" dT="2023-10-24T21:24:35.00" personId="{3cbcc3c9-b2fe-4f72-9027-6941d919184b}" id="{e0f89e6b-8584-49c2-8bd2-fc900655165c}" parentId="{3695169f-4611-4558-9d13-588e5e1021ce}">
    <x18tc:text xml:space="preserve">Voy a intentar la feria de FP, la de coches, Envero y sobre todo Fiduero. Con Gastroduero no prometo nada aunque me gustaria</x18tc:text>
  </x18tc:threadedComment>
  <x18tc:threadedComment ref="A1" dT="2023-10-24T17:12:00.00" personId="{9efe5076-e426-4348-8ac3-1de58e431696}" id="{d658e615-9cd4-4abd-99c0-a1d7846e5b06}" done="1">
    <x18tc:text xml:space="preserve">-62400 si al final hay concejales liberados</x18tc:text>
  </x18tc:threadedComment>
  <x18tc:threadedComment ref="A1" dT="2023-10-18T23:58:31.00" personId="{9efe5076-e426-4348-8ac3-1de58e431696}" id="{20102d0a-3b4a-48e6-9e52-551f6d3b5cd5}" done="0">
    <x18tc:text xml:space="preserve">Microsoft 365</x18tc:text>
  </x18tc:threadedComment>
  <x18tc:threadedComment ref="A1" dT="2023-10-21T14:48:53.00" personId="{9efe5076-e426-4348-8ac3-1de58e431696}" id="{a64f05ab-b637-4114-8694-33442b14e00d}" done="1">
    <x18tc:text xml:space="preserve">Sonorama</x18tc:text>
  </x18tc:threadedComment>
  <x18tc:threadedComment ref="A1" dT="2023-10-23T07:13:17.00" personId="{9efe5076-e426-4348-8ac3-1de58e431696}" id="{026307b8-149a-4386-a951-70b9b97e3b2d}" done="0">
    <x18tc:text xml:space="preserve">Revisar la suma del anexo 3 y 4</x18tc:text>
  </x18tc:threadedComment>
  <x18tc:threadedComment ref="A1" dT="2023-10-21T11:28:57.00" personId="{9efe5076-e426-4348-8ac3-1de58e431696}" id="{1698b6ab-928c-4757-a1df-e3ed7ad76f2a}" done="0">
    <x18tc:text xml:space="preserve">Mantenimiento Escala ROSENBAUER
Mantenimiento Brazo INCIPRESA
Mantenimiento equipos de Salvamento HOLMATRO
Mantenimiento Máscaras, Espalderas y Compresor 
Manteminiento Bombonas Aire Comprimido
Mantenimiento Chaquetón y Cubrepantalón Incendios confinados</x18tc:text>
  </x18tc:threadedComment>
  <x18tc:threadedComment ref="A1" dT="2023-10-22T22:49:09.00" personId="{9efe5076-e426-4348-8ac3-1de58e431696}" id="{f35e0596-a737-4853-a5f2-b1fa86aa95ae}" done="0">
    <x18tc:text xml:space="preserve">María José</x18tc:text>
  </x18tc:threadedComment>
  <x18tc:threadedComment ref="A1" dT="2023-10-22T23:24:51.00" personId="{9efe5076-e426-4348-8ac3-1de58e431696}" id="{ec440463-91d4-4b9d-9242-99293c9b6659}" done="1">
    <x18tc:text xml:space="preserve">Sonorama, Arandina y Villa de Aranda</x18tc:text>
  </x18tc:threadedComment>
  <x18tc:threadedComment ref="A1" dT="2023-10-24T17:11:03.00" personId="{9efe5076-e426-4348-8ac3-1de58e431696}" id="{f4738edf-dd8e-4f04-8b15-a305cf6d6738}" parentId="{ec440463-91d4-4b9d-9242-99293c9b6659}">
    <x18tc:text xml:space="preserve">@juanma@sentiraranda.es @belen@sentiraranda.es</x18tc:text>
    <x18tc:mentions>
      <x18tc:mention mentionpersonId="{8da6be4f-b062-49bb-a5da-a461d622511b}" mentionId="{d81a24b4-a569-4cf1-8790-3e26f19d36c5}" startIndex="0" length="23"/>
      <x18tc:mention mentionpersonId="{8ef15892-3eee-45e7-adec-0025e29bcffd}" mentionId="{9af0cd1d-95b2-44fa-a67a-a3646c7785a1}" startIndex="24" length="22"/>
    </x18tc:mentions>
  </x18tc:threadedComment>
  <x18tc:threadedComment ref="A1" dT="2023-10-24T17:11:25.00" personId="{9efe5076-e426-4348-8ac3-1de58e431696}" id="{b0a8d64f-4f40-4714-b41e-433d2e4272f9}" parentId="{ec440463-91d4-4b9d-9242-99293c9b6659}">
    <x18tc:text xml:space="preserve">la idea es hacer el patrocinio como un contrato, no una subvención</x18tc:text>
  </x18tc:threadedComment>
  <x18tc:threadedComment ref="A1" dT="2023-10-24T21:25:39.00" personId="{3cbcc3c9-b2fe-4f72-9027-6941d919184b}" id="{ed205f65-83a6-4c58-8209-48a46ca15117}" parentId="{ec440463-91d4-4b9d-9242-99293c9b6659}">
    <x18tc:text xml:space="preserve">Sonorama son 140.000 y 70.000 para los otros ?</x18tc:text>
  </x18tc:threadedComment>
  <x18tc:threadedComment ref="A1" dT="2023-10-24T21:44:35.00" personId="{2e5a94e0-7dc3-46b6-b339-e13ec7a56936}" id="{79429c81-1045-44a4-9441-c0ff57c4e3bc}" parentId="{ec440463-91d4-4b9d-9242-99293c9b6659}">
    <x18tc:text xml:space="preserve">No encuentro el documento que le envié a Willy, pero creo recordar que puse más</x18tc:text>
  </x18tc:threadedComment>
  <x18tc:threadedComment ref="A1" dT="2023-10-24T22:15:46.00" personId="{9efe5076-e426-4348-8ac3-1de58e431696}" id="{f42d31cb-7734-4430-af76-2a197c0296bd}" parentId="{ec440463-91d4-4b9d-9242-99293c9b6659}">
    <x18tc:text xml:space="preserve">Hablamos de 40.000€ para Villa y 40 para arandina seguro.
Más luego el deporte base</x18tc:text>
  </x18tc:threadedComment>
  <x18tc:threadedComment ref="A1" dT="2023-10-30T15:58:14.00" personId="{9efe5076-e426-4348-8ac3-1de58e431696}" id="{aadb97d8-ec0e-417a-a135-126175678051}" parentId="{ec440463-91d4-4b9d-9242-99293c9b6659}">
    <x18tc:text xml:space="preserve">sólo sonorama al final</x18tc:text>
  </x18tc:threadedComment>
  <x18tc:threadedComment ref="A1" dT="2023-10-22T21:58:08.00" personId="{9efe5076-e426-4348-8ac3-1de58e431696}" id="{3d99d950-81dd-49ac-8b8c-7046250f8371}" done="0">
    <x18tc:text xml:space="preserve">Limpieza del mercadillo de santa catalina</x18tc:text>
  </x18tc:threadedComment>
  <x18tc:threadedComment ref="A1" dT="2023-10-22T15:51:10.00" personId="{9efe5076-e426-4348-8ac3-1de58e431696}" id="{6479476b-6121-41f4-8a1e-f9b55a16de40}" done="1">
    <x18tc:text xml:space="preserve">incremento del contrato de la grúa</x18tc:text>
  </x18tc:threadedComment>
  <x18tc:threadedComment ref="A1" dT="2023-10-22T17:00:50.00" personId="{9efe5076-e426-4348-8ac3-1de58e431696}" id="{b7deea3e-47e9-402b-ac0d-13d29faf9bf7}" done="1">
    <x18tc:text xml:space="preserve">¿por qué quieres 460.000€ @juanma@sentiraranda.es ?
Asignado a juanma@sentiraranda.es</x18tc:text>
    <x18tc:mentions>
      <x18tc:mention mentionpersonId="{8da6be4f-b062-49bb-a5da-a461d622511b}" mentionId="{b892ba6f-a14d-46f9-87dd-e3f8a09ecec7}" startIndex="26" length="23"/>
    </x18tc:mentions>
  </x18tc:threadedComment>
  <x18tc:threadedComment ref="A1" dT="2023-10-22T18:56:44.00" personId="{9efe5076-e426-4348-8ac3-1de58e431696}" id="{3a440edf-bc85-429d-8875-20ddb38faadb}" done="0">
    <x18tc:text xml:space="preserve">concejales liberados x4</x18tc:text>
  </x18tc:threadedComment>
  <x18tc:threadedComment ref="A1" dT="2023-10-24T17:16:02.00" personId="{9efe5076-e426-4348-8ac3-1de58e431696}" id="{45fa2c06-58f0-4db7-98f4-ffb351c6bff6}" parentId="{3a440edf-bc85-429d-8875-20ddb38faadb}">
    <x18tc:text xml:space="preserve">+ personal eventual prensa</x18tc:text>
  </x18tc:threadedComment>
  <x18tc:threadedComment ref="A1" dT="2023-10-22T18:56:29.00" personId="{9efe5076-e426-4348-8ac3-1de58e431696}" id="{2239b4bf-2b9d-412f-b0b8-715fc635fa94}" done="0">
    <x18tc:text xml:space="preserve">concejales liberados x4</x18tc:text>
  </x18tc:threadedComment>
  <x18tc:threadedComment ref="A1" dT="2023-10-24T17:15:57.00" personId="{9efe5076-e426-4348-8ac3-1de58e431696}" id="{eafe0576-d607-47d7-92be-2685eb3daade}" parentId="{2239b4bf-2b9d-412f-b0b8-715fc635fa94}">
    <x18tc:text xml:space="preserve">+ personal eventual prensa</x18tc:text>
  </x18tc:threadedComment>
  <x18tc:threadedComment ref="A1" dT="2023-10-25T07:32:40.00" personId="{9efe5076-e426-4348-8ac3-1de58e431696}" id="{01d21953-2627-4e64-96de-7d20a8dc7930}" parentId="{2239b4bf-2b9d-412f-b0b8-715fc635fa94}">
    <x18tc:text xml:space="preserve">Negociar en la RPT que la persona de Técnico de presupuestos sea funcionario y no eventual</x18tc:text>
  </x18tc:threadedComment>
  <x18tc:threadedComment ref="A1" dT="2023-10-25T07:37:09.00" personId="{9efe5076-e426-4348-8ac3-1de58e431696}" id="{ffe5cf92-43f8-4e0e-8d04-3f9be2352462}" parentId="{2239b4bf-2b9d-412f-b0b8-715fc635fa94}">
    <x18tc:text xml:space="preserve">Revisar los niveles</x18tc:text>
  </x18tc:threadedComment>
  <x18tc:threadedComment ref="A1" dT="2023-10-26T00:02:32.00" personId="{9efe5076-e426-4348-8ac3-1de58e431696}" id="{d1de9942-e09e-4899-b2a3-500304b1da86}" parentId="{2239b4bf-2b9d-412f-b0b8-715fc635fa94}">
    <x18tc:text xml:space="preserve">@antonio@sentiraranda.es esto es importante, sí es cierto, hay límite del 55% en el caso de Aranda para los concejales liberados, que van con respecto a un Secretario de Estado, se quedarían en 42500€ anuales por concejal 100% liberado</x18tc:text>
    <x18tc:mentions>
      <x18tc:mention mentionpersonId="{9e74e78d-761e-44cf-a7d8-fb480559324d}" mentionId="{66ca5337-53d6-41d7-aade-2ec256dbb3b1}" startIndex="0" length="24"/>
    </x18tc:mentions>
  </x18tc:threadedComment>
  <x18tc:threadedComment ref="A1" dT="2023-10-26T00:03:12.00" personId="{9efe5076-e426-4348-8ac3-1de58e431696}" id="{5df04ac2-e325-4fe5-adc3-d541d27141fc}" parentId="{2239b4bf-2b9d-412f-b0b8-715fc635fa94}">
    <x18tc:text xml:space="preserve">http://femp.femp.es/files/3580-776-fichero/WEB%20Retribuciones%20%20Sueldo%20Secretario%20Estado.pdf</x18tc:text>
    <x18tc:extLst>
      <ext uri="{F7C98A9C-CBB3-438F-8F68-D28B6AF4A901}">
        <xltc2:checksum/>
        <xltc2:hyperlink startIndex="0" length="100" url="http://femp.femp.es/files/3580-776-fichero/WEB%20Retribuciones%20%20Sueldo%20Secretario%20Estado.pdf"/>
      </ext>
    </x18tc:extLst>
  </x18tc:threadedComment>
  <x18tc:threadedComment ref="A1" dT="2023-09-13T11:28:30.00" personId="{0e431308-d4e6-406f-9652-711b10c2ab41}" id="{6c24422d-1897-4f57-8285-bb7a5b238cbd}" done="1">
    <x18tc:text xml:space="preserve">Contrato de parques y jardines</x18tc:text>
  </x18tc:threadedComment>
  <x18tc:threadedComment ref="A1" dT="2023-09-13T11:28:30.00" personId="{54910ae8-7b53-48a6-8440-996d1aefe52a}" id="{405f22e4-eb80-4526-b674-be4291a577ea}" done="1">
    <x18tc:text xml:space="preserve">contratos completos escuelas infantiles</x18tc:text>
  </x18tc:threadedComment>
  <x18tc:threadedComment ref="A1" dT="2023-09-13T11:28:30.00" personId="{0e431308-d4e6-406f-9652-711b10c2ab41}" id="{c9bf9faa-abe5-4325-9334-7286e246fa88}" done="0">
    <x18tc:text xml:space="preserve">Integración con DehÚ</x18tc:text>
  </x18tc:threadedComment>
  <x18tc:threadedComment ref="A1" dT="2023-09-13T11:28:30.00" personId="{54910ae8-7b53-48a6-8440-996d1aefe52a}" id="{9bf68266-ee64-41f8-a1fe-b653a2fdbbd6}" done="0">
    <x18tc:text xml:space="preserve">ora y grua nuevo contrato</x18tc:text>
  </x18tc:threadedComment>
  <x18tc:threadedComment ref="A1" dT="2023-09-13T11:28:30.00" personId="{0e431308-d4e6-406f-9652-711b10c2ab41}" id="{6a2971ce-a2dc-4c85-85a3-513646fb4dbe}" done="0">
    <x18tc:text xml:space="preserve">Control analitico agua y oca de los centros de transformación y allta tension</x18tc:text>
  </x18tc:threadedComment>
  <x18tc:threadedComment ref="A1" dT="2023-09-13T11:28:30.00" personId="{0e431308-d4e6-406f-9652-711b10c2ab41}" id="{c1be8acc-dd25-4cb9-83a0-daaec3e5d292}" done="0">
    <x18tc:text xml:space="preserve">Desratización</x18tc:text>
  </x18tc:threadedComment>
  <x18tc:threadedComment ref="A1" dT="2023-09-13T11:28:30.00" personId="{0e431308-d4e6-406f-9652-711b10c2ab41}" id="{4c986b56-f65a-4f5e-a1f2-86c8c4d714eb}" done="0">
    <x18tc:text xml:space="preserve">Recogida perros
y palomas</x18tc:text>
  </x18tc:threadedComment>
  <x18tc:threadedComment ref="A1" dT="2023-09-13T11:28:30.00" personId="{54910ae8-7b53-48a6-8440-996d1aefe52a}" id="{1eb59d6a-0260-4063-bec1-8124251de4c4}" done="0">
    <x18tc:text xml:space="preserve">transcripcion de plenos</x18tc:text>
  </x18tc:threadedComment>
  <x18tc:threadedComment ref="A1" dT="2023-10-11T17:39:26.00" personId="{9efe5076-e426-4348-8ac3-1de58e431696}" id="{7cd9a4b9-a199-4e1f-ab47-dbf55ff688c0}" done="0">
    <x18tc:text xml:space="preserve">IPC de depuración</x18tc:text>
  </x18tc:threadedComment>
  <x18tc:threadedComment ref="A1" dT="2023-10-02T13:04:31.00" personId="{9efe5076-e426-4348-8ac3-1de58e431696}" id="{f3ade39f-9f2a-4e9f-af9c-eb468f7f7600}" done="0">
    <x18tc:text xml:space="preserve">27500 + SegSocial</x18tc:text>
  </x18tc:threadedComment>
  <x18tc:threadedComment ref="A1" dT="2023-10-02T13:09:55.00" personId="{9efe5076-e426-4348-8ac3-1de58e431696}" id="{3f9a8096-ea78-4e4f-9cd0-f8e61d0870dd}" done="0">
    <x18tc:text xml:space="preserve">60k + SegSocial</x18tc:text>
  </x18tc:threadedComment>
  <x18tc:threadedComment ref="A1" dT="2023-10-05T17:58:57.00" personId="{9efe5076-e426-4348-8ac3-1de58e431696}" id="{888b3284-295b-4ab3-96f0-cc5b62cdf3c4}" done="0">
    <x18tc:text xml:space="preserve">Portal de transparencia</x18tc:text>
  </x18tc:threadedComment>
  <x18tc:threadedComment ref="A1" dT="2023-10-25T22:37:54.00" personId="{9efe5076-e426-4348-8ac3-1de58e431696}" id="{d6e7dec4-79e5-4ebf-a271-cc6bd9d2b30d}" done="0">
    <x18tc:text xml:space="preserve">Alquiler de equipos de Iluminación y sonido espetáculos todo el año</x18tc:text>
  </x18tc:threadedComment>
  <x18tc:threadedComment ref="A1" dT="2023-10-16T10:07:55.00" personId="{9efe5076-e426-4348-8ac3-1de58e431696}" id="{d84df3cf-d65f-4510-8529-b60a874868c1}" done="0">
    <x18tc:text xml:space="preserve">alquiler espacio CC Caja de Burgos</x18tc:text>
  </x18tc:threadedComment>
  <x18tc:threadedComment ref="A1" dT="2023-10-25T22:38:10.00" personId="{9efe5076-e426-4348-8ac3-1de58e431696}" id="{d891bb7d-f1b4-4fa4-a0cb-4c49f0897576}" parentId="{d84df3cf-d65f-4510-8529-b60a874868c1}">
    <x18tc:text xml:space="preserve">Convenio de cesión de espacio con el Cultural Caja de Burgos. En los presupuestos de 2023 se eliminó esta partida. Es muy importante MANTENERLA Y DOTARLA</x18tc:text>
  </x18tc:threadedComment>
  <x18tc:threadedComment ref="A1" dT="2023-10-16T11:05:38.00" personId="{9efe5076-e426-4348-8ac3-1de58e431696}" id="{21a7c08e-4f02-442b-bf52-d0f2eaa3a7d7}" done="0">
    <x18tc:text xml:space="preserve">lecturas de contador. 80k todo el año, prorrateado a 5 según las contrataciones por acumulación de tareas</x18tc:text>
  </x18tc:threadedComment>
  <x18tc:threadedComment ref="A1" dT="2023-10-30T12:15:00.00" personId="{9efe5076-e426-4348-8ac3-1de58e431696}" id="{a1757098-1240-4cde-8db2-475d357988a4}" done="0">
    <x18tc:text xml:space="preserve">Aquí está el arreglo de calles (200k) y el arreglo de polígicos (300k)</x18tc:text>
  </x18tc:threadedComment>
  <x18tc:threadedComment ref="A1" dT="2023-10-25T16:37:12.00" personId="{9efe5076-e426-4348-8ac3-1de58e431696}" id="{147d0d52-be1c-4da2-8cec-6dc1136724d8}" done="0">
    <x18tc:text xml:space="preserve">Comprobar esta partida</x18tc:text>
  </x18tc:threadedComment>
  <x18tc:threadedComment ref="A1" dT="2023-10-25T17:26:19.00" personId="{9efe5076-e426-4348-8ac3-1de58e431696}" id="{cbab91aa-ab62-4232-b39a-1ce3c9f1c8b5}" done="1">
    <x18tc:text xml:space="preserve">Hay que comprobar si el contrato de FCC aparece alguna partida o alguna información sobre el mercadillo de Santa Catalina @belen@sentiraranda.es
Asignado a belen@sentiraranda.es</x18tc:text>
    <x18tc:mentions>
      <x18tc:mention mentionpersonId="{8ef15892-3eee-45e7-adec-0025e29bcffd}" mentionId="{1100e0bf-c9b0-4d34-bb86-b076b3c30d99}" startIndex="122" length="22"/>
    </x18tc:mentions>
  </x18tc:threadedComment>
  <x18tc:threadedComment ref="A1" dT="2023-11-23T16:46:25.00" personId="{9efe5076-e426-4348-8ac3-1de58e431696}" id="{300173b6-a0ee-4a23-83db-aa1556caa33c}" parentId="{cbab91aa-ab62-4232-b39a-1ce3c9f1c8b5}">
    <x18tc:text xml:space="preserve">@belen@sentiraranda.es manda un correo a Ruth y a Carlos para decir que se añada la limpieza de los mercadillos en el pliego que están realizando</x18tc:text>
    <x18tc:mentions>
      <x18tc:mention mentionpersonId="{8ef15892-3eee-45e7-adec-0025e29bcffd}" mentionId="{ac86b42f-8af2-440b-9552-d2ec5bc93b0f}" startIndex="0" length="22"/>
    </x18tc:mentions>
  </x18tc:threadedComment>
  <x18tc:threadedComment ref="A1" dT="2023-11-26T09:44:05.00" personId="{2e5a94e0-7dc3-46b6-b339-e13ec7a56936}" id="{c81197d3-e5ad-4a3c-9c18-d780ef9b81e5}" parentId="{cbab91aa-ab62-4232-b39a-1ce3c9f1c8b5}">
    <x18tc:text xml:space="preserve">Carlos me confirma que está contemplado</x18tc:text>
  </x18tc:threadedComment>
  <x18tc:threadedComment ref="A1" dT="2023-11-26T10:31:37.00" personId="{2e5a94e0-7dc3-46b6-b339-e13ec7a56936}" id="{aec15c38-04f9-42b6-956f-8585524f2d86}" done="1">
    <x18tc:text xml:space="preserve">¿Ésto es correcto?</x18tc:text>
  </x18tc:threadedComment>
  <x18tc:threadedComment ref="A1" dT="2023-11-26T15:38:46.00" personId="{9efe5076-e426-4348-8ac3-1de58e431696}" id="{3593e275-925c-4e37-ab14-7529b1b29155}" parentId="{aec15c38-04f9-42b6-956f-8585524f2d86}">
    <x18tc:text xml:space="preserve">ahora mismo hay 0€ gastados en esta partida y todo lo demás está en el resto de promoción deportiva</x18tc:text>
  </x18tc:threadedComment>
  <x18tc:threadedComment ref="A1" dT="2023-12-11T18:12:59.00" personId="{9efe5076-e426-4348-8ac3-1de58e431696}" id="{11d3e40d-a5ac-44f7-8907-522da7d5fdb2}" done="0">
    <x18tc:text xml:space="preserve">@juanma@sentiraranda.es pregunta PSOE que por qué sube esto, en su día me lo mandaste.
Dime actividades para justificar
Asignado a juanma@sentiraranda.es</x18tc:text>
    <x18tc:mentions>
      <x18tc:mention mentionpersonId="{8da6be4f-b062-49bb-a5da-a461d622511b}" mentionId="{9c4a974e-f957-4ca7-970a-1b846b0fa1e2}" startIndex="0" length="23"/>
    </x18tc:mentions>
  </x18tc:threadedComment>
  <x18tc:threadedComment ref="A1" dT="2023-12-12T09:42:22.00" personId="{9efe5076-e426-4348-8ac3-1de58e431696}" id="{3cc50097-79b9-4c8b-afbc-bcfe4e332280}" done="0">
    <x18tc:text xml:space="preserve">colegios e intercambio cultural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1.75"/>
    <col customWidth="1" min="3" max="3" width="11.38"/>
    <col customWidth="1" min="4" max="4" width="66.0"/>
    <col customWidth="1" min="5" max="5" width="9.0"/>
    <col customWidth="1" min="6" max="7" width="20.88"/>
    <col customWidth="1" min="8" max="8" width="10.63"/>
    <col customWidth="1" min="9" max="9" width="13.38"/>
    <col customWidth="1" min="10" max="10" width="21.75"/>
    <col customWidth="1" min="11" max="11" width="10.63"/>
    <col customWidth="1" min="12" max="12" width="25.0"/>
    <col customWidth="1" min="13" max="21" width="10.63"/>
  </cols>
  <sheetData>
    <row r="1" ht="14.25" customHeight="1">
      <c r="A1" s="8"/>
      <c r="B1" s="9"/>
      <c r="C1" s="11"/>
      <c r="D1" s="12"/>
      <c r="E1" s="8"/>
      <c r="F1" s="13"/>
      <c r="G1" s="13"/>
      <c r="H1" s="15" t="str">
        <f t="shared" ref="H1:H375" si="1">IFERROR(((G1-F1)/F1), "")</f>
        <v/>
      </c>
      <c r="J1" s="5" t="s">
        <v>15</v>
      </c>
      <c r="K1" s="16"/>
    </row>
    <row r="2" ht="14.25" customHeight="1">
      <c r="A2" s="8"/>
      <c r="B2" s="17"/>
      <c r="C2" s="11"/>
      <c r="D2" s="12"/>
      <c r="E2" s="8"/>
      <c r="F2" s="13"/>
      <c r="G2" s="13"/>
      <c r="H2" s="15" t="str">
        <f t="shared" si="1"/>
        <v/>
      </c>
      <c r="J2" s="14">
        <f>1.01*1.025</f>
        <v>1.03525</v>
      </c>
      <c r="K2" s="16"/>
    </row>
    <row r="3" ht="14.25" customHeight="1">
      <c r="A3" s="8"/>
      <c r="B3" s="18" t="s">
        <v>16</v>
      </c>
      <c r="C3" s="19"/>
      <c r="D3" s="20" t="s">
        <v>17</v>
      </c>
      <c r="E3" s="21"/>
      <c r="F3" s="22"/>
      <c r="G3" s="22"/>
      <c r="H3" s="15" t="str">
        <f t="shared" si="1"/>
        <v/>
      </c>
      <c r="K3" s="16"/>
    </row>
    <row r="4" ht="14.25" customHeight="1">
      <c r="A4" s="8"/>
      <c r="B4" s="23" t="s">
        <v>18</v>
      </c>
      <c r="C4" s="24" t="s">
        <v>19</v>
      </c>
      <c r="D4" s="25"/>
      <c r="E4" s="21"/>
      <c r="F4" s="26"/>
      <c r="G4" s="26"/>
      <c r="H4" s="15" t="str">
        <f t="shared" si="1"/>
        <v/>
      </c>
      <c r="K4" s="16"/>
    </row>
    <row r="5" ht="14.25" customHeight="1">
      <c r="A5" s="8"/>
      <c r="B5" s="28">
        <v>1300.0</v>
      </c>
      <c r="C5" s="30"/>
      <c r="D5" s="31" t="s">
        <v>22</v>
      </c>
      <c r="E5" s="33"/>
      <c r="F5" s="31">
        <v>2023.0</v>
      </c>
      <c r="G5" s="34">
        <v>2024.0</v>
      </c>
      <c r="H5" s="15">
        <f t="shared" si="1"/>
        <v>0.0004943153732</v>
      </c>
      <c r="K5" s="16"/>
    </row>
    <row r="6" ht="14.25" customHeight="1">
      <c r="A6" s="8"/>
      <c r="B6" s="9"/>
      <c r="C6" s="11" t="s">
        <v>23</v>
      </c>
      <c r="D6" s="12" t="s">
        <v>24</v>
      </c>
      <c r="E6" s="35"/>
      <c r="F6" s="13">
        <v>27800.0</v>
      </c>
      <c r="G6" s="36">
        <v>28700.0</v>
      </c>
      <c r="H6" s="15">
        <f t="shared" si="1"/>
        <v>0.03237410072</v>
      </c>
      <c r="K6" s="16"/>
    </row>
    <row r="7" ht="14.25" customHeight="1">
      <c r="A7" s="8"/>
      <c r="B7" s="9"/>
      <c r="C7" s="11" t="s">
        <v>27</v>
      </c>
      <c r="D7" s="12" t="s">
        <v>28</v>
      </c>
      <c r="E7" s="35"/>
      <c r="F7" s="13">
        <v>23703.0</v>
      </c>
      <c r="G7" s="36">
        <v>25000.0</v>
      </c>
      <c r="H7" s="15">
        <f t="shared" si="1"/>
        <v>0.05471881196</v>
      </c>
      <c r="K7" s="16"/>
    </row>
    <row r="8" ht="14.25" customHeight="1">
      <c r="A8" s="8"/>
      <c r="B8" s="9"/>
      <c r="C8" s="11" t="s">
        <v>29</v>
      </c>
      <c r="D8" s="12" t="s">
        <v>30</v>
      </c>
      <c r="E8" s="35"/>
      <c r="F8" s="13">
        <v>6400.0</v>
      </c>
      <c r="G8" s="36">
        <v>6600.0</v>
      </c>
      <c r="H8" s="15">
        <f t="shared" si="1"/>
        <v>0.03125</v>
      </c>
      <c r="K8" s="16"/>
    </row>
    <row r="9" ht="14.25" customHeight="1">
      <c r="A9" s="8"/>
      <c r="B9" s="9"/>
      <c r="C9" s="11" t="s">
        <v>31</v>
      </c>
      <c r="D9" s="12" t="s">
        <v>32</v>
      </c>
      <c r="E9" s="35"/>
      <c r="F9" s="13">
        <v>20500.0</v>
      </c>
      <c r="G9" s="36">
        <v>21150.0</v>
      </c>
      <c r="H9" s="15">
        <f t="shared" si="1"/>
        <v>0.03170731707</v>
      </c>
      <c r="K9" s="16"/>
    </row>
    <row r="10" ht="14.25" customHeight="1">
      <c r="A10" s="8"/>
      <c r="B10" s="9"/>
      <c r="C10" s="11" t="s">
        <v>33</v>
      </c>
      <c r="D10" s="12" t="s">
        <v>34</v>
      </c>
      <c r="E10" s="35"/>
      <c r="F10" s="13">
        <v>27300.0</v>
      </c>
      <c r="G10" s="36">
        <v>28150.0</v>
      </c>
      <c r="H10" s="15">
        <f t="shared" si="1"/>
        <v>0.03113553114</v>
      </c>
      <c r="K10" s="16"/>
    </row>
    <row r="11" ht="14.25" customHeight="1">
      <c r="A11" s="8"/>
      <c r="B11" s="9"/>
      <c r="C11" s="11">
        <v>150.0</v>
      </c>
      <c r="D11" s="12" t="s">
        <v>36</v>
      </c>
      <c r="E11" s="35"/>
      <c r="F11" s="13">
        <v>2700.0</v>
      </c>
      <c r="G11" s="36">
        <v>2800.0</v>
      </c>
      <c r="H11" s="15">
        <f t="shared" si="1"/>
        <v>0.03703703704</v>
      </c>
      <c r="K11" s="16"/>
    </row>
    <row r="12" ht="14.25" customHeight="1">
      <c r="A12" s="8"/>
      <c r="B12" s="9"/>
      <c r="C12" s="11" t="s">
        <v>37</v>
      </c>
      <c r="D12" s="12" t="s">
        <v>38</v>
      </c>
      <c r="E12" s="37"/>
      <c r="F12" s="13">
        <v>32500.0</v>
      </c>
      <c r="G12" s="36">
        <v>33500.0</v>
      </c>
      <c r="H12" s="15">
        <f t="shared" si="1"/>
        <v>0.03076923077</v>
      </c>
      <c r="K12" s="16"/>
    </row>
    <row r="13" ht="14.25" customHeight="1">
      <c r="A13" s="8"/>
      <c r="B13" s="9"/>
      <c r="C13" s="11" t="s">
        <v>39</v>
      </c>
      <c r="D13" s="12" t="s">
        <v>40</v>
      </c>
      <c r="E13" s="35"/>
      <c r="F13" s="13">
        <v>17800.0</v>
      </c>
      <c r="G13" s="36">
        <v>18500.0</v>
      </c>
      <c r="H13" s="15">
        <f t="shared" si="1"/>
        <v>0.0393258427</v>
      </c>
      <c r="K13" s="16"/>
    </row>
    <row r="14" ht="14.25" customHeight="1">
      <c r="A14" s="8"/>
      <c r="B14" s="9"/>
      <c r="C14" s="11" t="s">
        <v>41</v>
      </c>
      <c r="D14" s="12" t="s">
        <v>42</v>
      </c>
      <c r="E14" s="35"/>
      <c r="F14" s="13">
        <v>5300.0</v>
      </c>
      <c r="G14" s="36">
        <v>5500.0</v>
      </c>
      <c r="H14" s="15">
        <f t="shared" si="1"/>
        <v>0.03773584906</v>
      </c>
      <c r="K14" s="16"/>
    </row>
    <row r="15" ht="14.25" customHeight="1">
      <c r="A15" s="8"/>
      <c r="B15" s="9"/>
      <c r="C15" s="11" t="s">
        <v>44</v>
      </c>
      <c r="D15" s="12" t="s">
        <v>38</v>
      </c>
      <c r="E15" s="35"/>
      <c r="F15" s="13">
        <v>6600.0</v>
      </c>
      <c r="G15" s="36">
        <v>6800.0</v>
      </c>
      <c r="H15" s="15">
        <f t="shared" si="1"/>
        <v>0.0303030303</v>
      </c>
      <c r="K15" s="16"/>
    </row>
    <row r="16" ht="14.25" customHeight="1">
      <c r="A16" s="8"/>
      <c r="B16" s="38">
        <v>1300.0</v>
      </c>
      <c r="E16" s="39"/>
      <c r="F16" s="40">
        <f t="shared" ref="F16:G16" si="2">SUM(F6:F15)</f>
        <v>170603</v>
      </c>
      <c r="G16" s="40">
        <f t="shared" si="2"/>
        <v>176700</v>
      </c>
      <c r="H16" s="15">
        <f t="shared" si="1"/>
        <v>0.0357379413</v>
      </c>
      <c r="K16" s="16"/>
    </row>
    <row r="17" ht="14.25" customHeight="1">
      <c r="A17" s="8"/>
      <c r="B17" s="9"/>
      <c r="C17" s="11"/>
      <c r="D17" s="12"/>
      <c r="E17" s="8"/>
      <c r="F17" s="13"/>
      <c r="G17" s="13"/>
      <c r="H17" s="15" t="str">
        <f t="shared" si="1"/>
        <v/>
      </c>
      <c r="K17" s="16"/>
    </row>
    <row r="18" ht="14.25" customHeight="1">
      <c r="A18" s="41"/>
      <c r="B18" s="28">
        <v>1320.0</v>
      </c>
      <c r="C18" s="30"/>
      <c r="D18" s="31" t="s">
        <v>46</v>
      </c>
      <c r="E18" s="33"/>
      <c r="F18" s="31">
        <v>2023.0</v>
      </c>
      <c r="G18" s="34">
        <v>2024.0</v>
      </c>
      <c r="H18" s="15">
        <f t="shared" si="1"/>
        <v>0.0004943153732</v>
      </c>
      <c r="I18" s="42"/>
      <c r="J18" s="42"/>
      <c r="K18" s="43"/>
      <c r="L18" s="42"/>
      <c r="M18" s="42"/>
      <c r="N18" s="42"/>
      <c r="O18" s="42"/>
      <c r="P18" s="42"/>
      <c r="Q18" s="42"/>
      <c r="R18" s="42"/>
      <c r="S18" s="42"/>
      <c r="T18" s="42"/>
      <c r="U18" s="42"/>
    </row>
    <row r="19" ht="14.25" customHeight="1">
      <c r="A19" s="8"/>
      <c r="B19" s="17"/>
      <c r="C19" s="11" t="s">
        <v>54</v>
      </c>
      <c r="D19" s="12" t="s">
        <v>55</v>
      </c>
      <c r="E19" s="45"/>
      <c r="F19" s="13">
        <v>19500.0</v>
      </c>
      <c r="G19" s="36">
        <v>20100.0</v>
      </c>
      <c r="H19" s="15">
        <f t="shared" si="1"/>
        <v>0.03076923077</v>
      </c>
      <c r="K19" s="16"/>
    </row>
    <row r="20" ht="14.25" customHeight="1">
      <c r="A20" s="8"/>
      <c r="B20" s="17"/>
      <c r="C20" s="11" t="s">
        <v>23</v>
      </c>
      <c r="D20" s="12" t="s">
        <v>24</v>
      </c>
      <c r="E20" s="45"/>
      <c r="F20" s="13">
        <v>680000.0</v>
      </c>
      <c r="G20" s="36">
        <v>701000.0</v>
      </c>
      <c r="H20" s="15">
        <f t="shared" si="1"/>
        <v>0.03088235294</v>
      </c>
      <c r="K20" s="16"/>
    </row>
    <row r="21" ht="14.25" customHeight="1">
      <c r="A21" s="8"/>
      <c r="B21" s="17"/>
      <c r="C21" s="11" t="s">
        <v>29</v>
      </c>
      <c r="D21" s="12" t="s">
        <v>30</v>
      </c>
      <c r="E21" s="45"/>
      <c r="F21" s="13">
        <v>45000.0</v>
      </c>
      <c r="G21" s="36">
        <v>46500.0</v>
      </c>
      <c r="H21" s="15">
        <f t="shared" si="1"/>
        <v>0.03333333333</v>
      </c>
      <c r="K21" s="16"/>
    </row>
    <row r="22" ht="14.25" customHeight="1">
      <c r="A22" s="8"/>
      <c r="B22" s="17"/>
      <c r="C22" s="11" t="s">
        <v>31</v>
      </c>
      <c r="D22" s="12" t="s">
        <v>32</v>
      </c>
      <c r="E22" s="45"/>
      <c r="F22" s="13">
        <v>225000.0</v>
      </c>
      <c r="G22" s="36">
        <v>232000.0</v>
      </c>
      <c r="H22" s="15">
        <f t="shared" si="1"/>
        <v>0.03111111111</v>
      </c>
      <c r="K22" s="16"/>
    </row>
    <row r="23" ht="14.25" customHeight="1">
      <c r="A23" s="8"/>
      <c r="B23" s="17"/>
      <c r="C23" s="11" t="s">
        <v>33</v>
      </c>
      <c r="D23" s="12" t="s">
        <v>34</v>
      </c>
      <c r="E23" s="45"/>
      <c r="F23" s="13">
        <v>430000.0</v>
      </c>
      <c r="G23" s="36">
        <v>446000.0</v>
      </c>
      <c r="H23" s="15">
        <f t="shared" si="1"/>
        <v>0.03720930233</v>
      </c>
      <c r="K23" s="16"/>
    </row>
    <row r="24" ht="14.25" customHeight="1">
      <c r="A24" s="8"/>
      <c r="B24" s="17"/>
      <c r="C24" s="11">
        <v>150.0</v>
      </c>
      <c r="D24" s="12" t="s">
        <v>36</v>
      </c>
      <c r="E24" s="45"/>
      <c r="F24" s="13">
        <v>128000.0</v>
      </c>
      <c r="G24" s="36">
        <v>132000.0</v>
      </c>
      <c r="H24" s="15">
        <f t="shared" si="1"/>
        <v>0.03125</v>
      </c>
      <c r="K24" s="16"/>
    </row>
    <row r="25" ht="14.25" customHeight="1">
      <c r="A25" s="8"/>
      <c r="B25" s="17"/>
      <c r="C25" s="11" t="s">
        <v>56</v>
      </c>
      <c r="D25" s="12" t="s">
        <v>57</v>
      </c>
      <c r="E25" s="45"/>
      <c r="F25" s="13">
        <v>100000.0</v>
      </c>
      <c r="G25" s="36">
        <v>350000.0</v>
      </c>
      <c r="H25" s="15">
        <f t="shared" si="1"/>
        <v>2.5</v>
      </c>
      <c r="J25" s="10">
        <f>G25-F25</f>
        <v>250000</v>
      </c>
      <c r="K25" s="16"/>
    </row>
    <row r="26" ht="14.25" customHeight="1">
      <c r="A26" s="8"/>
      <c r="B26" s="17"/>
      <c r="C26" s="11" t="s">
        <v>37</v>
      </c>
      <c r="D26" s="12" t="s">
        <v>38</v>
      </c>
      <c r="E26" s="46"/>
      <c r="F26" s="13">
        <v>580000.0</v>
      </c>
      <c r="G26" s="36">
        <v>598000.0</v>
      </c>
      <c r="H26" s="15">
        <f t="shared" si="1"/>
        <v>0.03103448276</v>
      </c>
      <c r="K26" s="16"/>
    </row>
    <row r="27" ht="14.25" customHeight="1">
      <c r="A27" s="8"/>
      <c r="B27" s="38">
        <v>1320.0</v>
      </c>
      <c r="E27" s="47"/>
      <c r="F27" s="40">
        <f t="shared" ref="F27:G27" si="3">SUM(F19:F26)</f>
        <v>2207500</v>
      </c>
      <c r="G27" s="40">
        <f t="shared" si="3"/>
        <v>2525600</v>
      </c>
      <c r="H27" s="15">
        <f t="shared" si="1"/>
        <v>0.1440996602</v>
      </c>
      <c r="K27" s="16"/>
    </row>
    <row r="28" ht="14.25" customHeight="1">
      <c r="A28" s="8"/>
      <c r="B28" s="9"/>
      <c r="C28" s="45"/>
      <c r="D28" s="46"/>
      <c r="E28" s="37"/>
      <c r="F28" s="49"/>
      <c r="G28" s="49"/>
      <c r="H28" s="15" t="str">
        <f t="shared" si="1"/>
        <v/>
      </c>
      <c r="K28" s="50" t="s">
        <v>59</v>
      </c>
      <c r="L28" s="10">
        <f>J25+J36</f>
        <v>540000</v>
      </c>
    </row>
    <row r="29" ht="14.25" customHeight="1">
      <c r="A29" s="8"/>
      <c r="B29" s="51">
        <v>1360.0</v>
      </c>
      <c r="C29" s="52"/>
      <c r="D29" s="53" t="s">
        <v>62</v>
      </c>
      <c r="E29" s="54"/>
      <c r="F29" s="53">
        <v>2023.0</v>
      </c>
      <c r="G29" s="55">
        <v>2024.0</v>
      </c>
      <c r="H29" s="15">
        <f t="shared" si="1"/>
        <v>0.0004943153732</v>
      </c>
      <c r="K29" s="16"/>
      <c r="M29" s="5">
        <v>2024.0</v>
      </c>
      <c r="N29" s="5" t="s">
        <v>65</v>
      </c>
    </row>
    <row r="30" ht="14.25" customHeight="1">
      <c r="A30" s="8"/>
      <c r="B30" s="17"/>
      <c r="C30" s="11" t="s">
        <v>54</v>
      </c>
      <c r="D30" s="12" t="s">
        <v>55</v>
      </c>
      <c r="E30" s="46"/>
      <c r="F30" s="13">
        <v>18275.0</v>
      </c>
      <c r="G30" s="36">
        <v>19000.0</v>
      </c>
      <c r="H30" s="15">
        <f t="shared" si="1"/>
        <v>0.03967168263</v>
      </c>
      <c r="K30" s="16"/>
      <c r="L30" s="12" t="s">
        <v>55</v>
      </c>
      <c r="M30" s="56">
        <v>19000.0</v>
      </c>
      <c r="N30" s="57">
        <f t="shared" ref="N30:O30" si="4">M30</f>
        <v>19000</v>
      </c>
      <c r="O30" s="57">
        <f t="shared" si="4"/>
        <v>19000</v>
      </c>
      <c r="P30" s="57">
        <f>N30</f>
        <v>19000</v>
      </c>
    </row>
    <row r="31" ht="14.25" customHeight="1">
      <c r="A31" s="8"/>
      <c r="B31" s="17"/>
      <c r="C31" s="11" t="s">
        <v>27</v>
      </c>
      <c r="D31" s="12" t="s">
        <v>28</v>
      </c>
      <c r="E31" s="58"/>
      <c r="F31" s="13">
        <v>330755.0</v>
      </c>
      <c r="G31" s="36">
        <v>341000.0</v>
      </c>
      <c r="H31" s="15">
        <f t="shared" si="1"/>
        <v>0.03097458844</v>
      </c>
      <c r="K31" s="16"/>
      <c r="L31" s="12" t="s">
        <v>28</v>
      </c>
      <c r="M31" s="56">
        <v>341000.0</v>
      </c>
      <c r="N31" s="57">
        <f>(M31/30)*40</f>
        <v>454666.6667</v>
      </c>
      <c r="O31" s="57">
        <f>(M31/30)*52*1.3</f>
        <v>768386.6667</v>
      </c>
      <c r="P31" s="57">
        <f>N31*1.3</f>
        <v>591066.6667</v>
      </c>
    </row>
    <row r="32" ht="14.25" customHeight="1">
      <c r="A32" s="8"/>
      <c r="B32" s="17"/>
      <c r="C32" s="11" t="s">
        <v>29</v>
      </c>
      <c r="D32" s="12" t="s">
        <v>30</v>
      </c>
      <c r="E32" s="46"/>
      <c r="F32" s="13">
        <v>61655.0</v>
      </c>
      <c r="G32" s="36">
        <v>64000.0</v>
      </c>
      <c r="H32" s="15">
        <f t="shared" si="1"/>
        <v>0.03803422269</v>
      </c>
      <c r="K32" s="16"/>
      <c r="L32" s="12" t="s">
        <v>30</v>
      </c>
      <c r="M32" s="56">
        <v>64000.0</v>
      </c>
      <c r="N32" s="57">
        <f t="shared" ref="N32:N34" si="5">M32</f>
        <v>64000</v>
      </c>
      <c r="O32" s="57">
        <f>N32*1.3</f>
        <v>83200</v>
      </c>
      <c r="P32" s="57">
        <f>N32</f>
        <v>64000</v>
      </c>
    </row>
    <row r="33" ht="14.25" customHeight="1">
      <c r="A33" s="8"/>
      <c r="B33" s="17"/>
      <c r="C33" s="11" t="s">
        <v>31</v>
      </c>
      <c r="D33" s="12" t="s">
        <v>32</v>
      </c>
      <c r="E33" s="46"/>
      <c r="F33" s="13">
        <v>149785.0</v>
      </c>
      <c r="G33" s="36">
        <v>155000.0</v>
      </c>
      <c r="H33" s="15">
        <f t="shared" si="1"/>
        <v>0.03481657042</v>
      </c>
      <c r="K33" s="16"/>
      <c r="L33" s="12" t="s">
        <v>32</v>
      </c>
      <c r="M33" s="56">
        <v>155000.0</v>
      </c>
      <c r="N33" s="57">
        <f t="shared" si="5"/>
        <v>155000</v>
      </c>
      <c r="O33" s="57">
        <f>N33</f>
        <v>155000</v>
      </c>
      <c r="P33" s="57">
        <f t="shared" ref="P33:P34" si="6">N33*1.3</f>
        <v>201500</v>
      </c>
    </row>
    <row r="34" ht="14.25" customHeight="1">
      <c r="A34" s="8"/>
      <c r="B34" s="17"/>
      <c r="C34" s="11" t="s">
        <v>33</v>
      </c>
      <c r="D34" s="12" t="s">
        <v>34</v>
      </c>
      <c r="E34" s="46"/>
      <c r="F34" s="13">
        <v>248065.0</v>
      </c>
      <c r="G34" s="36">
        <v>256000.0</v>
      </c>
      <c r="H34" s="15">
        <f t="shared" si="1"/>
        <v>0.0319875839</v>
      </c>
      <c r="K34" s="16"/>
      <c r="L34" s="12" t="s">
        <v>34</v>
      </c>
      <c r="M34" s="56">
        <v>256000.0</v>
      </c>
      <c r="N34" s="57">
        <f t="shared" si="5"/>
        <v>256000</v>
      </c>
      <c r="O34" s="57">
        <f>N34*1.3</f>
        <v>332800</v>
      </c>
      <c r="P34" s="57">
        <f t="shared" si="6"/>
        <v>332800</v>
      </c>
    </row>
    <row r="35" ht="14.25" customHeight="1">
      <c r="A35" s="8"/>
      <c r="B35" s="17"/>
      <c r="C35" s="11">
        <v>150.0</v>
      </c>
      <c r="D35" s="12" t="s">
        <v>36</v>
      </c>
      <c r="E35" s="58"/>
      <c r="F35" s="13">
        <v>180530.0</v>
      </c>
      <c r="G35" s="36">
        <v>186000.0</v>
      </c>
      <c r="H35" s="15">
        <f t="shared" si="1"/>
        <v>0.03029967318</v>
      </c>
      <c r="K35" s="16"/>
      <c r="L35" s="12" t="s">
        <v>36</v>
      </c>
      <c r="M35" s="56">
        <v>186000.0</v>
      </c>
      <c r="N35" s="57">
        <f>M35+219000</f>
        <v>405000</v>
      </c>
      <c r="O35" s="59">
        <v>0.0</v>
      </c>
      <c r="P35" s="57">
        <f t="shared" ref="P35:P37" si="7">N35</f>
        <v>405000</v>
      </c>
    </row>
    <row r="36" ht="14.25" customHeight="1">
      <c r="A36" s="8"/>
      <c r="B36" s="17"/>
      <c r="C36" s="11" t="s">
        <v>56</v>
      </c>
      <c r="D36" s="12" t="s">
        <v>57</v>
      </c>
      <c r="E36" s="46"/>
      <c r="F36" s="13">
        <v>110000.0</v>
      </c>
      <c r="G36" s="36">
        <v>400000.0</v>
      </c>
      <c r="H36" s="15">
        <f t="shared" si="1"/>
        <v>2.636363636</v>
      </c>
      <c r="J36" s="10">
        <f>G36-F36</f>
        <v>290000</v>
      </c>
      <c r="K36" s="16"/>
      <c r="L36" s="12" t="s">
        <v>57</v>
      </c>
      <c r="M36" s="56">
        <v>400000.0</v>
      </c>
      <c r="N36" s="59">
        <v>150000.0</v>
      </c>
      <c r="O36" s="59">
        <v>10000.0</v>
      </c>
      <c r="P36" s="57">
        <f t="shared" si="7"/>
        <v>150000</v>
      </c>
    </row>
    <row r="37" ht="14.25" customHeight="1">
      <c r="A37" s="8"/>
      <c r="B37" s="17"/>
      <c r="C37" s="11" t="s">
        <v>37</v>
      </c>
      <c r="D37" s="12" t="s">
        <v>38</v>
      </c>
      <c r="E37" s="46"/>
      <c r="F37" s="13">
        <f>320000+50000</f>
        <v>370000</v>
      </c>
      <c r="G37" s="36">
        <v>381500.0</v>
      </c>
      <c r="H37" s="15">
        <f t="shared" si="1"/>
        <v>0.03108108108</v>
      </c>
      <c r="K37" s="16"/>
      <c r="L37" s="12" t="s">
        <v>38</v>
      </c>
      <c r="M37" s="56">
        <v>381500.0</v>
      </c>
      <c r="N37" s="57">
        <f>(M37/30)*40</f>
        <v>508666.6667</v>
      </c>
      <c r="O37" s="57">
        <f>(M37/30)*52*1.3</f>
        <v>859646.6667</v>
      </c>
      <c r="P37" s="57">
        <f t="shared" si="7"/>
        <v>508666.6667</v>
      </c>
    </row>
    <row r="38" ht="14.25" customHeight="1">
      <c r="A38" s="8"/>
      <c r="B38" s="38">
        <v>1360.0</v>
      </c>
      <c r="E38" s="47"/>
      <c r="F38" s="40">
        <f t="shared" ref="F38:G38" si="8">SUM(F30:F37)</f>
        <v>1469065</v>
      </c>
      <c r="G38" s="40">
        <f t="shared" si="8"/>
        <v>1802500</v>
      </c>
      <c r="H38" s="15">
        <f t="shared" si="1"/>
        <v>0.2269708965</v>
      </c>
      <c r="K38" s="16"/>
      <c r="M38" s="60">
        <f t="shared" ref="M38:P38" si="9">SUM(M29:M37)</f>
        <v>1804524</v>
      </c>
      <c r="N38" s="60">
        <f t="shared" si="9"/>
        <v>2012333.333</v>
      </c>
      <c r="O38" s="60">
        <f t="shared" si="9"/>
        <v>2228033.333</v>
      </c>
      <c r="P38" s="60">
        <f t="shared" si="9"/>
        <v>2272033.333</v>
      </c>
    </row>
    <row r="39" ht="14.25" customHeight="1">
      <c r="A39" s="8"/>
      <c r="B39" s="9"/>
      <c r="C39" s="11"/>
      <c r="D39" s="12"/>
      <c r="E39" s="8"/>
      <c r="F39" s="13"/>
      <c r="G39" s="13"/>
      <c r="H39" s="15" t="str">
        <f t="shared" si="1"/>
        <v/>
      </c>
      <c r="K39" s="16"/>
    </row>
    <row r="40" ht="14.25" customHeight="1">
      <c r="A40" s="8"/>
      <c r="B40" s="51">
        <v>1500.0</v>
      </c>
      <c r="C40" s="52"/>
      <c r="D40" s="53" t="s">
        <v>80</v>
      </c>
      <c r="E40" s="54"/>
      <c r="F40" s="53">
        <v>2023.0</v>
      </c>
      <c r="G40" s="55">
        <v>2024.0</v>
      </c>
      <c r="H40" s="15">
        <f t="shared" si="1"/>
        <v>0.0004943153732</v>
      </c>
      <c r="K40" s="16"/>
    </row>
    <row r="41" ht="14.25" customHeight="1">
      <c r="A41" s="8"/>
      <c r="B41" s="17"/>
      <c r="C41" s="11" t="s">
        <v>23</v>
      </c>
      <c r="D41" s="12" t="s">
        <v>24</v>
      </c>
      <c r="E41" s="58"/>
      <c r="F41" s="13">
        <v>14500.0</v>
      </c>
      <c r="G41" s="36">
        <v>15000.0</v>
      </c>
      <c r="H41" s="15">
        <f t="shared" si="1"/>
        <v>0.03448275862</v>
      </c>
      <c r="K41" s="16"/>
      <c r="N41" s="5" t="s">
        <v>81</v>
      </c>
      <c r="O41" s="14">
        <f>(2550*14*52) + 100000 + (2550*14*52)*0.3</f>
        <v>2513320</v>
      </c>
    </row>
    <row r="42" ht="14.25" customHeight="1">
      <c r="A42" s="8"/>
      <c r="B42" s="17"/>
      <c r="C42" s="11" t="s">
        <v>27</v>
      </c>
      <c r="D42" s="12" t="s">
        <v>28</v>
      </c>
      <c r="E42" s="58"/>
      <c r="F42" s="13">
        <v>36550.0</v>
      </c>
      <c r="G42" s="36">
        <v>38000.0</v>
      </c>
      <c r="H42" s="15">
        <f t="shared" si="1"/>
        <v>0.03967168263</v>
      </c>
      <c r="K42" s="16"/>
    </row>
    <row r="43" ht="14.25" customHeight="1">
      <c r="A43" s="8"/>
      <c r="B43" s="17"/>
      <c r="C43" s="11" t="s">
        <v>29</v>
      </c>
      <c r="D43" s="12" t="s">
        <v>30</v>
      </c>
      <c r="E43" s="58"/>
      <c r="F43" s="13">
        <v>6150.0</v>
      </c>
      <c r="G43" s="36">
        <v>6500.0</v>
      </c>
      <c r="H43" s="15">
        <f t="shared" si="1"/>
        <v>0.05691056911</v>
      </c>
      <c r="K43" s="16"/>
    </row>
    <row r="44" ht="14.25" customHeight="1">
      <c r="A44" s="8"/>
      <c r="B44" s="17"/>
      <c r="C44" s="11" t="s">
        <v>31</v>
      </c>
      <c r="D44" s="12" t="s">
        <v>32</v>
      </c>
      <c r="E44" s="58"/>
      <c r="F44" s="13">
        <v>21200.0</v>
      </c>
      <c r="G44" s="36">
        <v>22000.0</v>
      </c>
      <c r="H44" s="15">
        <f t="shared" si="1"/>
        <v>0.03773584906</v>
      </c>
      <c r="K44" s="16"/>
    </row>
    <row r="45" ht="14.25" customHeight="1">
      <c r="A45" s="8"/>
      <c r="B45" s="17"/>
      <c r="C45" s="11" t="s">
        <v>33</v>
      </c>
      <c r="D45" s="12" t="s">
        <v>34</v>
      </c>
      <c r="E45" s="58"/>
      <c r="F45" s="13">
        <v>34670.0</v>
      </c>
      <c r="G45" s="36">
        <v>36000.0</v>
      </c>
      <c r="H45" s="15">
        <f t="shared" si="1"/>
        <v>0.03836169599</v>
      </c>
      <c r="K45" s="16"/>
    </row>
    <row r="46" ht="14.25" customHeight="1">
      <c r="A46" s="8"/>
      <c r="B46" s="17"/>
      <c r="C46" s="11">
        <v>150.0</v>
      </c>
      <c r="D46" s="12" t="s">
        <v>36</v>
      </c>
      <c r="E46" s="46"/>
      <c r="F46" s="13">
        <v>2610.0</v>
      </c>
      <c r="G46" s="36">
        <v>2700.0</v>
      </c>
      <c r="H46" s="15">
        <f t="shared" si="1"/>
        <v>0.03448275862</v>
      </c>
      <c r="K46" s="16"/>
    </row>
    <row r="47" ht="14.25" customHeight="1">
      <c r="A47" s="8"/>
      <c r="B47" s="17"/>
      <c r="C47" s="11" t="s">
        <v>37</v>
      </c>
      <c r="D47" s="12" t="s">
        <v>38</v>
      </c>
      <c r="E47" s="58"/>
      <c r="F47" s="13">
        <v>31300.0</v>
      </c>
      <c r="G47" s="36">
        <v>32500.0</v>
      </c>
      <c r="H47" s="15">
        <f t="shared" si="1"/>
        <v>0.03833865815</v>
      </c>
      <c r="K47" s="16"/>
    </row>
    <row r="48" ht="14.25" customHeight="1">
      <c r="A48" s="8"/>
      <c r="B48" s="38">
        <v>1500.0</v>
      </c>
      <c r="E48" s="47"/>
      <c r="F48" s="40">
        <f t="shared" ref="F48:G48" si="10">SUM(F41:F47)</f>
        <v>146980</v>
      </c>
      <c r="G48" s="40">
        <f t="shared" si="10"/>
        <v>152700</v>
      </c>
      <c r="H48" s="15">
        <f t="shared" si="1"/>
        <v>0.03891685944</v>
      </c>
      <c r="K48" s="16"/>
    </row>
    <row r="49" ht="14.25" customHeight="1">
      <c r="A49" s="8"/>
      <c r="B49" s="9"/>
      <c r="C49" s="11"/>
      <c r="D49" s="12"/>
      <c r="E49" s="8"/>
      <c r="F49" s="13"/>
      <c r="G49" s="13"/>
      <c r="H49" s="15" t="str">
        <f t="shared" si="1"/>
        <v/>
      </c>
      <c r="K49" s="16"/>
    </row>
    <row r="50" ht="14.25" customHeight="1">
      <c r="A50" s="8"/>
      <c r="B50" s="51">
        <v>1510.0</v>
      </c>
      <c r="C50" s="52"/>
      <c r="D50" s="53" t="s">
        <v>82</v>
      </c>
      <c r="E50" s="54"/>
      <c r="F50" s="53">
        <v>2023.0</v>
      </c>
      <c r="G50" s="55">
        <v>2024.0</v>
      </c>
      <c r="H50" s="15">
        <f t="shared" si="1"/>
        <v>0.0004943153732</v>
      </c>
      <c r="K50" s="16"/>
    </row>
    <row r="51" ht="14.25" customHeight="1">
      <c r="A51" s="8"/>
      <c r="B51" s="17"/>
      <c r="C51" s="11" t="s">
        <v>83</v>
      </c>
      <c r="D51" s="12" t="s">
        <v>84</v>
      </c>
      <c r="E51" s="46"/>
      <c r="F51" s="13">
        <v>86700.0</v>
      </c>
      <c r="G51" s="36">
        <v>116600.0</v>
      </c>
      <c r="H51" s="15">
        <f t="shared" si="1"/>
        <v>0.3448673587</v>
      </c>
      <c r="K51" s="16"/>
    </row>
    <row r="52" ht="14.25" customHeight="1">
      <c r="A52" s="8"/>
      <c r="B52" s="17"/>
      <c r="C52" s="11" t="s">
        <v>54</v>
      </c>
      <c r="D52" s="12" t="s">
        <v>55</v>
      </c>
      <c r="E52" s="58"/>
      <c r="F52" s="13">
        <v>18000.0</v>
      </c>
      <c r="G52" s="36">
        <v>18600.0</v>
      </c>
      <c r="H52" s="15">
        <f t="shared" si="1"/>
        <v>0.03333333333</v>
      </c>
      <c r="K52" s="16"/>
    </row>
    <row r="53" ht="14.25" customHeight="1">
      <c r="A53" s="8"/>
      <c r="B53" s="17"/>
      <c r="C53" s="11" t="s">
        <v>29</v>
      </c>
      <c r="D53" s="12" t="s">
        <v>30</v>
      </c>
      <c r="E53" s="58"/>
      <c r="F53" s="13">
        <v>15150.0</v>
      </c>
      <c r="G53" s="36">
        <v>16500.0</v>
      </c>
      <c r="H53" s="15">
        <f t="shared" si="1"/>
        <v>0.08910891089</v>
      </c>
      <c r="K53" s="16"/>
    </row>
    <row r="54" ht="14.25" customHeight="1">
      <c r="A54" s="8"/>
      <c r="B54" s="17"/>
      <c r="C54" s="11" t="s">
        <v>31</v>
      </c>
      <c r="D54" s="12" t="s">
        <v>32</v>
      </c>
      <c r="E54" s="58"/>
      <c r="F54" s="13">
        <v>47300.0</v>
      </c>
      <c r="G54" s="36">
        <v>29900.0</v>
      </c>
      <c r="H54" s="15">
        <f t="shared" si="1"/>
        <v>-0.3678646934</v>
      </c>
      <c r="K54" s="16"/>
    </row>
    <row r="55" ht="14.25" customHeight="1">
      <c r="A55" s="8"/>
      <c r="B55" s="17"/>
      <c r="C55" s="11" t="s">
        <v>33</v>
      </c>
      <c r="D55" s="12" t="s">
        <v>34</v>
      </c>
      <c r="E55" s="58"/>
      <c r="F55" s="13">
        <v>71800.0</v>
      </c>
      <c r="G55" s="36">
        <v>85900.0</v>
      </c>
      <c r="H55" s="15">
        <f t="shared" si="1"/>
        <v>0.1963788301</v>
      </c>
      <c r="K55" s="16"/>
    </row>
    <row r="56" ht="14.25" customHeight="1">
      <c r="A56" s="8"/>
      <c r="B56" s="17"/>
      <c r="C56" s="11">
        <v>150.0</v>
      </c>
      <c r="D56" s="12" t="s">
        <v>36</v>
      </c>
      <c r="E56" s="46"/>
      <c r="F56" s="13">
        <v>4450.0</v>
      </c>
      <c r="G56" s="36">
        <v>5800.0</v>
      </c>
      <c r="H56" s="15">
        <f t="shared" si="1"/>
        <v>0.3033707865</v>
      </c>
      <c r="K56" s="16"/>
    </row>
    <row r="57" ht="14.25" customHeight="1">
      <c r="A57" s="8"/>
      <c r="B57" s="17"/>
      <c r="C57" s="11" t="s">
        <v>37</v>
      </c>
      <c r="D57" s="12" t="s">
        <v>38</v>
      </c>
      <c r="E57" s="58"/>
      <c r="F57" s="13">
        <v>67500.0</v>
      </c>
      <c r="G57" s="36">
        <v>86000.0</v>
      </c>
      <c r="H57" s="15">
        <f t="shared" si="1"/>
        <v>0.2740740741</v>
      </c>
      <c r="K57" s="16"/>
    </row>
    <row r="58" ht="14.25" customHeight="1">
      <c r="A58" s="8"/>
      <c r="B58" s="17"/>
      <c r="C58" s="11" t="s">
        <v>39</v>
      </c>
      <c r="D58" s="12" t="s">
        <v>40</v>
      </c>
      <c r="E58" s="46"/>
      <c r="F58" s="13">
        <v>117800.0</v>
      </c>
      <c r="G58" s="36">
        <v>122000.0</v>
      </c>
      <c r="H58" s="15">
        <f t="shared" si="1"/>
        <v>0.03565365025</v>
      </c>
      <c r="K58" s="16"/>
    </row>
    <row r="59" ht="14.25" customHeight="1">
      <c r="A59" s="8"/>
      <c r="B59" s="17"/>
      <c r="C59" s="11" t="s">
        <v>85</v>
      </c>
      <c r="D59" s="12" t="s">
        <v>86</v>
      </c>
      <c r="E59" s="58"/>
      <c r="F59" s="13">
        <v>1000.0</v>
      </c>
      <c r="G59" s="36">
        <v>1100.0</v>
      </c>
      <c r="H59" s="15">
        <f t="shared" si="1"/>
        <v>0.1</v>
      </c>
      <c r="K59" s="16"/>
    </row>
    <row r="60" ht="14.25" customHeight="1">
      <c r="A60" s="8"/>
      <c r="B60" s="17"/>
      <c r="C60" s="11" t="s">
        <v>41</v>
      </c>
      <c r="D60" s="12" t="s">
        <v>42</v>
      </c>
      <c r="E60" s="58"/>
      <c r="F60" s="13">
        <v>31100.0</v>
      </c>
      <c r="G60" s="36">
        <v>32200.0</v>
      </c>
      <c r="H60" s="15">
        <f t="shared" si="1"/>
        <v>0.03536977492</v>
      </c>
      <c r="K60" s="16"/>
    </row>
    <row r="61" ht="14.25" customHeight="1">
      <c r="A61" s="8"/>
      <c r="B61" s="17"/>
      <c r="C61" s="11" t="s">
        <v>44</v>
      </c>
      <c r="D61" s="12" t="s">
        <v>38</v>
      </c>
      <c r="E61" s="58"/>
      <c r="F61" s="13">
        <v>40800.0</v>
      </c>
      <c r="G61" s="36">
        <v>42200.0</v>
      </c>
      <c r="H61" s="15">
        <f t="shared" si="1"/>
        <v>0.03431372549</v>
      </c>
      <c r="K61" s="16"/>
    </row>
    <row r="62" ht="14.25" customHeight="1">
      <c r="A62" s="8"/>
      <c r="B62" s="38">
        <v>1510.0</v>
      </c>
      <c r="E62" s="47"/>
      <c r="F62" s="40">
        <f t="shared" ref="F62:G62" si="11">SUM(F51:F61)</f>
        <v>501600</v>
      </c>
      <c r="G62" s="40">
        <f t="shared" si="11"/>
        <v>556800</v>
      </c>
      <c r="H62" s="15">
        <f t="shared" si="1"/>
        <v>0.1100478469</v>
      </c>
      <c r="K62" s="16"/>
    </row>
    <row r="63" ht="14.25" customHeight="1">
      <c r="A63" s="8"/>
      <c r="B63" s="9"/>
      <c r="C63" s="11"/>
      <c r="D63" s="12"/>
      <c r="E63" s="8"/>
      <c r="F63" s="13"/>
      <c r="G63" s="13"/>
      <c r="H63" s="15" t="str">
        <f t="shared" si="1"/>
        <v/>
      </c>
      <c r="K63" s="16"/>
    </row>
    <row r="64" ht="14.25" customHeight="1">
      <c r="A64" s="8"/>
      <c r="B64" s="51">
        <v>1522.0</v>
      </c>
      <c r="C64" s="52"/>
      <c r="D64" s="53" t="s">
        <v>87</v>
      </c>
      <c r="E64" s="54"/>
      <c r="F64" s="53">
        <v>2023.0</v>
      </c>
      <c r="G64" s="55">
        <v>2024.0</v>
      </c>
      <c r="H64" s="15">
        <f t="shared" si="1"/>
        <v>0.0004943153732</v>
      </c>
      <c r="K64" s="16"/>
    </row>
    <row r="65" ht="14.25" customHeight="1">
      <c r="A65" s="8"/>
      <c r="B65" s="17"/>
      <c r="C65" s="11" t="s">
        <v>39</v>
      </c>
      <c r="D65" s="12" t="s">
        <v>40</v>
      </c>
      <c r="E65" s="46"/>
      <c r="F65" s="13">
        <v>60000.0</v>
      </c>
      <c r="G65" s="36">
        <v>72368.0</v>
      </c>
      <c r="H65" s="15">
        <f t="shared" si="1"/>
        <v>0.2061333333</v>
      </c>
      <c r="K65" s="16"/>
    </row>
    <row r="66" ht="14.25" customHeight="1">
      <c r="A66" s="8"/>
      <c r="B66" s="17"/>
      <c r="C66" s="11" t="s">
        <v>85</v>
      </c>
      <c r="D66" s="12" t="s">
        <v>86</v>
      </c>
      <c r="E66" s="58"/>
      <c r="F66" s="13">
        <v>1000.0</v>
      </c>
      <c r="G66" s="36">
        <v>0.0</v>
      </c>
      <c r="H66" s="15">
        <f t="shared" si="1"/>
        <v>-1</v>
      </c>
      <c r="K66" s="16"/>
    </row>
    <row r="67" ht="14.25" customHeight="1">
      <c r="A67" s="8"/>
      <c r="B67" s="17"/>
      <c r="C67" s="11" t="s">
        <v>44</v>
      </c>
      <c r="D67" s="12" t="s">
        <v>38</v>
      </c>
      <c r="E67" s="58"/>
      <c r="F67" s="13">
        <v>21600.0</v>
      </c>
      <c r="G67" s="36">
        <v>23000.0</v>
      </c>
      <c r="H67" s="15">
        <f t="shared" si="1"/>
        <v>0.06481481481</v>
      </c>
      <c r="K67" s="16"/>
    </row>
    <row r="68" ht="14.25" customHeight="1">
      <c r="A68" s="8"/>
      <c r="B68" s="38">
        <v>1522.0</v>
      </c>
      <c r="E68" s="47"/>
      <c r="F68" s="40">
        <f t="shared" ref="F68:G68" si="12">SUM(F65:F67)</f>
        <v>82600</v>
      </c>
      <c r="G68" s="40">
        <f t="shared" si="12"/>
        <v>95368</v>
      </c>
      <c r="H68" s="15">
        <f t="shared" si="1"/>
        <v>0.1545762712</v>
      </c>
      <c r="K68" s="16"/>
    </row>
    <row r="69" ht="14.25" customHeight="1">
      <c r="A69" s="8"/>
      <c r="B69" s="9"/>
      <c r="C69" s="11"/>
      <c r="D69" s="12"/>
      <c r="E69" s="8"/>
      <c r="F69" s="13"/>
      <c r="G69" s="13"/>
      <c r="H69" s="15" t="str">
        <f t="shared" si="1"/>
        <v/>
      </c>
      <c r="K69" s="16"/>
    </row>
    <row r="70" ht="14.25" customHeight="1">
      <c r="A70" s="8"/>
      <c r="B70" s="51">
        <v>1530.0</v>
      </c>
      <c r="C70" s="52"/>
      <c r="D70" s="53" t="s">
        <v>88</v>
      </c>
      <c r="E70" s="54"/>
      <c r="F70" s="53">
        <v>2023.0</v>
      </c>
      <c r="G70" s="55">
        <v>2024.0</v>
      </c>
      <c r="H70" s="15">
        <f t="shared" si="1"/>
        <v>0.0004943153732</v>
      </c>
      <c r="K70" s="16"/>
    </row>
    <row r="71" ht="14.25" customHeight="1">
      <c r="A71" s="8"/>
      <c r="B71" s="17"/>
      <c r="C71" s="11" t="s">
        <v>54</v>
      </c>
      <c r="D71" s="12" t="s">
        <v>55</v>
      </c>
      <c r="E71" s="46"/>
      <c r="F71" s="13">
        <v>19260.0</v>
      </c>
      <c r="G71" s="36">
        <v>19900.0</v>
      </c>
      <c r="H71" s="15">
        <f t="shared" si="1"/>
        <v>0.03322949117</v>
      </c>
      <c r="K71" s="16"/>
    </row>
    <row r="72" ht="14.25" customHeight="1">
      <c r="A72" s="8"/>
      <c r="B72" s="17"/>
      <c r="C72" s="11" t="s">
        <v>29</v>
      </c>
      <c r="D72" s="12" t="s">
        <v>30</v>
      </c>
      <c r="E72" s="58"/>
      <c r="F72" s="13">
        <v>0.0</v>
      </c>
      <c r="G72" s="13">
        <v>0.0</v>
      </c>
      <c r="H72" s="15" t="str">
        <f t="shared" si="1"/>
        <v/>
      </c>
      <c r="K72" s="16"/>
    </row>
    <row r="73" ht="14.25" customHeight="1">
      <c r="A73" s="8"/>
      <c r="B73" s="17"/>
      <c r="C73" s="11" t="s">
        <v>31</v>
      </c>
      <c r="D73" s="12" t="s">
        <v>32</v>
      </c>
      <c r="E73" s="58"/>
      <c r="F73" s="13">
        <v>8130.0</v>
      </c>
      <c r="G73" s="36">
        <v>8400.0</v>
      </c>
      <c r="H73" s="15">
        <f t="shared" si="1"/>
        <v>0.0332103321</v>
      </c>
      <c r="K73" s="16"/>
    </row>
    <row r="74" ht="14.25" customHeight="1">
      <c r="A74" s="8"/>
      <c r="B74" s="17"/>
      <c r="C74" s="11" t="s">
        <v>33</v>
      </c>
      <c r="D74" s="12" t="s">
        <v>34</v>
      </c>
      <c r="E74" s="58"/>
      <c r="F74" s="13">
        <v>17500.0</v>
      </c>
      <c r="G74" s="36">
        <v>18100.0</v>
      </c>
      <c r="H74" s="15">
        <f t="shared" si="1"/>
        <v>0.03428571429</v>
      </c>
      <c r="K74" s="16"/>
    </row>
    <row r="75" ht="14.25" customHeight="1">
      <c r="A75" s="8"/>
      <c r="B75" s="17"/>
      <c r="C75" s="11">
        <v>150.0</v>
      </c>
      <c r="D75" s="12" t="s">
        <v>36</v>
      </c>
      <c r="E75" s="58"/>
      <c r="F75" s="13">
        <v>870.0</v>
      </c>
      <c r="G75" s="36">
        <v>900.0</v>
      </c>
      <c r="H75" s="15">
        <f t="shared" si="1"/>
        <v>0.03448275862</v>
      </c>
      <c r="K75" s="16"/>
    </row>
    <row r="76" ht="14.25" customHeight="1">
      <c r="A76" s="8"/>
      <c r="B76" s="17"/>
      <c r="C76" s="11" t="s">
        <v>37</v>
      </c>
      <c r="D76" s="12" t="s">
        <v>38</v>
      </c>
      <c r="E76" s="58"/>
      <c r="F76" s="13">
        <v>12100.0</v>
      </c>
      <c r="G76" s="36">
        <v>12500.0</v>
      </c>
      <c r="H76" s="15">
        <f t="shared" si="1"/>
        <v>0.03305785124</v>
      </c>
      <c r="K76" s="16"/>
    </row>
    <row r="77" ht="14.25" customHeight="1">
      <c r="A77" s="8"/>
      <c r="B77" s="17"/>
      <c r="C77" s="11" t="s">
        <v>89</v>
      </c>
      <c r="D77" s="12" t="s">
        <v>40</v>
      </c>
      <c r="E77" s="46"/>
      <c r="F77" s="13">
        <v>81700.0</v>
      </c>
      <c r="G77" s="36">
        <v>84500.0</v>
      </c>
      <c r="H77" s="15">
        <f t="shared" si="1"/>
        <v>0.03427172583</v>
      </c>
      <c r="K77" s="16"/>
    </row>
    <row r="78" ht="14.25" customHeight="1">
      <c r="A78" s="8"/>
      <c r="B78" s="17"/>
      <c r="C78" s="11" t="s">
        <v>90</v>
      </c>
      <c r="D78" s="12" t="s">
        <v>86</v>
      </c>
      <c r="E78" s="58"/>
      <c r="F78" s="13">
        <v>37000.0</v>
      </c>
      <c r="G78" s="36">
        <v>38500.0</v>
      </c>
      <c r="H78" s="15">
        <f t="shared" si="1"/>
        <v>0.04054054054</v>
      </c>
      <c r="K78" s="16"/>
    </row>
    <row r="79" ht="14.25" customHeight="1">
      <c r="A79" s="8"/>
      <c r="B79" s="17"/>
      <c r="C79" s="11" t="s">
        <v>91</v>
      </c>
      <c r="D79" s="12" t="s">
        <v>42</v>
      </c>
      <c r="E79" s="58"/>
      <c r="F79" s="13">
        <v>31400.0</v>
      </c>
      <c r="G79" s="36">
        <v>32500.0</v>
      </c>
      <c r="H79" s="15">
        <f t="shared" si="1"/>
        <v>0.03503184713</v>
      </c>
      <c r="K79" s="16"/>
    </row>
    <row r="80" ht="14.25" customHeight="1">
      <c r="A80" s="8"/>
      <c r="B80" s="17"/>
      <c r="C80" s="11" t="s">
        <v>92</v>
      </c>
      <c r="D80" s="12" t="s">
        <v>38</v>
      </c>
      <c r="E80" s="58"/>
      <c r="F80" s="13">
        <v>51000.0</v>
      </c>
      <c r="G80" s="36">
        <v>53000.0</v>
      </c>
      <c r="H80" s="15">
        <f t="shared" si="1"/>
        <v>0.03921568627</v>
      </c>
      <c r="K80" s="16"/>
    </row>
    <row r="81" ht="14.25" customHeight="1">
      <c r="A81" s="8"/>
      <c r="B81" s="17"/>
      <c r="C81" s="11" t="s">
        <v>39</v>
      </c>
      <c r="D81" s="12" t="s">
        <v>40</v>
      </c>
      <c r="E81" s="46"/>
      <c r="F81" s="13">
        <v>235000.0</v>
      </c>
      <c r="G81" s="36">
        <v>242500.0</v>
      </c>
      <c r="H81" s="15">
        <f t="shared" si="1"/>
        <v>0.03191489362</v>
      </c>
      <c r="K81" s="16"/>
    </row>
    <row r="82" ht="14.25" customHeight="1">
      <c r="A82" s="8"/>
      <c r="B82" s="17"/>
      <c r="C82" s="11" t="s">
        <v>85</v>
      </c>
      <c r="D82" s="12" t="s">
        <v>86</v>
      </c>
      <c r="E82" s="58"/>
      <c r="F82" s="13">
        <v>1000.0</v>
      </c>
      <c r="G82" s="36">
        <v>1100.0</v>
      </c>
      <c r="H82" s="15">
        <f t="shared" si="1"/>
        <v>0.1</v>
      </c>
      <c r="K82" s="16"/>
    </row>
    <row r="83" ht="14.25" customHeight="1">
      <c r="A83" s="8"/>
      <c r="B83" s="17"/>
      <c r="C83" s="11" t="s">
        <v>41</v>
      </c>
      <c r="D83" s="12" t="s">
        <v>42</v>
      </c>
      <c r="E83" s="58"/>
      <c r="F83" s="13">
        <v>73500.0</v>
      </c>
      <c r="G83" s="36">
        <v>76000.0</v>
      </c>
      <c r="H83" s="15">
        <f t="shared" si="1"/>
        <v>0.03401360544</v>
      </c>
      <c r="K83" s="16"/>
    </row>
    <row r="84" ht="14.25" customHeight="1">
      <c r="A84" s="8"/>
      <c r="B84" s="17"/>
      <c r="C84" s="11" t="s">
        <v>44</v>
      </c>
      <c r="D84" s="12" t="s">
        <v>38</v>
      </c>
      <c r="E84" s="58"/>
      <c r="F84" s="13">
        <v>89000.0</v>
      </c>
      <c r="G84" s="36">
        <v>92000.0</v>
      </c>
      <c r="H84" s="15">
        <f t="shared" si="1"/>
        <v>0.03370786517</v>
      </c>
      <c r="K84" s="16"/>
    </row>
    <row r="85" ht="14.25" customHeight="1">
      <c r="A85" s="8"/>
      <c r="B85" s="38">
        <v>1530.0</v>
      </c>
      <c r="E85" s="47"/>
      <c r="F85" s="40">
        <f t="shared" ref="F85:G85" si="13">SUM(F71:F84)</f>
        <v>657460</v>
      </c>
      <c r="G85" s="40">
        <f t="shared" si="13"/>
        <v>679900</v>
      </c>
      <c r="H85" s="15">
        <f t="shared" si="1"/>
        <v>0.034131354</v>
      </c>
      <c r="K85" s="16"/>
    </row>
    <row r="86" ht="14.25" customHeight="1">
      <c r="A86" s="8"/>
      <c r="B86" s="9"/>
      <c r="C86" s="11"/>
      <c r="D86" s="12"/>
      <c r="E86" s="8"/>
      <c r="F86" s="13"/>
      <c r="G86" s="13"/>
      <c r="H86" s="15" t="str">
        <f t="shared" si="1"/>
        <v/>
      </c>
      <c r="K86" s="16"/>
    </row>
    <row r="87" ht="14.25" customHeight="1">
      <c r="A87" s="8"/>
      <c r="B87" s="51">
        <v>1610.0</v>
      </c>
      <c r="C87" s="52"/>
      <c r="D87" s="53" t="s">
        <v>93</v>
      </c>
      <c r="E87" s="54"/>
      <c r="F87" s="53">
        <v>2023.0</v>
      </c>
      <c r="G87" s="55">
        <v>2024.0</v>
      </c>
      <c r="H87" s="15">
        <f t="shared" si="1"/>
        <v>0.0004943153732</v>
      </c>
      <c r="K87" s="16"/>
    </row>
    <row r="88" ht="14.25" customHeight="1">
      <c r="A88" s="8"/>
      <c r="B88" s="9"/>
      <c r="C88" s="11" t="s">
        <v>54</v>
      </c>
      <c r="D88" s="12" t="s">
        <v>55</v>
      </c>
      <c r="E88" s="58"/>
      <c r="F88" s="13">
        <v>19320.0</v>
      </c>
      <c r="G88" s="36">
        <v>20000.0</v>
      </c>
      <c r="H88" s="15">
        <f t="shared" si="1"/>
        <v>0.03519668737</v>
      </c>
      <c r="K88" s="16"/>
    </row>
    <row r="89" ht="14.25" customHeight="1">
      <c r="A89" s="8"/>
      <c r="B89" s="9"/>
      <c r="C89" s="11" t="s">
        <v>27</v>
      </c>
      <c r="D89" s="12" t="s">
        <v>28</v>
      </c>
      <c r="E89" s="46"/>
      <c r="F89" s="13">
        <v>11250.0</v>
      </c>
      <c r="G89" s="36">
        <f>12000+14000</f>
        <v>26000</v>
      </c>
      <c r="H89" s="15">
        <f t="shared" si="1"/>
        <v>1.311111111</v>
      </c>
      <c r="K89" s="16"/>
    </row>
    <row r="90" ht="14.25" customHeight="1">
      <c r="A90" s="8"/>
      <c r="B90" s="9"/>
      <c r="C90" s="11" t="s">
        <v>29</v>
      </c>
      <c r="D90" s="12" t="s">
        <v>30</v>
      </c>
      <c r="E90" s="58"/>
      <c r="F90" s="13">
        <v>500.0</v>
      </c>
      <c r="G90" s="36">
        <v>550.0</v>
      </c>
      <c r="H90" s="15">
        <f t="shared" si="1"/>
        <v>0.1</v>
      </c>
      <c r="K90" s="16"/>
    </row>
    <row r="91" ht="14.25" customHeight="1">
      <c r="A91" s="8"/>
      <c r="B91" s="9"/>
      <c r="C91" s="11" t="s">
        <v>31</v>
      </c>
      <c r="D91" s="12" t="s">
        <v>32</v>
      </c>
      <c r="E91" s="58"/>
      <c r="F91" s="13">
        <v>12400.0</v>
      </c>
      <c r="G91" s="36">
        <f>13000+6050</f>
        <v>19050</v>
      </c>
      <c r="H91" s="15">
        <f t="shared" si="1"/>
        <v>0.5362903226</v>
      </c>
      <c r="K91" s="16"/>
    </row>
    <row r="92" ht="14.25" customHeight="1">
      <c r="A92" s="8"/>
      <c r="B92" s="9"/>
      <c r="C92" s="11" t="s">
        <v>33</v>
      </c>
      <c r="D92" s="12" t="s">
        <v>34</v>
      </c>
      <c r="E92" s="58"/>
      <c r="F92" s="13">
        <v>22200.0</v>
      </c>
      <c r="G92" s="36">
        <f>23000+8800</f>
        <v>31800</v>
      </c>
      <c r="H92" s="15">
        <f t="shared" si="1"/>
        <v>0.4324324324</v>
      </c>
      <c r="K92" s="16"/>
    </row>
    <row r="93" ht="14.25" customHeight="1">
      <c r="A93" s="8"/>
      <c r="B93" s="9"/>
      <c r="C93" s="11">
        <v>150.0</v>
      </c>
      <c r="D93" s="12" t="s">
        <v>36</v>
      </c>
      <c r="E93" s="58"/>
      <c r="F93" s="13">
        <v>1520.0</v>
      </c>
      <c r="G93" s="36">
        <f>1600+650</f>
        <v>2250</v>
      </c>
      <c r="H93" s="15">
        <f t="shared" si="1"/>
        <v>0.4802631579</v>
      </c>
      <c r="K93" s="16"/>
    </row>
    <row r="94" ht="14.25" customHeight="1">
      <c r="A94" s="8"/>
      <c r="B94" s="9"/>
      <c r="C94" s="11" t="s">
        <v>37</v>
      </c>
      <c r="D94" s="12" t="s">
        <v>38</v>
      </c>
      <c r="E94" s="58"/>
      <c r="F94" s="13">
        <v>15500.0</v>
      </c>
      <c r="G94" s="36">
        <f>16000+9300</f>
        <v>25300</v>
      </c>
      <c r="H94" s="15">
        <f t="shared" si="1"/>
        <v>0.6322580645</v>
      </c>
      <c r="K94" s="16"/>
    </row>
    <row r="95" ht="14.25" customHeight="1">
      <c r="A95" s="8"/>
      <c r="B95" s="9"/>
      <c r="C95" s="11" t="s">
        <v>89</v>
      </c>
      <c r="D95" s="61" t="s">
        <v>40</v>
      </c>
      <c r="E95" s="58"/>
      <c r="F95" s="13">
        <v>126500.0</v>
      </c>
      <c r="G95" s="36">
        <v>131000.0</v>
      </c>
      <c r="H95" s="15">
        <f t="shared" si="1"/>
        <v>0.03557312253</v>
      </c>
      <c r="K95" s="16"/>
    </row>
    <row r="96" ht="14.25" customHeight="1">
      <c r="A96" s="8"/>
      <c r="B96" s="9"/>
      <c r="C96" s="11" t="s">
        <v>90</v>
      </c>
      <c r="D96" s="12" t="s">
        <v>86</v>
      </c>
      <c r="E96" s="46"/>
      <c r="F96" s="13">
        <v>30000.0</v>
      </c>
      <c r="G96" s="36">
        <v>31000.0</v>
      </c>
      <c r="H96" s="15">
        <f t="shared" si="1"/>
        <v>0.03333333333</v>
      </c>
      <c r="K96" s="16"/>
    </row>
    <row r="97" ht="14.25" customHeight="1">
      <c r="A97" s="8"/>
      <c r="B97" s="9"/>
      <c r="C97" s="11" t="s">
        <v>91</v>
      </c>
      <c r="D97" s="12" t="s">
        <v>42</v>
      </c>
      <c r="E97" s="58"/>
      <c r="F97" s="13">
        <v>69300.0</v>
      </c>
      <c r="G97" s="36">
        <v>71500.0</v>
      </c>
      <c r="H97" s="15">
        <f t="shared" si="1"/>
        <v>0.03174603175</v>
      </c>
      <c r="K97" s="16"/>
    </row>
    <row r="98" ht="14.25" customHeight="1">
      <c r="A98" s="8"/>
      <c r="B98" s="9"/>
      <c r="C98" s="11" t="s">
        <v>92</v>
      </c>
      <c r="D98" s="12" t="s">
        <v>38</v>
      </c>
      <c r="E98" s="58"/>
      <c r="F98" s="13">
        <v>66500.0</v>
      </c>
      <c r="G98" s="36">
        <v>69000.0</v>
      </c>
      <c r="H98" s="15">
        <f t="shared" si="1"/>
        <v>0.03759398496</v>
      </c>
      <c r="K98" s="16"/>
    </row>
    <row r="99" ht="14.25" customHeight="1">
      <c r="A99" s="8"/>
      <c r="B99" s="9"/>
      <c r="C99" s="11" t="s">
        <v>39</v>
      </c>
      <c r="D99" s="12" t="s">
        <v>40</v>
      </c>
      <c r="E99" s="58"/>
      <c r="F99" s="13">
        <v>60000.0</v>
      </c>
      <c r="G99" s="36">
        <v>62000.0</v>
      </c>
      <c r="H99" s="15">
        <f t="shared" si="1"/>
        <v>0.03333333333</v>
      </c>
      <c r="K99" s="16"/>
    </row>
    <row r="100" ht="14.25" customHeight="1">
      <c r="A100" s="8"/>
      <c r="B100" s="9"/>
      <c r="C100" s="11" t="s">
        <v>85</v>
      </c>
      <c r="D100" s="12" t="s">
        <v>86</v>
      </c>
      <c r="E100" s="46"/>
      <c r="F100" s="13">
        <v>1300.0</v>
      </c>
      <c r="G100" s="36">
        <v>1400.0</v>
      </c>
      <c r="H100" s="15">
        <f t="shared" si="1"/>
        <v>0.07692307692</v>
      </c>
      <c r="K100" s="16"/>
    </row>
    <row r="101" ht="14.25" customHeight="1">
      <c r="A101" s="8"/>
      <c r="B101" s="9"/>
      <c r="C101" s="11" t="s">
        <v>41</v>
      </c>
      <c r="D101" s="12" t="s">
        <v>42</v>
      </c>
      <c r="E101" s="58"/>
      <c r="F101" s="13">
        <v>17150.0</v>
      </c>
      <c r="G101" s="36">
        <v>18000.0</v>
      </c>
      <c r="H101" s="15">
        <f t="shared" si="1"/>
        <v>0.04956268222</v>
      </c>
      <c r="K101" s="16"/>
    </row>
    <row r="102" ht="14.25" customHeight="1">
      <c r="A102" s="62"/>
      <c r="B102" s="63"/>
      <c r="C102" s="11" t="s">
        <v>44</v>
      </c>
      <c r="D102" s="12" t="s">
        <v>38</v>
      </c>
      <c r="E102" s="58"/>
      <c r="F102" s="13">
        <v>21600.0</v>
      </c>
      <c r="G102" s="36">
        <v>22500.0</v>
      </c>
      <c r="H102" s="15">
        <f t="shared" si="1"/>
        <v>0.04166666667</v>
      </c>
      <c r="I102" s="64"/>
      <c r="J102" s="64"/>
      <c r="K102" s="16"/>
      <c r="L102" s="64"/>
      <c r="M102" s="64"/>
      <c r="N102" s="64"/>
      <c r="O102" s="64"/>
      <c r="P102" s="64"/>
      <c r="Q102" s="64"/>
      <c r="R102" s="64"/>
      <c r="S102" s="64"/>
      <c r="T102" s="64"/>
      <c r="U102" s="64"/>
    </row>
    <row r="103" ht="14.25" customHeight="1">
      <c r="A103" s="8"/>
      <c r="B103" s="38">
        <v>1610.0</v>
      </c>
      <c r="E103" s="39"/>
      <c r="F103" s="40">
        <f t="shared" ref="F103:G103" si="14">SUM(F88:F102)</f>
        <v>475040</v>
      </c>
      <c r="G103" s="40">
        <f t="shared" si="14"/>
        <v>531350</v>
      </c>
      <c r="H103" s="15">
        <f t="shared" si="1"/>
        <v>0.1185373863</v>
      </c>
      <c r="K103" s="16"/>
    </row>
    <row r="104" ht="14.25" customHeight="1">
      <c r="A104" s="8"/>
      <c r="B104" s="9"/>
      <c r="C104" s="11"/>
      <c r="D104" s="12"/>
      <c r="E104" s="8"/>
      <c r="F104" s="13"/>
      <c r="G104" s="13"/>
      <c r="H104" s="15" t="str">
        <f t="shared" si="1"/>
        <v/>
      </c>
      <c r="K104" s="16"/>
    </row>
    <row r="105" ht="14.25" customHeight="1">
      <c r="A105" s="8"/>
      <c r="B105" s="51">
        <v>1640.0</v>
      </c>
      <c r="C105" s="52"/>
      <c r="D105" s="53" t="s">
        <v>94</v>
      </c>
      <c r="E105" s="54"/>
      <c r="F105" s="53">
        <v>2023.0</v>
      </c>
      <c r="G105" s="55">
        <v>2024.0</v>
      </c>
      <c r="H105" s="15">
        <f t="shared" si="1"/>
        <v>0.0004943153732</v>
      </c>
      <c r="K105" s="16"/>
    </row>
    <row r="106" ht="14.25" customHeight="1">
      <c r="A106" s="8"/>
      <c r="B106" s="9"/>
      <c r="C106" s="11" t="s">
        <v>95</v>
      </c>
      <c r="D106" s="12" t="s">
        <v>96</v>
      </c>
      <c r="E106" s="46"/>
      <c r="F106" s="13">
        <v>32250.0</v>
      </c>
      <c r="G106" s="36">
        <f>33500 + 9000</f>
        <v>42500</v>
      </c>
      <c r="H106" s="15">
        <f t="shared" si="1"/>
        <v>0.3178294574</v>
      </c>
      <c r="K106" s="16"/>
    </row>
    <row r="107" ht="14.25" customHeight="1">
      <c r="A107" s="8"/>
      <c r="B107" s="9"/>
      <c r="C107" s="11" t="s">
        <v>29</v>
      </c>
      <c r="D107" s="12" t="s">
        <v>30</v>
      </c>
      <c r="E107" s="46"/>
      <c r="F107" s="13">
        <v>380.0</v>
      </c>
      <c r="G107" s="36">
        <v>400.0</v>
      </c>
      <c r="H107" s="15">
        <f t="shared" si="1"/>
        <v>0.05263157895</v>
      </c>
      <c r="K107" s="16"/>
    </row>
    <row r="108" ht="14.25" customHeight="1">
      <c r="A108" s="8"/>
      <c r="B108" s="9"/>
      <c r="C108" s="11" t="s">
        <v>31</v>
      </c>
      <c r="D108" s="12" t="s">
        <v>32</v>
      </c>
      <c r="E108" s="46"/>
      <c r="F108" s="13">
        <v>12800.0</v>
      </c>
      <c r="G108" s="36">
        <f>13500 + 3550</f>
        <v>17050</v>
      </c>
      <c r="H108" s="15">
        <f t="shared" si="1"/>
        <v>0.33203125</v>
      </c>
      <c r="K108" s="16"/>
    </row>
    <row r="109" ht="14.25" customHeight="1">
      <c r="A109" s="8"/>
      <c r="B109" s="9"/>
      <c r="C109" s="11" t="s">
        <v>33</v>
      </c>
      <c r="D109" s="12" t="s">
        <v>34</v>
      </c>
      <c r="E109" s="46"/>
      <c r="F109" s="13">
        <v>20150.0</v>
      </c>
      <c r="G109" s="36">
        <f>21000 + 5600</f>
        <v>26600</v>
      </c>
      <c r="H109" s="15">
        <f t="shared" si="1"/>
        <v>0.3200992556</v>
      </c>
      <c r="K109" s="16"/>
    </row>
    <row r="110" ht="14.25" customHeight="1">
      <c r="A110" s="8"/>
      <c r="B110" s="9"/>
      <c r="C110" s="11">
        <v>150.0</v>
      </c>
      <c r="D110" s="12" t="s">
        <v>36</v>
      </c>
      <c r="E110" s="12"/>
      <c r="F110" s="13">
        <v>1960.0</v>
      </c>
      <c r="G110" s="36">
        <f>2200+550</f>
        <v>2750</v>
      </c>
      <c r="H110" s="15">
        <f t="shared" si="1"/>
        <v>0.4030612245</v>
      </c>
      <c r="K110" s="16"/>
    </row>
    <row r="111" ht="14.25" customHeight="1">
      <c r="A111" s="8"/>
      <c r="B111" s="9"/>
      <c r="C111" s="11" t="s">
        <v>56</v>
      </c>
      <c r="D111" s="12" t="s">
        <v>57</v>
      </c>
      <c r="E111" s="46"/>
      <c r="F111" s="13">
        <v>1000.0</v>
      </c>
      <c r="G111" s="36">
        <v>5000.0</v>
      </c>
      <c r="H111" s="15">
        <f t="shared" si="1"/>
        <v>4</v>
      </c>
      <c r="K111" s="16"/>
    </row>
    <row r="112" ht="14.25" customHeight="1">
      <c r="A112" s="8"/>
      <c r="B112" s="9"/>
      <c r="C112" s="11" t="s">
        <v>37</v>
      </c>
      <c r="D112" s="12" t="s">
        <v>38</v>
      </c>
      <c r="E112" s="58"/>
      <c r="F112" s="13">
        <v>21800.0</v>
      </c>
      <c r="G112" s="36">
        <f>22500+6900</f>
        <v>29400</v>
      </c>
      <c r="H112" s="15">
        <f t="shared" si="1"/>
        <v>0.3486238532</v>
      </c>
      <c r="K112" s="16"/>
    </row>
    <row r="113" ht="14.25" customHeight="1">
      <c r="A113" s="8"/>
      <c r="B113" s="38">
        <v>1640.0</v>
      </c>
      <c r="E113" s="39"/>
      <c r="F113" s="40">
        <f t="shared" ref="F113:G113" si="15">SUM(F106:F112)</f>
        <v>90340</v>
      </c>
      <c r="G113" s="40">
        <f t="shared" si="15"/>
        <v>123700</v>
      </c>
      <c r="H113" s="15">
        <f t="shared" si="1"/>
        <v>0.3692716405</v>
      </c>
      <c r="K113" s="16"/>
    </row>
    <row r="114" ht="14.25" customHeight="1">
      <c r="A114" s="8"/>
      <c r="B114" s="9"/>
      <c r="C114" s="3"/>
      <c r="D114" s="45"/>
      <c r="E114" s="35"/>
      <c r="F114" s="49"/>
      <c r="G114" s="49"/>
      <c r="H114" s="15" t="str">
        <f t="shared" si="1"/>
        <v/>
      </c>
      <c r="K114" s="16"/>
    </row>
    <row r="115" ht="14.25" customHeight="1">
      <c r="A115" s="8"/>
      <c r="B115" s="51">
        <v>1650.0</v>
      </c>
      <c r="C115" s="52"/>
      <c r="D115" s="53" t="s">
        <v>97</v>
      </c>
      <c r="E115" s="54"/>
      <c r="F115" s="53">
        <v>2023.0</v>
      </c>
      <c r="G115" s="55">
        <v>2024.0</v>
      </c>
      <c r="H115" s="15">
        <f t="shared" si="1"/>
        <v>0.0004943153732</v>
      </c>
      <c r="K115" s="16"/>
    </row>
    <row r="116" ht="14.25" customHeight="1">
      <c r="A116" s="8"/>
      <c r="B116" s="9"/>
      <c r="C116" s="11" t="s">
        <v>54</v>
      </c>
      <c r="D116" s="12" t="s">
        <v>55</v>
      </c>
      <c r="E116" s="46"/>
      <c r="F116" s="13">
        <v>19900.0</v>
      </c>
      <c r="G116" s="36">
        <v>20500.0</v>
      </c>
      <c r="H116" s="15">
        <f t="shared" si="1"/>
        <v>0.03015075377</v>
      </c>
      <c r="K116" s="16"/>
    </row>
    <row r="117" ht="14.25" customHeight="1">
      <c r="A117" s="8"/>
      <c r="B117" s="9"/>
      <c r="C117" s="11" t="s">
        <v>95</v>
      </c>
      <c r="D117" s="12" t="s">
        <v>96</v>
      </c>
      <c r="E117" s="58"/>
      <c r="F117" s="13">
        <v>11350.0</v>
      </c>
      <c r="G117" s="36">
        <v>12000.0</v>
      </c>
      <c r="H117" s="15">
        <f t="shared" si="1"/>
        <v>0.05726872247</v>
      </c>
      <c r="K117" s="16"/>
    </row>
    <row r="118" ht="14.25" customHeight="1">
      <c r="A118" s="8"/>
      <c r="B118" s="9"/>
      <c r="C118" s="11" t="s">
        <v>29</v>
      </c>
      <c r="D118" s="12" t="s">
        <v>30</v>
      </c>
      <c r="E118" s="58"/>
      <c r="F118" s="13">
        <v>7500.0</v>
      </c>
      <c r="G118" s="36">
        <v>7750.0</v>
      </c>
      <c r="H118" s="15">
        <f t="shared" si="1"/>
        <v>0.03333333333</v>
      </c>
      <c r="K118" s="16"/>
    </row>
    <row r="119" ht="14.25" customHeight="1">
      <c r="A119" s="8"/>
      <c r="B119" s="9"/>
      <c r="C119" s="11" t="s">
        <v>31</v>
      </c>
      <c r="D119" s="12" t="s">
        <v>32</v>
      </c>
      <c r="E119" s="58"/>
      <c r="F119" s="13">
        <v>12400.0</v>
      </c>
      <c r="G119" s="36">
        <v>13000.0</v>
      </c>
      <c r="H119" s="15">
        <f t="shared" si="1"/>
        <v>0.04838709677</v>
      </c>
      <c r="K119" s="16"/>
    </row>
    <row r="120" ht="14.25" customHeight="1">
      <c r="A120" s="8"/>
      <c r="B120" s="9"/>
      <c r="C120" s="11" t="s">
        <v>33</v>
      </c>
      <c r="D120" s="12" t="s">
        <v>34</v>
      </c>
      <c r="E120" s="58"/>
      <c r="F120" s="13">
        <v>25600.0</v>
      </c>
      <c r="G120" s="36">
        <v>26500.0</v>
      </c>
      <c r="H120" s="15">
        <f t="shared" si="1"/>
        <v>0.03515625</v>
      </c>
      <c r="K120" s="16"/>
    </row>
    <row r="121" ht="14.25" customHeight="1">
      <c r="A121" s="8"/>
      <c r="B121" s="9"/>
      <c r="C121" s="11">
        <v>150.0</v>
      </c>
      <c r="D121" s="12" t="s">
        <v>36</v>
      </c>
      <c r="E121" s="46"/>
      <c r="F121" s="13">
        <v>1520.0</v>
      </c>
      <c r="G121" s="36">
        <v>1600.0</v>
      </c>
      <c r="H121" s="15">
        <f t="shared" si="1"/>
        <v>0.05263157895</v>
      </c>
      <c r="K121" s="16"/>
    </row>
    <row r="122" ht="14.25" customHeight="1">
      <c r="A122" s="8"/>
      <c r="B122" s="9"/>
      <c r="C122" s="11" t="s">
        <v>37</v>
      </c>
      <c r="D122" s="12" t="s">
        <v>38</v>
      </c>
      <c r="E122" s="58"/>
      <c r="F122" s="13">
        <v>19500.0</v>
      </c>
      <c r="G122" s="36">
        <v>21000.0</v>
      </c>
      <c r="H122" s="15">
        <f t="shared" si="1"/>
        <v>0.07692307692</v>
      </c>
      <c r="K122" s="16"/>
    </row>
    <row r="123" ht="14.25" customHeight="1">
      <c r="A123" s="8"/>
      <c r="B123" s="9"/>
      <c r="C123" s="11" t="s">
        <v>89</v>
      </c>
      <c r="D123" s="61" t="s">
        <v>40</v>
      </c>
      <c r="E123" s="46"/>
      <c r="F123" s="13">
        <v>58000.0</v>
      </c>
      <c r="G123" s="36">
        <v>60000.0</v>
      </c>
      <c r="H123" s="15">
        <f t="shared" si="1"/>
        <v>0.03448275862</v>
      </c>
      <c r="K123" s="16"/>
    </row>
    <row r="124" ht="14.25" customHeight="1">
      <c r="A124" s="8"/>
      <c r="B124" s="9"/>
      <c r="C124" s="11" t="s">
        <v>90</v>
      </c>
      <c r="D124" s="12" t="s">
        <v>86</v>
      </c>
      <c r="E124" s="58"/>
      <c r="F124" s="13">
        <v>18000.0</v>
      </c>
      <c r="G124" s="36">
        <v>19000.0</v>
      </c>
      <c r="H124" s="15">
        <f t="shared" si="1"/>
        <v>0.05555555556</v>
      </c>
      <c r="K124" s="16"/>
    </row>
    <row r="125" ht="14.25" customHeight="1">
      <c r="A125" s="8"/>
      <c r="B125" s="9"/>
      <c r="C125" s="11" t="s">
        <v>91</v>
      </c>
      <c r="D125" s="12" t="s">
        <v>42</v>
      </c>
      <c r="E125" s="58"/>
      <c r="F125" s="13">
        <v>32280.0</v>
      </c>
      <c r="G125" s="36">
        <v>33500.0</v>
      </c>
      <c r="H125" s="15">
        <f t="shared" si="1"/>
        <v>0.03779429988</v>
      </c>
      <c r="K125" s="16"/>
    </row>
    <row r="126" ht="14.25" customHeight="1">
      <c r="A126" s="8"/>
      <c r="B126" s="9"/>
      <c r="C126" s="11" t="s">
        <v>92</v>
      </c>
      <c r="D126" s="12" t="s">
        <v>38</v>
      </c>
      <c r="E126" s="58"/>
      <c r="F126" s="13">
        <v>32500.0</v>
      </c>
      <c r="G126" s="36">
        <v>33500.0</v>
      </c>
      <c r="H126" s="15">
        <f t="shared" si="1"/>
        <v>0.03076923077</v>
      </c>
      <c r="K126" s="16"/>
    </row>
    <row r="127" ht="14.25" customHeight="1">
      <c r="A127" s="8"/>
      <c r="B127" s="9"/>
      <c r="C127" s="11" t="s">
        <v>39</v>
      </c>
      <c r="D127" s="12" t="s">
        <v>40</v>
      </c>
      <c r="E127" s="58"/>
      <c r="F127" s="13">
        <v>33700.0</v>
      </c>
      <c r="G127" s="36">
        <v>35000.0</v>
      </c>
      <c r="H127" s="15">
        <f t="shared" si="1"/>
        <v>0.03857566766</v>
      </c>
      <c r="K127" s="16"/>
    </row>
    <row r="128" ht="14.25" customHeight="1">
      <c r="A128" s="8"/>
      <c r="B128" s="9"/>
      <c r="C128" s="11" t="s">
        <v>85</v>
      </c>
      <c r="D128" s="12" t="s">
        <v>86</v>
      </c>
      <c r="E128" s="46"/>
      <c r="F128" s="13">
        <v>3000.0</v>
      </c>
      <c r="G128" s="36">
        <v>3100.0</v>
      </c>
      <c r="H128" s="15">
        <f t="shared" si="1"/>
        <v>0.03333333333</v>
      </c>
      <c r="K128" s="16"/>
    </row>
    <row r="129" ht="14.25" customHeight="1">
      <c r="A129" s="8"/>
      <c r="B129" s="9"/>
      <c r="C129" s="11" t="s">
        <v>41</v>
      </c>
      <c r="D129" s="12" t="s">
        <v>42</v>
      </c>
      <c r="E129" s="58"/>
      <c r="F129" s="13">
        <v>12650.0</v>
      </c>
      <c r="G129" s="36">
        <v>13100.0</v>
      </c>
      <c r="H129" s="15">
        <f t="shared" si="1"/>
        <v>0.03557312253</v>
      </c>
      <c r="K129" s="16"/>
    </row>
    <row r="130" ht="14.25" customHeight="1">
      <c r="A130" s="62"/>
      <c r="B130" s="63"/>
      <c r="C130" s="11" t="s">
        <v>44</v>
      </c>
      <c r="D130" s="12" t="s">
        <v>38</v>
      </c>
      <c r="E130" s="58"/>
      <c r="F130" s="13">
        <v>15100.0</v>
      </c>
      <c r="G130" s="36">
        <v>15600.0</v>
      </c>
      <c r="H130" s="15">
        <f t="shared" si="1"/>
        <v>0.03311258278</v>
      </c>
      <c r="I130" s="64"/>
      <c r="J130" s="64"/>
      <c r="K130" s="16"/>
      <c r="L130" s="64"/>
      <c r="M130" s="64"/>
      <c r="N130" s="64"/>
      <c r="O130" s="64"/>
      <c r="P130" s="64"/>
      <c r="Q130" s="64"/>
      <c r="R130" s="64"/>
      <c r="S130" s="64"/>
      <c r="T130" s="64"/>
      <c r="U130" s="64"/>
    </row>
    <row r="131" ht="14.25" customHeight="1">
      <c r="A131" s="8"/>
      <c r="B131" s="38">
        <v>1650.0</v>
      </c>
      <c r="E131" s="39"/>
      <c r="F131" s="40">
        <f t="shared" ref="F131:G131" si="16">SUM(F116:F130)</f>
        <v>303000</v>
      </c>
      <c r="G131" s="40">
        <f t="shared" si="16"/>
        <v>315150</v>
      </c>
      <c r="H131" s="15">
        <f t="shared" si="1"/>
        <v>0.0400990099</v>
      </c>
      <c r="K131" s="16"/>
    </row>
    <row r="132" ht="14.25" customHeight="1">
      <c r="A132" s="8"/>
      <c r="B132" s="9"/>
      <c r="C132" s="3"/>
      <c r="D132" s="45"/>
      <c r="E132" s="35"/>
      <c r="F132" s="49"/>
      <c r="G132" s="49"/>
      <c r="H132" s="15" t="str">
        <f t="shared" si="1"/>
        <v/>
      </c>
      <c r="K132" s="16"/>
    </row>
    <row r="133" ht="14.25" customHeight="1">
      <c r="A133" s="8"/>
      <c r="B133" s="51">
        <v>1700.0</v>
      </c>
      <c r="C133" s="52"/>
      <c r="D133" s="53" t="s">
        <v>98</v>
      </c>
      <c r="E133" s="54"/>
      <c r="F133" s="53">
        <v>2023.0</v>
      </c>
      <c r="G133" s="55">
        <v>2024.0</v>
      </c>
      <c r="H133" s="15">
        <f t="shared" si="1"/>
        <v>0.0004943153732</v>
      </c>
      <c r="K133" s="16"/>
    </row>
    <row r="134" ht="14.25" customHeight="1">
      <c r="A134" s="8"/>
      <c r="B134" s="9"/>
      <c r="C134" s="11" t="s">
        <v>54</v>
      </c>
      <c r="D134" s="12" t="s">
        <v>55</v>
      </c>
      <c r="E134" s="46"/>
      <c r="F134" s="13">
        <v>18000.0</v>
      </c>
      <c r="G134" s="36">
        <v>18600.0</v>
      </c>
      <c r="H134" s="15">
        <f t="shared" si="1"/>
        <v>0.03333333333</v>
      </c>
      <c r="K134" s="16"/>
    </row>
    <row r="135" ht="14.25" customHeight="1">
      <c r="A135" s="8"/>
      <c r="B135" s="9"/>
      <c r="C135" s="11" t="s">
        <v>23</v>
      </c>
      <c r="D135" s="12" t="s">
        <v>24</v>
      </c>
      <c r="E135" s="46"/>
      <c r="F135" s="13">
        <v>14300.0</v>
      </c>
      <c r="G135" s="36">
        <v>15000.0</v>
      </c>
      <c r="H135" s="15">
        <f t="shared" si="1"/>
        <v>0.04895104895</v>
      </c>
      <c r="K135" s="16"/>
    </row>
    <row r="136" ht="14.25" customHeight="1">
      <c r="A136" s="8"/>
      <c r="B136" s="9"/>
      <c r="C136" s="11" t="s">
        <v>27</v>
      </c>
      <c r="D136" s="12" t="s">
        <v>28</v>
      </c>
      <c r="E136" s="46"/>
      <c r="F136" s="13">
        <v>11300.0</v>
      </c>
      <c r="G136" s="36">
        <v>12000.0</v>
      </c>
      <c r="H136" s="15">
        <f t="shared" si="1"/>
        <v>0.06194690265</v>
      </c>
      <c r="K136" s="16"/>
    </row>
    <row r="137" ht="14.25" customHeight="1">
      <c r="A137" s="8"/>
      <c r="B137" s="9"/>
      <c r="C137" s="11" t="s">
        <v>95</v>
      </c>
      <c r="D137" s="12" t="s">
        <v>96</v>
      </c>
      <c r="E137" s="46"/>
      <c r="F137" s="13">
        <v>11300.0</v>
      </c>
      <c r="G137" s="36">
        <v>12000.0</v>
      </c>
      <c r="H137" s="15">
        <f t="shared" si="1"/>
        <v>0.06194690265</v>
      </c>
      <c r="K137" s="16"/>
    </row>
    <row r="138" ht="14.25" customHeight="1">
      <c r="A138" s="8"/>
      <c r="B138" s="9"/>
      <c r="C138" s="11" t="s">
        <v>29</v>
      </c>
      <c r="D138" s="12" t="s">
        <v>30</v>
      </c>
      <c r="E138" s="46"/>
      <c r="F138" s="13">
        <v>0.0</v>
      </c>
      <c r="G138" s="13">
        <v>0.0</v>
      </c>
      <c r="H138" s="15" t="str">
        <f t="shared" si="1"/>
        <v/>
      </c>
      <c r="K138" s="16"/>
    </row>
    <row r="139" ht="14.25" customHeight="1">
      <c r="A139" s="8"/>
      <c r="B139" s="9"/>
      <c r="C139" s="11" t="s">
        <v>31</v>
      </c>
      <c r="D139" s="12" t="s">
        <v>32</v>
      </c>
      <c r="E139" s="46"/>
      <c r="F139" s="13">
        <v>21800.0</v>
      </c>
      <c r="G139" s="36">
        <v>22500.0</v>
      </c>
      <c r="H139" s="15">
        <f t="shared" si="1"/>
        <v>0.03211009174</v>
      </c>
      <c r="K139" s="16"/>
    </row>
    <row r="140" ht="14.25" customHeight="1">
      <c r="A140" s="8"/>
      <c r="B140" s="9"/>
      <c r="C140" s="11" t="s">
        <v>33</v>
      </c>
      <c r="D140" s="12" t="s">
        <v>34</v>
      </c>
      <c r="E140" s="46"/>
      <c r="F140" s="13">
        <v>27100.0</v>
      </c>
      <c r="G140" s="36">
        <v>28000.0</v>
      </c>
      <c r="H140" s="15">
        <f t="shared" si="1"/>
        <v>0.0332103321</v>
      </c>
      <c r="K140" s="16"/>
    </row>
    <row r="141" ht="14.25" customHeight="1">
      <c r="A141" s="8"/>
      <c r="B141" s="9"/>
      <c r="C141" s="11">
        <v>150.0</v>
      </c>
      <c r="D141" s="12" t="s">
        <v>36</v>
      </c>
      <c r="E141" s="46"/>
      <c r="F141" s="13">
        <v>2900.0</v>
      </c>
      <c r="G141" s="36">
        <v>3000.0</v>
      </c>
      <c r="H141" s="15">
        <f t="shared" si="1"/>
        <v>0.03448275862</v>
      </c>
      <c r="K141" s="16"/>
    </row>
    <row r="142" ht="14.25" customHeight="1">
      <c r="A142" s="8"/>
      <c r="B142" s="9"/>
      <c r="C142" s="11" t="s">
        <v>56</v>
      </c>
      <c r="D142" s="12" t="s">
        <v>57</v>
      </c>
      <c r="E142" s="46"/>
      <c r="F142" s="13">
        <v>100.0</v>
      </c>
      <c r="G142" s="36">
        <v>110.0</v>
      </c>
      <c r="H142" s="15">
        <f t="shared" si="1"/>
        <v>0.1</v>
      </c>
      <c r="K142" s="16"/>
    </row>
    <row r="143" ht="14.25" customHeight="1">
      <c r="A143" s="8"/>
      <c r="B143" s="9"/>
      <c r="C143" s="11" t="s">
        <v>37</v>
      </c>
      <c r="D143" s="12" t="s">
        <v>38</v>
      </c>
      <c r="E143" s="46"/>
      <c r="F143" s="13">
        <v>32100.0</v>
      </c>
      <c r="G143" s="36">
        <v>33100.0</v>
      </c>
      <c r="H143" s="15">
        <f t="shared" si="1"/>
        <v>0.03115264798</v>
      </c>
      <c r="K143" s="16"/>
    </row>
    <row r="144" ht="14.25" customHeight="1">
      <c r="A144" s="8"/>
      <c r="B144" s="38">
        <v>1700.0</v>
      </c>
      <c r="E144" s="39"/>
      <c r="F144" s="40">
        <f t="shared" ref="F144:G144" si="17">SUM(F134:F143)</f>
        <v>138900</v>
      </c>
      <c r="G144" s="40">
        <f t="shared" si="17"/>
        <v>144310</v>
      </c>
      <c r="H144" s="15">
        <f t="shared" si="1"/>
        <v>0.03894888409</v>
      </c>
      <c r="K144" s="16"/>
    </row>
    <row r="145" ht="14.25" customHeight="1">
      <c r="A145" s="8"/>
      <c r="B145" s="9"/>
      <c r="C145" s="3"/>
      <c r="D145" s="45"/>
      <c r="E145" s="35"/>
      <c r="F145" s="49"/>
      <c r="G145" s="49"/>
      <c r="H145" s="15" t="str">
        <f t="shared" si="1"/>
        <v/>
      </c>
      <c r="K145" s="16"/>
    </row>
    <row r="146" ht="14.25" customHeight="1">
      <c r="A146" s="8"/>
      <c r="B146" s="51">
        <v>1710.0</v>
      </c>
      <c r="C146" s="52"/>
      <c r="D146" s="53" t="s">
        <v>99</v>
      </c>
      <c r="E146" s="54"/>
      <c r="F146" s="53">
        <v>2023.0</v>
      </c>
      <c r="G146" s="55">
        <v>2024.0</v>
      </c>
      <c r="H146" s="15">
        <f t="shared" si="1"/>
        <v>0.0004943153732</v>
      </c>
      <c r="K146" s="16"/>
    </row>
    <row r="147" ht="14.25" customHeight="1">
      <c r="A147" s="8"/>
      <c r="B147" s="9"/>
      <c r="C147" s="11" t="s">
        <v>27</v>
      </c>
      <c r="D147" s="12" t="s">
        <v>28</v>
      </c>
      <c r="E147" s="58"/>
      <c r="F147" s="13">
        <v>0.0</v>
      </c>
      <c r="G147" s="36">
        <v>8400.0</v>
      </c>
      <c r="H147" s="15" t="str">
        <f t="shared" si="1"/>
        <v/>
      </c>
      <c r="K147" s="16"/>
    </row>
    <row r="148" ht="14.25" customHeight="1">
      <c r="A148" s="8"/>
      <c r="B148" s="9"/>
      <c r="C148" s="11" t="s">
        <v>95</v>
      </c>
      <c r="D148" s="12" t="s">
        <v>96</v>
      </c>
      <c r="E148" s="46"/>
      <c r="F148" s="13">
        <v>0.0</v>
      </c>
      <c r="G148" s="13">
        <v>0.0</v>
      </c>
      <c r="H148" s="15" t="str">
        <f t="shared" si="1"/>
        <v/>
      </c>
      <c r="K148" s="16"/>
    </row>
    <row r="149" ht="14.25" customHeight="1">
      <c r="A149" s="8"/>
      <c r="B149" s="9"/>
      <c r="C149" s="11" t="s">
        <v>29</v>
      </c>
      <c r="D149" s="12" t="s">
        <v>30</v>
      </c>
      <c r="E149" s="58"/>
      <c r="F149" s="13">
        <v>0.0</v>
      </c>
      <c r="G149" s="13">
        <v>0.0</v>
      </c>
      <c r="H149" s="15" t="str">
        <f t="shared" si="1"/>
        <v/>
      </c>
      <c r="K149" s="16"/>
    </row>
    <row r="150" ht="14.25" customHeight="1">
      <c r="A150" s="8"/>
      <c r="B150" s="9"/>
      <c r="C150" s="11" t="s">
        <v>31</v>
      </c>
      <c r="D150" s="12" t="s">
        <v>32</v>
      </c>
      <c r="E150" s="58"/>
      <c r="F150" s="13">
        <v>0.0</v>
      </c>
      <c r="G150" s="36">
        <v>5200.0</v>
      </c>
      <c r="H150" s="15" t="str">
        <f t="shared" si="1"/>
        <v/>
      </c>
      <c r="K150" s="16"/>
    </row>
    <row r="151" ht="14.25" customHeight="1">
      <c r="A151" s="8"/>
      <c r="B151" s="9"/>
      <c r="C151" s="11" t="s">
        <v>33</v>
      </c>
      <c r="D151" s="12" t="s">
        <v>34</v>
      </c>
      <c r="E151" s="58"/>
      <c r="F151" s="13">
        <v>0.0</v>
      </c>
      <c r="G151" s="36">
        <v>11700.0</v>
      </c>
      <c r="H151" s="15" t="str">
        <f t="shared" si="1"/>
        <v/>
      </c>
      <c r="K151" s="16"/>
    </row>
    <row r="152" ht="14.25" customHeight="1">
      <c r="A152" s="8"/>
      <c r="B152" s="9"/>
      <c r="C152" s="11">
        <v>150.0</v>
      </c>
      <c r="D152" s="12" t="s">
        <v>36</v>
      </c>
      <c r="E152" s="58"/>
      <c r="F152" s="13">
        <v>0.0</v>
      </c>
      <c r="G152" s="36">
        <v>5000.0</v>
      </c>
      <c r="H152" s="15" t="str">
        <f t="shared" si="1"/>
        <v/>
      </c>
      <c r="K152" s="16"/>
    </row>
    <row r="153" ht="14.25" customHeight="1">
      <c r="A153" s="8"/>
      <c r="B153" s="9"/>
      <c r="C153" s="11" t="s">
        <v>56</v>
      </c>
      <c r="D153" s="12" t="s">
        <v>57</v>
      </c>
      <c r="E153" s="46"/>
      <c r="F153" s="13">
        <v>0.0</v>
      </c>
      <c r="G153" s="13">
        <v>0.0</v>
      </c>
      <c r="H153" s="15" t="str">
        <f t="shared" si="1"/>
        <v/>
      </c>
      <c r="K153" s="16"/>
    </row>
    <row r="154" ht="14.25" customHeight="1">
      <c r="A154" s="8"/>
      <c r="B154" s="9"/>
      <c r="C154" s="11" t="s">
        <v>37</v>
      </c>
      <c r="D154" s="12" t="s">
        <v>38</v>
      </c>
      <c r="E154" s="46"/>
      <c r="F154" s="13">
        <v>0.0</v>
      </c>
      <c r="G154" s="36">
        <v>8000.0</v>
      </c>
      <c r="H154" s="15" t="str">
        <f t="shared" si="1"/>
        <v/>
      </c>
      <c r="K154" s="16"/>
    </row>
    <row r="155" ht="14.25" customHeight="1">
      <c r="A155" s="8"/>
      <c r="B155" s="38">
        <v>1710.0</v>
      </c>
      <c r="E155" s="39"/>
      <c r="F155" s="40">
        <f t="shared" ref="F155:G155" si="18">SUM(F147:F154)</f>
        <v>0</v>
      </c>
      <c r="G155" s="40">
        <f t="shared" si="18"/>
        <v>38300</v>
      </c>
      <c r="H155" s="15" t="str">
        <f t="shared" si="1"/>
        <v/>
      </c>
      <c r="K155" s="16"/>
    </row>
    <row r="156" ht="14.25" customHeight="1">
      <c r="A156" s="8"/>
      <c r="B156" s="9"/>
      <c r="C156" s="11"/>
      <c r="D156" s="12"/>
      <c r="E156" s="8"/>
      <c r="F156" s="12"/>
      <c r="G156" s="12"/>
      <c r="H156" s="15" t="str">
        <f t="shared" si="1"/>
        <v/>
      </c>
      <c r="K156" s="16"/>
    </row>
    <row r="157" ht="14.25" customHeight="1">
      <c r="A157" s="8"/>
      <c r="B157" s="51">
        <v>2210.0</v>
      </c>
      <c r="C157" s="52"/>
      <c r="D157" s="31" t="s">
        <v>100</v>
      </c>
      <c r="E157" s="54"/>
      <c r="F157" s="53">
        <v>2023.0</v>
      </c>
      <c r="G157" s="55">
        <v>2024.0</v>
      </c>
      <c r="H157" s="15">
        <f t="shared" si="1"/>
        <v>0.0004943153732</v>
      </c>
      <c r="K157" s="16"/>
    </row>
    <row r="158" ht="14.25" customHeight="1">
      <c r="A158" s="8"/>
      <c r="B158" s="9"/>
      <c r="C158" s="11" t="s">
        <v>101</v>
      </c>
      <c r="D158" s="61" t="s">
        <v>102</v>
      </c>
      <c r="E158" s="45"/>
      <c r="F158" s="13">
        <v>11000.0</v>
      </c>
      <c r="G158" s="36">
        <v>40000.0</v>
      </c>
      <c r="H158" s="15">
        <f t="shared" si="1"/>
        <v>2.636363636</v>
      </c>
      <c r="K158" s="16"/>
    </row>
    <row r="159" ht="14.25" customHeight="1">
      <c r="A159" s="8"/>
      <c r="B159" s="9"/>
      <c r="C159" s="11" t="s">
        <v>103</v>
      </c>
      <c r="D159" s="12" t="s">
        <v>104</v>
      </c>
      <c r="E159" s="45"/>
      <c r="F159" s="13">
        <v>15500.0</v>
      </c>
      <c r="G159" s="36">
        <v>10000.0</v>
      </c>
      <c r="H159" s="15">
        <f t="shared" si="1"/>
        <v>-0.3548387097</v>
      </c>
      <c r="K159" s="16"/>
    </row>
    <row r="160" ht="14.25" customHeight="1">
      <c r="A160" s="8"/>
      <c r="B160" s="9"/>
      <c r="C160" s="11" t="s">
        <v>105</v>
      </c>
      <c r="D160" s="12" t="s">
        <v>106</v>
      </c>
      <c r="E160" s="45"/>
      <c r="F160" s="13">
        <v>55000.0</v>
      </c>
      <c r="G160" s="36">
        <v>45000.0</v>
      </c>
      <c r="H160" s="15">
        <f t="shared" si="1"/>
        <v>-0.1818181818</v>
      </c>
      <c r="K160" s="16"/>
    </row>
    <row r="161" ht="14.25" customHeight="1">
      <c r="A161" s="8"/>
      <c r="B161" s="9"/>
      <c r="C161" s="11" t="s">
        <v>107</v>
      </c>
      <c r="D161" s="12" t="s">
        <v>108</v>
      </c>
      <c r="E161" s="45"/>
      <c r="F161" s="13">
        <v>8400.0</v>
      </c>
      <c r="G161" s="36">
        <v>15000.0</v>
      </c>
      <c r="H161" s="15">
        <f t="shared" si="1"/>
        <v>0.7857142857</v>
      </c>
      <c r="K161" s="16"/>
    </row>
    <row r="162" ht="14.25" customHeight="1">
      <c r="A162" s="8"/>
      <c r="B162" s="9"/>
      <c r="C162" s="11" t="s">
        <v>109</v>
      </c>
      <c r="D162" s="12" t="s">
        <v>110</v>
      </c>
      <c r="E162" s="45"/>
      <c r="F162" s="13">
        <v>12500.0</v>
      </c>
      <c r="G162" s="36">
        <v>9000.0</v>
      </c>
      <c r="H162" s="15">
        <f t="shared" si="1"/>
        <v>-0.28</v>
      </c>
      <c r="K162" s="16"/>
    </row>
    <row r="163" ht="14.25" customHeight="1">
      <c r="A163" s="8"/>
      <c r="B163" s="9"/>
      <c r="C163" s="11" t="s">
        <v>111</v>
      </c>
      <c r="D163" s="12" t="s">
        <v>112</v>
      </c>
      <c r="E163" s="45"/>
      <c r="F163" s="13">
        <v>24320.0</v>
      </c>
      <c r="G163" s="36">
        <v>12000.0</v>
      </c>
      <c r="H163" s="15">
        <f t="shared" si="1"/>
        <v>-0.5065789474</v>
      </c>
      <c r="K163" s="16"/>
    </row>
    <row r="164" ht="14.25" customHeight="1">
      <c r="A164" s="8"/>
      <c r="B164" s="38">
        <v>2210.0</v>
      </c>
      <c r="E164" s="39"/>
      <c r="F164" s="40">
        <f t="shared" ref="F164:G164" si="19">SUM(F158:F163)</f>
        <v>126720</v>
      </c>
      <c r="G164" s="40">
        <f t="shared" si="19"/>
        <v>131000</v>
      </c>
      <c r="H164" s="15">
        <f t="shared" si="1"/>
        <v>0.03377525253</v>
      </c>
      <c r="K164" s="16"/>
    </row>
    <row r="165" ht="14.25" customHeight="1">
      <c r="A165" s="8"/>
      <c r="B165" s="9"/>
      <c r="C165" s="11"/>
      <c r="D165" s="12"/>
      <c r="E165" s="8"/>
      <c r="F165" s="12"/>
      <c r="G165" s="12"/>
      <c r="H165" s="15" t="str">
        <f t="shared" si="1"/>
        <v/>
      </c>
      <c r="K165" s="16"/>
    </row>
    <row r="166" ht="14.25" customHeight="1">
      <c r="A166" s="8"/>
      <c r="B166" s="51">
        <v>2310.0</v>
      </c>
      <c r="C166" s="52"/>
      <c r="D166" s="53" t="s">
        <v>113</v>
      </c>
      <c r="E166" s="54"/>
      <c r="F166" s="53">
        <v>2023.0</v>
      </c>
      <c r="G166" s="55">
        <v>2024.0</v>
      </c>
      <c r="H166" s="15">
        <f t="shared" si="1"/>
        <v>0.0004943153732</v>
      </c>
      <c r="K166" s="16"/>
    </row>
    <row r="167" ht="14.25" customHeight="1">
      <c r="A167" s="8"/>
      <c r="B167" s="9"/>
      <c r="C167" s="11" t="s">
        <v>27</v>
      </c>
      <c r="D167" s="12" t="s">
        <v>28</v>
      </c>
      <c r="E167" s="46"/>
      <c r="F167" s="13">
        <v>23500.0</v>
      </c>
      <c r="G167" s="36">
        <v>24500.0</v>
      </c>
      <c r="H167" s="15">
        <f t="shared" si="1"/>
        <v>0.04255319149</v>
      </c>
      <c r="K167" s="16"/>
    </row>
    <row r="168" ht="14.25" customHeight="1">
      <c r="A168" s="8"/>
      <c r="B168" s="9"/>
      <c r="C168" s="11" t="s">
        <v>29</v>
      </c>
      <c r="D168" s="12" t="s">
        <v>30</v>
      </c>
      <c r="E168" s="46"/>
      <c r="F168" s="13">
        <v>250.0</v>
      </c>
      <c r="G168" s="36">
        <v>300.0</v>
      </c>
      <c r="H168" s="15">
        <f t="shared" si="1"/>
        <v>0.2</v>
      </c>
      <c r="K168" s="16"/>
    </row>
    <row r="169" ht="14.25" customHeight="1">
      <c r="A169" s="8"/>
      <c r="B169" s="9"/>
      <c r="C169" s="11" t="s">
        <v>31</v>
      </c>
      <c r="D169" s="12" t="s">
        <v>32</v>
      </c>
      <c r="E169" s="46"/>
      <c r="F169" s="13">
        <v>9800.0</v>
      </c>
      <c r="G169" s="36">
        <v>11000.0</v>
      </c>
      <c r="H169" s="15">
        <f t="shared" si="1"/>
        <v>0.1224489796</v>
      </c>
      <c r="K169" s="16"/>
    </row>
    <row r="170" ht="14.25" customHeight="1">
      <c r="A170" s="8"/>
      <c r="B170" s="9"/>
      <c r="C170" s="11" t="s">
        <v>33</v>
      </c>
      <c r="D170" s="12" t="s">
        <v>34</v>
      </c>
      <c r="E170" s="46"/>
      <c r="F170" s="13">
        <v>14200.0</v>
      </c>
      <c r="G170" s="36">
        <v>15000.0</v>
      </c>
      <c r="H170" s="15">
        <f t="shared" si="1"/>
        <v>0.05633802817</v>
      </c>
      <c r="K170" s="16"/>
    </row>
    <row r="171" ht="14.25" customHeight="1">
      <c r="A171" s="8"/>
      <c r="B171" s="9"/>
      <c r="C171" s="11">
        <v>150.0</v>
      </c>
      <c r="D171" s="12" t="s">
        <v>36</v>
      </c>
      <c r="E171" s="46"/>
      <c r="F171" s="13">
        <v>1310.0</v>
      </c>
      <c r="G171" s="36">
        <v>1500.0</v>
      </c>
      <c r="H171" s="15">
        <f t="shared" si="1"/>
        <v>0.1450381679</v>
      </c>
      <c r="K171" s="16"/>
    </row>
    <row r="172" ht="14.25" customHeight="1">
      <c r="A172" s="8"/>
      <c r="B172" s="9"/>
      <c r="C172" s="11" t="s">
        <v>56</v>
      </c>
      <c r="D172" s="12" t="s">
        <v>57</v>
      </c>
      <c r="E172" s="46"/>
      <c r="F172" s="13">
        <v>100.0</v>
      </c>
      <c r="G172" s="36">
        <v>110.0</v>
      </c>
      <c r="H172" s="15">
        <f t="shared" si="1"/>
        <v>0.1</v>
      </c>
      <c r="K172" s="16"/>
    </row>
    <row r="173" ht="14.25" customHeight="1">
      <c r="A173" s="8"/>
      <c r="B173" s="9"/>
      <c r="C173" s="11" t="s">
        <v>37</v>
      </c>
      <c r="D173" s="12" t="s">
        <v>38</v>
      </c>
      <c r="E173" s="46"/>
      <c r="F173" s="13">
        <v>17000.0</v>
      </c>
      <c r="G173" s="36">
        <v>18000.0</v>
      </c>
      <c r="H173" s="15">
        <f t="shared" si="1"/>
        <v>0.05882352941</v>
      </c>
      <c r="K173" s="16"/>
    </row>
    <row r="174" ht="14.25" customHeight="1">
      <c r="A174" s="8"/>
      <c r="B174" s="9"/>
      <c r="C174" s="11" t="s">
        <v>89</v>
      </c>
      <c r="D174" s="61" t="s">
        <v>40</v>
      </c>
      <c r="E174" s="46"/>
      <c r="F174" s="13">
        <v>24350.0</v>
      </c>
      <c r="G174" s="36">
        <v>25500.0</v>
      </c>
      <c r="H174" s="15">
        <f t="shared" si="1"/>
        <v>0.04722792608</v>
      </c>
      <c r="K174" s="16"/>
    </row>
    <row r="175" ht="14.25" customHeight="1">
      <c r="A175" s="8"/>
      <c r="B175" s="9"/>
      <c r="C175" s="11" t="s">
        <v>90</v>
      </c>
      <c r="D175" s="12" t="s">
        <v>86</v>
      </c>
      <c r="E175" s="46"/>
      <c r="F175" s="13">
        <v>3900.0</v>
      </c>
      <c r="G175" s="36">
        <v>4100.0</v>
      </c>
      <c r="H175" s="15">
        <f t="shared" si="1"/>
        <v>0.05128205128</v>
      </c>
      <c r="K175" s="16"/>
    </row>
    <row r="176" ht="14.25" customHeight="1">
      <c r="A176" s="8"/>
      <c r="B176" s="9"/>
      <c r="C176" s="11" t="s">
        <v>91</v>
      </c>
      <c r="D176" s="12" t="s">
        <v>42</v>
      </c>
      <c r="E176" s="46"/>
      <c r="F176" s="13">
        <v>7700.0</v>
      </c>
      <c r="G176" s="36">
        <v>8000.0</v>
      </c>
      <c r="H176" s="15">
        <f t="shared" si="1"/>
        <v>0.03896103896</v>
      </c>
      <c r="K176" s="16"/>
    </row>
    <row r="177" ht="14.25" customHeight="1">
      <c r="A177" s="8"/>
      <c r="B177" s="9"/>
      <c r="C177" s="11" t="s">
        <v>92</v>
      </c>
      <c r="D177" s="12" t="s">
        <v>38</v>
      </c>
      <c r="E177" s="46"/>
      <c r="F177" s="13">
        <v>10700.0</v>
      </c>
      <c r="G177" s="36">
        <v>11500.0</v>
      </c>
      <c r="H177" s="15">
        <f t="shared" si="1"/>
        <v>0.07476635514</v>
      </c>
      <c r="K177" s="16"/>
    </row>
    <row r="178" ht="14.25" customHeight="1">
      <c r="A178" s="8"/>
      <c r="B178" s="9"/>
      <c r="C178" s="11" t="s">
        <v>39</v>
      </c>
      <c r="D178" s="12" t="s">
        <v>40</v>
      </c>
      <c r="E178" s="46"/>
      <c r="F178" s="13">
        <v>77300.0</v>
      </c>
      <c r="G178" s="36">
        <v>80000.0</v>
      </c>
      <c r="H178" s="15">
        <f t="shared" si="1"/>
        <v>0.03492884864</v>
      </c>
      <c r="K178" s="16"/>
    </row>
    <row r="179" ht="14.25" customHeight="1">
      <c r="A179" s="8"/>
      <c r="B179" s="9"/>
      <c r="C179" s="11" t="s">
        <v>41</v>
      </c>
      <c r="D179" s="12" t="s">
        <v>42</v>
      </c>
      <c r="E179" s="46"/>
      <c r="F179" s="13">
        <v>24210.0</v>
      </c>
      <c r="G179" s="36">
        <v>25000.0</v>
      </c>
      <c r="H179" s="15">
        <f t="shared" si="1"/>
        <v>0.03263114416</v>
      </c>
      <c r="K179" s="16"/>
    </row>
    <row r="180" ht="14.25" customHeight="1">
      <c r="A180" s="8"/>
      <c r="B180" s="9"/>
      <c r="C180" s="11" t="s">
        <v>44</v>
      </c>
      <c r="D180" s="12" t="s">
        <v>38</v>
      </c>
      <c r="E180" s="46"/>
      <c r="F180" s="13">
        <v>30100.0</v>
      </c>
      <c r="G180" s="36">
        <v>31500.0</v>
      </c>
      <c r="H180" s="15">
        <f t="shared" si="1"/>
        <v>0.04651162791</v>
      </c>
      <c r="K180" s="16"/>
    </row>
    <row r="181" ht="14.25" customHeight="1">
      <c r="A181" s="8"/>
      <c r="B181" s="38">
        <v>2310.0</v>
      </c>
      <c r="E181" s="39"/>
      <c r="F181" s="40">
        <f t="shared" ref="F181:G181" si="20">SUM(F167:F180)</f>
        <v>244420</v>
      </c>
      <c r="G181" s="40">
        <f t="shared" si="20"/>
        <v>256010</v>
      </c>
      <c r="H181" s="15">
        <f t="shared" si="1"/>
        <v>0.0474183782</v>
      </c>
      <c r="K181" s="16"/>
    </row>
    <row r="182" ht="14.25" customHeight="1">
      <c r="A182" s="8"/>
      <c r="B182" s="9"/>
      <c r="C182" s="11"/>
      <c r="D182" s="12"/>
      <c r="E182" s="8"/>
      <c r="F182" s="13"/>
      <c r="G182" s="13"/>
      <c r="H182" s="15" t="str">
        <f t="shared" si="1"/>
        <v/>
      </c>
      <c r="K182" s="16"/>
    </row>
    <row r="183" ht="14.25" customHeight="1">
      <c r="A183" s="8"/>
      <c r="B183" s="51">
        <v>2311.0</v>
      </c>
      <c r="C183" s="52"/>
      <c r="D183" s="53" t="s">
        <v>114</v>
      </c>
      <c r="E183" s="54"/>
      <c r="F183" s="53">
        <v>2023.0</v>
      </c>
      <c r="G183" s="55">
        <v>2024.0</v>
      </c>
      <c r="H183" s="15">
        <f t="shared" si="1"/>
        <v>0.0004943153732</v>
      </c>
      <c r="K183" s="16"/>
    </row>
    <row r="184" ht="14.25" customHeight="1">
      <c r="A184" s="8"/>
      <c r="B184" s="9"/>
      <c r="C184" s="11" t="s">
        <v>83</v>
      </c>
      <c r="D184" s="12" t="s">
        <v>84</v>
      </c>
      <c r="E184" s="46"/>
      <c r="F184" s="13">
        <v>13700.0</v>
      </c>
      <c r="G184" s="36">
        <v>14500.0</v>
      </c>
      <c r="H184" s="15">
        <f t="shared" si="1"/>
        <v>0.05839416058</v>
      </c>
      <c r="K184" s="16"/>
    </row>
    <row r="185" ht="14.25" customHeight="1">
      <c r="A185" s="8"/>
      <c r="B185" s="9"/>
      <c r="C185" s="11" t="s">
        <v>54</v>
      </c>
      <c r="D185" s="12" t="s">
        <v>55</v>
      </c>
      <c r="E185" s="46"/>
      <c r="F185" s="13">
        <v>34600.0</v>
      </c>
      <c r="G185" s="36">
        <f>36000+42500</f>
        <v>78500</v>
      </c>
      <c r="H185" s="15">
        <f t="shared" si="1"/>
        <v>1.268786127</v>
      </c>
      <c r="K185" s="16"/>
    </row>
    <row r="186" ht="14.25" customHeight="1">
      <c r="A186" s="8"/>
      <c r="B186" s="9"/>
      <c r="C186" s="11" t="s">
        <v>29</v>
      </c>
      <c r="D186" s="12" t="s">
        <v>30</v>
      </c>
      <c r="E186" s="46"/>
      <c r="F186" s="13">
        <v>4200.0</v>
      </c>
      <c r="G186" s="36">
        <v>4400.0</v>
      </c>
      <c r="H186" s="15">
        <f t="shared" si="1"/>
        <v>0.04761904762</v>
      </c>
      <c r="K186" s="16"/>
    </row>
    <row r="187" ht="14.25" customHeight="1">
      <c r="A187" s="8"/>
      <c r="B187" s="9"/>
      <c r="C187" s="11" t="s">
        <v>31</v>
      </c>
      <c r="D187" s="12" t="s">
        <v>32</v>
      </c>
      <c r="E187" s="46"/>
      <c r="F187" s="13">
        <v>16100.0</v>
      </c>
      <c r="G187" s="36">
        <f>17000+13762.5</f>
        <v>30762.5</v>
      </c>
      <c r="H187" s="15">
        <f t="shared" si="1"/>
        <v>0.9107142857</v>
      </c>
      <c r="K187" s="16"/>
    </row>
    <row r="188" ht="14.25" customHeight="1">
      <c r="A188" s="8"/>
      <c r="B188" s="9"/>
      <c r="C188" s="11" t="s">
        <v>33</v>
      </c>
      <c r="D188" s="12" t="s">
        <v>34</v>
      </c>
      <c r="E188" s="46"/>
      <c r="F188" s="13">
        <v>17500.0</v>
      </c>
      <c r="G188" s="36">
        <f>18500+16250</f>
        <v>34750</v>
      </c>
      <c r="H188" s="15">
        <f t="shared" si="1"/>
        <v>0.9857142857</v>
      </c>
      <c r="K188" s="16"/>
    </row>
    <row r="189" ht="14.25" customHeight="1">
      <c r="A189" s="8"/>
      <c r="B189" s="9"/>
      <c r="C189" s="11">
        <v>150.0</v>
      </c>
      <c r="D189" s="12" t="s">
        <v>36</v>
      </c>
      <c r="E189" s="46"/>
      <c r="F189" s="13">
        <v>2000.0</v>
      </c>
      <c r="G189" s="36">
        <f>2100+1625</f>
        <v>3725</v>
      </c>
      <c r="H189" s="15">
        <f t="shared" si="1"/>
        <v>0.8625</v>
      </c>
      <c r="K189" s="16"/>
    </row>
    <row r="190" ht="14.25" customHeight="1">
      <c r="A190" s="8"/>
      <c r="B190" s="9"/>
      <c r="C190" s="11" t="s">
        <v>56</v>
      </c>
      <c r="D190" s="12" t="s">
        <v>57</v>
      </c>
      <c r="E190" s="46"/>
      <c r="F190" s="13">
        <v>100.0</v>
      </c>
      <c r="G190" s="36">
        <v>110.0</v>
      </c>
      <c r="H190" s="15">
        <f t="shared" si="1"/>
        <v>0.1</v>
      </c>
      <c r="K190" s="16"/>
    </row>
    <row r="191" ht="14.25" customHeight="1">
      <c r="A191" s="8"/>
      <c r="B191" s="9"/>
      <c r="C191" s="11" t="s">
        <v>37</v>
      </c>
      <c r="D191" s="12" t="s">
        <v>38</v>
      </c>
      <c r="E191" s="46"/>
      <c r="F191" s="13">
        <v>25600.0</v>
      </c>
      <c r="G191" s="36">
        <f>26500+23750</f>
        <v>50250</v>
      </c>
      <c r="H191" s="15">
        <f t="shared" si="1"/>
        <v>0.962890625</v>
      </c>
      <c r="K191" s="16"/>
    </row>
    <row r="192" ht="14.25" customHeight="1">
      <c r="A192" s="8"/>
      <c r="B192" s="9"/>
      <c r="C192" s="11" t="s">
        <v>89</v>
      </c>
      <c r="D192" s="61" t="s">
        <v>40</v>
      </c>
      <c r="E192" s="46"/>
      <c r="F192" s="13">
        <v>49200.0</v>
      </c>
      <c r="G192" s="36">
        <v>51000.0</v>
      </c>
      <c r="H192" s="15">
        <f t="shared" si="1"/>
        <v>0.03658536585</v>
      </c>
      <c r="K192" s="16"/>
    </row>
    <row r="193" ht="14.25" customHeight="1">
      <c r="A193" s="8"/>
      <c r="B193" s="9"/>
      <c r="C193" s="11" t="s">
        <v>90</v>
      </c>
      <c r="D193" s="12" t="s">
        <v>86</v>
      </c>
      <c r="E193" s="58"/>
      <c r="F193" s="13">
        <v>3000.0</v>
      </c>
      <c r="G193" s="36">
        <v>3100.0</v>
      </c>
      <c r="H193" s="15">
        <f t="shared" si="1"/>
        <v>0.03333333333</v>
      </c>
      <c r="K193" s="16"/>
    </row>
    <row r="194" ht="14.25" customHeight="1">
      <c r="A194" s="8"/>
      <c r="B194" s="9"/>
      <c r="C194" s="11" t="s">
        <v>91</v>
      </c>
      <c r="D194" s="12" t="s">
        <v>42</v>
      </c>
      <c r="E194" s="58"/>
      <c r="F194" s="13">
        <v>13200.0</v>
      </c>
      <c r="G194" s="36">
        <v>14000.0</v>
      </c>
      <c r="H194" s="15">
        <f t="shared" si="1"/>
        <v>0.06060606061</v>
      </c>
      <c r="K194" s="16"/>
    </row>
    <row r="195" ht="14.25" customHeight="1">
      <c r="A195" s="8"/>
      <c r="B195" s="9"/>
      <c r="C195" s="11" t="s">
        <v>92</v>
      </c>
      <c r="D195" s="12" t="s">
        <v>38</v>
      </c>
      <c r="E195" s="58"/>
      <c r="F195" s="13">
        <v>19000.0</v>
      </c>
      <c r="G195" s="36">
        <v>20000.0</v>
      </c>
      <c r="H195" s="15">
        <f t="shared" si="1"/>
        <v>0.05263157895</v>
      </c>
      <c r="K195" s="16"/>
    </row>
    <row r="196" ht="14.25" customHeight="1">
      <c r="A196" s="8"/>
      <c r="B196" s="9"/>
      <c r="C196" s="11" t="s">
        <v>39</v>
      </c>
      <c r="D196" s="12" t="s">
        <v>40</v>
      </c>
      <c r="E196" s="46"/>
      <c r="F196" s="13">
        <v>899500.0</v>
      </c>
      <c r="G196" s="36">
        <v>930000.0</v>
      </c>
      <c r="H196" s="15">
        <f t="shared" si="1"/>
        <v>0.03390772651</v>
      </c>
      <c r="K196" s="16"/>
    </row>
    <row r="197" ht="14.25" customHeight="1">
      <c r="A197" s="8"/>
      <c r="B197" s="9"/>
      <c r="C197" s="11" t="s">
        <v>41</v>
      </c>
      <c r="D197" s="12" t="s">
        <v>42</v>
      </c>
      <c r="E197" s="46"/>
      <c r="F197" s="13">
        <v>252000.0</v>
      </c>
      <c r="G197" s="36">
        <v>260000.0</v>
      </c>
      <c r="H197" s="15">
        <f t="shared" si="1"/>
        <v>0.03174603175</v>
      </c>
      <c r="K197" s="16"/>
    </row>
    <row r="198" ht="14.25" customHeight="1">
      <c r="A198" s="8"/>
      <c r="B198" s="9"/>
      <c r="C198" s="11" t="s">
        <v>44</v>
      </c>
      <c r="D198" s="12" t="s">
        <v>38</v>
      </c>
      <c r="E198" s="46"/>
      <c r="F198" s="13">
        <v>332800.0</v>
      </c>
      <c r="G198" s="36">
        <v>343000.0</v>
      </c>
      <c r="H198" s="15">
        <f t="shared" si="1"/>
        <v>0.03064903846</v>
      </c>
      <c r="K198" s="16"/>
    </row>
    <row r="199" ht="14.25" customHeight="1">
      <c r="A199" s="8"/>
      <c r="B199" s="38">
        <v>2311.0</v>
      </c>
      <c r="E199" s="39"/>
      <c r="F199" s="40">
        <f t="shared" ref="F199:G199" si="21">SUM(F184:F198)</f>
        <v>1682500</v>
      </c>
      <c r="G199" s="40">
        <f t="shared" si="21"/>
        <v>1838097.5</v>
      </c>
      <c r="H199" s="15">
        <f t="shared" si="1"/>
        <v>0.09247994056</v>
      </c>
      <c r="K199" s="16"/>
    </row>
    <row r="200" ht="14.25" customHeight="1">
      <c r="A200" s="8"/>
      <c r="B200" s="9"/>
      <c r="C200" s="11"/>
      <c r="D200" s="12"/>
      <c r="E200" s="8"/>
      <c r="F200" s="13"/>
      <c r="G200" s="13"/>
      <c r="H200" s="15" t="str">
        <f t="shared" si="1"/>
        <v/>
      </c>
      <c r="K200" s="16"/>
    </row>
    <row r="201" ht="14.25" customHeight="1">
      <c r="A201" s="8"/>
      <c r="B201" s="51">
        <v>2411.0</v>
      </c>
      <c r="C201" s="52"/>
      <c r="D201" s="31" t="s">
        <v>115</v>
      </c>
      <c r="E201" s="54"/>
      <c r="F201" s="53">
        <v>2023.0</v>
      </c>
      <c r="G201" s="55">
        <v>2024.0</v>
      </c>
      <c r="H201" s="15">
        <f t="shared" si="1"/>
        <v>0.0004943153732</v>
      </c>
      <c r="K201" s="16"/>
    </row>
    <row r="202" ht="14.25" customHeight="1">
      <c r="A202" s="8"/>
      <c r="B202" s="9"/>
      <c r="C202" s="11" t="s">
        <v>39</v>
      </c>
      <c r="D202" s="12" t="s">
        <v>40</v>
      </c>
      <c r="E202" s="46"/>
      <c r="F202" s="13">
        <v>144000.0</v>
      </c>
      <c r="G202" s="36">
        <v>150000.0</v>
      </c>
      <c r="H202" s="15">
        <f t="shared" si="1"/>
        <v>0.04166666667</v>
      </c>
      <c r="K202" s="16"/>
    </row>
    <row r="203" ht="14.25" customHeight="1">
      <c r="A203" s="8"/>
      <c r="B203" s="9"/>
      <c r="C203" s="11" t="s">
        <v>44</v>
      </c>
      <c r="D203" s="12" t="s">
        <v>38</v>
      </c>
      <c r="E203" s="46"/>
      <c r="F203" s="13">
        <v>76000.0</v>
      </c>
      <c r="G203" s="36">
        <v>79000.0</v>
      </c>
      <c r="H203" s="15">
        <f t="shared" si="1"/>
        <v>0.03947368421</v>
      </c>
      <c r="K203" s="16"/>
    </row>
    <row r="204" ht="14.25" customHeight="1">
      <c r="A204" s="8"/>
      <c r="B204" s="38">
        <v>2411.0</v>
      </c>
      <c r="E204" s="39"/>
      <c r="F204" s="40">
        <f t="shared" ref="F204:G204" si="22">SUM(F202:F203)</f>
        <v>220000</v>
      </c>
      <c r="G204" s="40">
        <f t="shared" si="22"/>
        <v>229000</v>
      </c>
      <c r="H204" s="15">
        <f t="shared" si="1"/>
        <v>0.04090909091</v>
      </c>
      <c r="K204" s="16"/>
    </row>
    <row r="205" ht="14.25" customHeight="1">
      <c r="A205" s="8"/>
      <c r="B205" s="9"/>
      <c r="C205" s="11"/>
      <c r="D205" s="12"/>
      <c r="E205" s="8"/>
      <c r="F205" s="13"/>
      <c r="G205" s="13"/>
      <c r="H205" s="15" t="str">
        <f t="shared" si="1"/>
        <v/>
      </c>
      <c r="K205" s="16"/>
    </row>
    <row r="206" ht="14.25" customHeight="1">
      <c r="A206" s="8"/>
      <c r="B206" s="51">
        <v>3200.0</v>
      </c>
      <c r="C206" s="52"/>
      <c r="D206" s="31" t="s">
        <v>116</v>
      </c>
      <c r="E206" s="54"/>
      <c r="F206" s="53">
        <v>2023.0</v>
      </c>
      <c r="G206" s="55">
        <v>2024.0</v>
      </c>
      <c r="H206" s="15">
        <f t="shared" si="1"/>
        <v>0.0004943153732</v>
      </c>
      <c r="K206" s="16"/>
    </row>
    <row r="207" ht="14.25" customHeight="1">
      <c r="A207" s="8"/>
      <c r="B207" s="9"/>
      <c r="C207" s="11" t="s">
        <v>23</v>
      </c>
      <c r="D207" s="12" t="s">
        <v>24</v>
      </c>
      <c r="E207" s="65"/>
      <c r="F207" s="13">
        <v>14800.0</v>
      </c>
      <c r="G207" s="36">
        <v>15300.0</v>
      </c>
      <c r="H207" s="15">
        <f t="shared" si="1"/>
        <v>0.03378378378</v>
      </c>
      <c r="K207" s="16"/>
    </row>
    <row r="208" ht="14.25" customHeight="1">
      <c r="A208" s="8"/>
      <c r="B208" s="9"/>
      <c r="C208" s="11" t="s">
        <v>29</v>
      </c>
      <c r="D208" s="12" t="s">
        <v>30</v>
      </c>
      <c r="E208" s="65"/>
      <c r="F208" s="13">
        <v>3400.0</v>
      </c>
      <c r="G208" s="36">
        <v>3600.0</v>
      </c>
      <c r="H208" s="15">
        <f t="shared" si="1"/>
        <v>0.05882352941</v>
      </c>
      <c r="K208" s="16"/>
    </row>
    <row r="209" ht="14.25" customHeight="1">
      <c r="A209" s="8"/>
      <c r="B209" s="9"/>
      <c r="C209" s="11" t="s">
        <v>31</v>
      </c>
      <c r="D209" s="12" t="s">
        <v>32</v>
      </c>
      <c r="E209" s="65"/>
      <c r="F209" s="13">
        <v>6200.0</v>
      </c>
      <c r="G209" s="36">
        <v>6500.0</v>
      </c>
      <c r="H209" s="15">
        <f t="shared" si="1"/>
        <v>0.04838709677</v>
      </c>
      <c r="K209" s="16"/>
    </row>
    <row r="210" ht="14.25" customHeight="1">
      <c r="A210" s="8"/>
      <c r="B210" s="9"/>
      <c r="C210" s="11" t="s">
        <v>33</v>
      </c>
      <c r="D210" s="12" t="s">
        <v>34</v>
      </c>
      <c r="E210" s="37"/>
      <c r="F210" s="13">
        <v>10650.0</v>
      </c>
      <c r="G210" s="36">
        <v>11000.0</v>
      </c>
      <c r="H210" s="15">
        <f t="shared" si="1"/>
        <v>0.03286384977</v>
      </c>
      <c r="K210" s="16"/>
    </row>
    <row r="211" ht="14.25" customHeight="1">
      <c r="A211" s="8"/>
      <c r="B211" s="9"/>
      <c r="C211" s="11">
        <v>150.0</v>
      </c>
      <c r="D211" s="12" t="s">
        <v>36</v>
      </c>
      <c r="E211" s="65"/>
      <c r="F211" s="13">
        <v>650.0</v>
      </c>
      <c r="G211" s="36">
        <v>670.0</v>
      </c>
      <c r="H211" s="15">
        <f t="shared" si="1"/>
        <v>0.03076923077</v>
      </c>
      <c r="K211" s="16"/>
    </row>
    <row r="212" ht="14.25" customHeight="1">
      <c r="A212" s="8"/>
      <c r="B212" s="9"/>
      <c r="C212" s="11" t="s">
        <v>37</v>
      </c>
      <c r="D212" s="12" t="s">
        <v>38</v>
      </c>
      <c r="E212" s="37"/>
      <c r="F212" s="13">
        <v>9300.0</v>
      </c>
      <c r="G212" s="36">
        <v>9600.0</v>
      </c>
      <c r="H212" s="15">
        <f t="shared" si="1"/>
        <v>0.03225806452</v>
      </c>
      <c r="K212" s="16"/>
    </row>
    <row r="213" ht="14.25" customHeight="1">
      <c r="A213" s="8"/>
      <c r="B213" s="9"/>
      <c r="C213" s="11" t="s">
        <v>89</v>
      </c>
      <c r="D213" s="61" t="s">
        <v>40</v>
      </c>
      <c r="E213" s="37"/>
      <c r="F213" s="13">
        <v>35800.0</v>
      </c>
      <c r="G213" s="36">
        <v>37000.0</v>
      </c>
      <c r="H213" s="15">
        <f t="shared" si="1"/>
        <v>0.03351955307</v>
      </c>
      <c r="K213" s="16"/>
    </row>
    <row r="214" ht="14.25" customHeight="1">
      <c r="A214" s="8"/>
      <c r="B214" s="9"/>
      <c r="C214" s="11" t="s">
        <v>90</v>
      </c>
      <c r="D214" s="12" t="s">
        <v>86</v>
      </c>
      <c r="E214" s="65"/>
      <c r="F214" s="13">
        <v>1000.0</v>
      </c>
      <c r="G214" s="36">
        <v>1050.0</v>
      </c>
      <c r="H214" s="15">
        <f t="shared" si="1"/>
        <v>0.05</v>
      </c>
      <c r="K214" s="16"/>
    </row>
    <row r="215" ht="14.25" customHeight="1">
      <c r="A215" s="8"/>
      <c r="B215" s="9"/>
      <c r="C215" s="11" t="s">
        <v>91</v>
      </c>
      <c r="D215" s="12" t="s">
        <v>42</v>
      </c>
      <c r="E215" s="65"/>
      <c r="F215" s="13">
        <v>10500.0</v>
      </c>
      <c r="G215" s="36">
        <v>11000.0</v>
      </c>
      <c r="H215" s="15">
        <f t="shared" si="1"/>
        <v>0.04761904762</v>
      </c>
      <c r="K215" s="16"/>
    </row>
    <row r="216" ht="14.25" customHeight="1">
      <c r="A216" s="8"/>
      <c r="B216" s="9"/>
      <c r="C216" s="11" t="s">
        <v>92</v>
      </c>
      <c r="D216" s="12" t="s">
        <v>38</v>
      </c>
      <c r="E216" s="65"/>
      <c r="F216" s="13">
        <v>13100.0</v>
      </c>
      <c r="G216" s="36">
        <v>13500.0</v>
      </c>
      <c r="H216" s="15">
        <f t="shared" si="1"/>
        <v>0.03053435115</v>
      </c>
      <c r="K216" s="16"/>
    </row>
    <row r="217" ht="14.25" customHeight="1">
      <c r="A217" s="8"/>
      <c r="B217" s="9"/>
      <c r="C217" s="11" t="s">
        <v>39</v>
      </c>
      <c r="D217" s="12" t="s">
        <v>40</v>
      </c>
      <c r="E217" s="46"/>
      <c r="F217" s="13">
        <v>54200.0</v>
      </c>
      <c r="G217" s="36">
        <v>56000.0</v>
      </c>
      <c r="H217" s="15">
        <f t="shared" si="1"/>
        <v>0.0332103321</v>
      </c>
      <c r="K217" s="16"/>
    </row>
    <row r="218" ht="14.25" customHeight="1">
      <c r="A218" s="8"/>
      <c r="B218" s="9"/>
      <c r="C218" s="11" t="s">
        <v>41</v>
      </c>
      <c r="D218" s="12" t="s">
        <v>42</v>
      </c>
      <c r="E218" s="46"/>
      <c r="F218" s="13">
        <v>15500.0</v>
      </c>
      <c r="G218" s="36">
        <v>16000.0</v>
      </c>
      <c r="H218" s="15">
        <f t="shared" si="1"/>
        <v>0.03225806452</v>
      </c>
      <c r="K218" s="16"/>
    </row>
    <row r="219" ht="14.25" customHeight="1">
      <c r="A219" s="8"/>
      <c r="B219" s="9"/>
      <c r="C219" s="11" t="s">
        <v>44</v>
      </c>
      <c r="D219" s="12" t="s">
        <v>38</v>
      </c>
      <c r="E219" s="46"/>
      <c r="F219" s="13">
        <v>19400.0</v>
      </c>
      <c r="G219" s="36">
        <v>20000.0</v>
      </c>
      <c r="H219" s="15">
        <f t="shared" si="1"/>
        <v>0.03092783505</v>
      </c>
      <c r="K219" s="16"/>
    </row>
    <row r="220" ht="14.25" customHeight="1">
      <c r="A220" s="8"/>
      <c r="B220" s="38">
        <v>3200.0</v>
      </c>
      <c r="E220" s="39"/>
      <c r="F220" s="40">
        <f t="shared" ref="F220:G220" si="23">SUM(F207:F219)</f>
        <v>194500</v>
      </c>
      <c r="G220" s="40">
        <f t="shared" si="23"/>
        <v>201220</v>
      </c>
      <c r="H220" s="15">
        <f t="shared" si="1"/>
        <v>0.03455012853</v>
      </c>
      <c r="K220" s="16"/>
    </row>
    <row r="221" ht="14.25" customHeight="1">
      <c r="A221" s="8"/>
      <c r="B221" s="38"/>
      <c r="C221" s="12"/>
      <c r="D221" s="12"/>
      <c r="E221" s="66"/>
      <c r="F221" s="49"/>
      <c r="G221" s="49"/>
      <c r="H221" s="15" t="str">
        <f t="shared" si="1"/>
        <v/>
      </c>
      <c r="K221" s="16"/>
    </row>
    <row r="222" ht="14.25" customHeight="1">
      <c r="A222" s="8"/>
      <c r="B222" s="51">
        <v>3261.0</v>
      </c>
      <c r="C222" s="52"/>
      <c r="D222" s="31" t="s">
        <v>117</v>
      </c>
      <c r="E222" s="54"/>
      <c r="F222" s="53">
        <v>2023.0</v>
      </c>
      <c r="G222" s="55">
        <v>2024.0</v>
      </c>
      <c r="H222" s="15">
        <f t="shared" si="1"/>
        <v>0.0004943153732</v>
      </c>
      <c r="K222" s="16"/>
    </row>
    <row r="223" ht="14.25" customHeight="1">
      <c r="A223" s="8"/>
      <c r="B223" s="9"/>
      <c r="C223" s="11" t="s">
        <v>39</v>
      </c>
      <c r="D223" s="12" t="s">
        <v>40</v>
      </c>
      <c r="E223" s="37"/>
      <c r="F223" s="13">
        <v>371600.0</v>
      </c>
      <c r="G223" s="36">
        <v>390000.0</v>
      </c>
      <c r="H223" s="15">
        <f t="shared" si="1"/>
        <v>0.04951560818</v>
      </c>
      <c r="K223" s="16"/>
    </row>
    <row r="224" ht="14.25" customHeight="1">
      <c r="A224" s="8"/>
      <c r="B224" s="9"/>
      <c r="C224" s="11" t="s">
        <v>85</v>
      </c>
      <c r="D224" s="12" t="s">
        <v>86</v>
      </c>
      <c r="E224" s="37"/>
      <c r="F224" s="13">
        <v>2000.0</v>
      </c>
      <c r="G224" s="36">
        <v>2100.0</v>
      </c>
      <c r="H224" s="15">
        <f t="shared" si="1"/>
        <v>0.05</v>
      </c>
      <c r="K224" s="16"/>
    </row>
    <row r="225" ht="14.25" customHeight="1">
      <c r="A225" s="8"/>
      <c r="B225" s="9"/>
      <c r="C225" s="11" t="s">
        <v>41</v>
      </c>
      <c r="D225" s="12" t="s">
        <v>42</v>
      </c>
      <c r="E225" s="37"/>
      <c r="F225" s="13">
        <v>35100.0</v>
      </c>
      <c r="G225" s="36">
        <v>36500.0</v>
      </c>
      <c r="H225" s="15">
        <f t="shared" si="1"/>
        <v>0.03988603989</v>
      </c>
      <c r="K225" s="16"/>
    </row>
    <row r="226" ht="14.25" customHeight="1">
      <c r="A226" s="8"/>
      <c r="B226" s="9"/>
      <c r="C226" s="11" t="s">
        <v>44</v>
      </c>
      <c r="D226" s="12" t="s">
        <v>38</v>
      </c>
      <c r="E226" s="37"/>
      <c r="F226" s="13">
        <v>132500.0</v>
      </c>
      <c r="G226" s="36">
        <v>137000.0</v>
      </c>
      <c r="H226" s="15">
        <f t="shared" si="1"/>
        <v>0.03396226415</v>
      </c>
      <c r="K226" s="16"/>
    </row>
    <row r="227" ht="14.25" customHeight="1">
      <c r="A227" s="8"/>
      <c r="B227" s="38">
        <v>3261.0</v>
      </c>
      <c r="E227" s="39"/>
      <c r="F227" s="40">
        <f t="shared" ref="F227:G227" si="24">SUM(F223:F226)</f>
        <v>541200</v>
      </c>
      <c r="G227" s="40">
        <f t="shared" si="24"/>
        <v>565600</v>
      </c>
      <c r="H227" s="15">
        <f t="shared" si="1"/>
        <v>0.0450849963</v>
      </c>
      <c r="K227" s="16"/>
    </row>
    <row r="228" ht="14.25" customHeight="1">
      <c r="A228" s="8"/>
      <c r="B228" s="38"/>
      <c r="C228" s="12"/>
      <c r="D228" s="12"/>
      <c r="E228" s="66"/>
      <c r="F228" s="49"/>
      <c r="G228" s="49"/>
      <c r="H228" s="15" t="str">
        <f t="shared" si="1"/>
        <v/>
      </c>
      <c r="K228" s="16"/>
    </row>
    <row r="229" ht="14.25" customHeight="1">
      <c r="A229" s="8"/>
      <c r="B229" s="51">
        <v>3262.0</v>
      </c>
      <c r="C229" s="52"/>
      <c r="D229" s="53" t="s">
        <v>118</v>
      </c>
      <c r="E229" s="54"/>
      <c r="F229" s="53">
        <v>2023.0</v>
      </c>
      <c r="G229" s="55">
        <v>2024.0</v>
      </c>
      <c r="H229" s="15">
        <f t="shared" si="1"/>
        <v>0.0004943153732</v>
      </c>
      <c r="K229" s="16"/>
    </row>
    <row r="230" ht="14.25" customHeight="1">
      <c r="A230" s="8"/>
      <c r="B230" s="9"/>
      <c r="C230" s="11" t="s">
        <v>39</v>
      </c>
      <c r="D230" s="61" t="s">
        <v>40</v>
      </c>
      <c r="E230" s="37"/>
      <c r="F230" s="13">
        <v>95300.0</v>
      </c>
      <c r="G230" s="36">
        <v>99000.0</v>
      </c>
      <c r="H230" s="15">
        <f t="shared" si="1"/>
        <v>0.0388247639</v>
      </c>
      <c r="K230" s="16"/>
    </row>
    <row r="231" ht="14.25" customHeight="1">
      <c r="A231" s="8"/>
      <c r="B231" s="9"/>
      <c r="C231" s="11" t="s">
        <v>85</v>
      </c>
      <c r="D231" s="61" t="s">
        <v>86</v>
      </c>
      <c r="E231" s="37"/>
      <c r="F231" s="13">
        <v>300.0</v>
      </c>
      <c r="G231" s="36">
        <v>350.0</v>
      </c>
      <c r="H231" s="15">
        <f t="shared" si="1"/>
        <v>0.1666666667</v>
      </c>
      <c r="K231" s="16"/>
    </row>
    <row r="232" ht="14.25" customHeight="1">
      <c r="A232" s="8"/>
      <c r="B232" s="9"/>
      <c r="C232" s="11" t="s">
        <v>41</v>
      </c>
      <c r="D232" s="61" t="s">
        <v>42</v>
      </c>
      <c r="E232" s="37"/>
      <c r="F232" s="13">
        <v>26100.0</v>
      </c>
      <c r="G232" s="36">
        <v>27000.0</v>
      </c>
      <c r="H232" s="15">
        <f t="shared" si="1"/>
        <v>0.03448275862</v>
      </c>
      <c r="K232" s="16"/>
    </row>
    <row r="233" ht="14.25" customHeight="1">
      <c r="A233" s="8"/>
      <c r="B233" s="9"/>
      <c r="C233" s="11" t="s">
        <v>44</v>
      </c>
      <c r="D233" s="61" t="s">
        <v>38</v>
      </c>
      <c r="E233" s="37"/>
      <c r="F233" s="13">
        <v>34300.0</v>
      </c>
      <c r="G233" s="36">
        <v>36000.0</v>
      </c>
      <c r="H233" s="15">
        <f t="shared" si="1"/>
        <v>0.04956268222</v>
      </c>
      <c r="K233" s="16"/>
    </row>
    <row r="234" ht="14.25" customHeight="1">
      <c r="A234" s="8"/>
      <c r="B234" s="38">
        <v>3262.0</v>
      </c>
      <c r="E234" s="39"/>
      <c r="F234" s="40">
        <f t="shared" ref="F234:G234" si="25">SUM(F230:F233)</f>
        <v>156000</v>
      </c>
      <c r="G234" s="40">
        <f t="shared" si="25"/>
        <v>162350</v>
      </c>
      <c r="H234" s="15">
        <f t="shared" si="1"/>
        <v>0.04070512821</v>
      </c>
      <c r="K234" s="16"/>
    </row>
    <row r="235" ht="14.25" customHeight="1">
      <c r="A235" s="8"/>
      <c r="B235" s="38"/>
      <c r="C235" s="12"/>
      <c r="D235" s="12"/>
      <c r="E235" s="67"/>
      <c r="F235" s="49"/>
      <c r="G235" s="49"/>
      <c r="H235" s="15" t="str">
        <f t="shared" si="1"/>
        <v/>
      </c>
      <c r="K235" s="16"/>
    </row>
    <row r="236" ht="14.25" customHeight="1">
      <c r="A236" s="8"/>
      <c r="B236" s="51">
        <v>3300.0</v>
      </c>
      <c r="C236" s="52"/>
      <c r="D236" s="31" t="s">
        <v>119</v>
      </c>
      <c r="E236" s="54"/>
      <c r="F236" s="53">
        <v>2023.0</v>
      </c>
      <c r="G236" s="55">
        <v>2024.0</v>
      </c>
      <c r="H236" s="15">
        <f t="shared" si="1"/>
        <v>0.0004943153732</v>
      </c>
      <c r="K236" s="16"/>
    </row>
    <row r="237" ht="14.25" customHeight="1">
      <c r="A237" s="8"/>
      <c r="B237" s="9"/>
      <c r="C237" s="11" t="s">
        <v>23</v>
      </c>
      <c r="D237" s="12" t="s">
        <v>24</v>
      </c>
      <c r="E237" s="65"/>
      <c r="F237" s="13">
        <v>15600.0</v>
      </c>
      <c r="G237" s="36">
        <v>16100.0</v>
      </c>
      <c r="H237" s="15">
        <f t="shared" si="1"/>
        <v>0.03205128205</v>
      </c>
      <c r="K237" s="16"/>
    </row>
    <row r="238" ht="14.25" customHeight="1">
      <c r="A238" s="8"/>
      <c r="B238" s="9"/>
      <c r="C238" s="11" t="s">
        <v>29</v>
      </c>
      <c r="D238" s="12" t="s">
        <v>30</v>
      </c>
      <c r="E238" s="65"/>
      <c r="F238" s="13">
        <v>2600.0</v>
      </c>
      <c r="G238" s="36">
        <v>2700.0</v>
      </c>
      <c r="H238" s="15">
        <f t="shared" si="1"/>
        <v>0.03846153846</v>
      </c>
      <c r="K238" s="16"/>
    </row>
    <row r="239" ht="14.25" customHeight="1">
      <c r="A239" s="8"/>
      <c r="B239" s="9"/>
      <c r="C239" s="11" t="s">
        <v>31</v>
      </c>
      <c r="D239" s="12" t="s">
        <v>32</v>
      </c>
      <c r="E239" s="65"/>
      <c r="F239" s="13">
        <v>6200.0</v>
      </c>
      <c r="G239" s="36">
        <v>6400.0</v>
      </c>
      <c r="H239" s="15">
        <f t="shared" si="1"/>
        <v>0.03225806452</v>
      </c>
      <c r="K239" s="16"/>
    </row>
    <row r="240" ht="14.25" customHeight="1">
      <c r="A240" s="8"/>
      <c r="B240" s="9"/>
      <c r="C240" s="11" t="s">
        <v>33</v>
      </c>
      <c r="D240" s="12" t="s">
        <v>34</v>
      </c>
      <c r="E240" s="37"/>
      <c r="F240" s="13">
        <v>16250.0</v>
      </c>
      <c r="G240" s="36">
        <v>16800.0</v>
      </c>
      <c r="H240" s="15">
        <f t="shared" si="1"/>
        <v>0.03384615385</v>
      </c>
      <c r="K240" s="16"/>
    </row>
    <row r="241" ht="14.25" customHeight="1">
      <c r="A241" s="8"/>
      <c r="B241" s="9"/>
      <c r="C241" s="11">
        <v>150.0</v>
      </c>
      <c r="D241" s="12" t="s">
        <v>36</v>
      </c>
      <c r="E241" s="65"/>
      <c r="F241" s="13">
        <v>660.0</v>
      </c>
      <c r="G241" s="36">
        <v>680.0</v>
      </c>
      <c r="H241" s="15">
        <f t="shared" si="1"/>
        <v>0.0303030303</v>
      </c>
      <c r="K241" s="16"/>
    </row>
    <row r="242" ht="14.25" customHeight="1">
      <c r="A242" s="8"/>
      <c r="B242" s="9"/>
      <c r="C242" s="11" t="s">
        <v>37</v>
      </c>
      <c r="D242" s="12" t="s">
        <v>38</v>
      </c>
      <c r="E242" s="37"/>
      <c r="F242" s="13">
        <v>13200.0</v>
      </c>
      <c r="G242" s="36">
        <v>13600.0</v>
      </c>
      <c r="H242" s="15">
        <f t="shared" si="1"/>
        <v>0.0303030303</v>
      </c>
      <c r="K242" s="16"/>
    </row>
    <row r="243" ht="14.25" customHeight="1">
      <c r="A243" s="8"/>
      <c r="B243" s="9"/>
      <c r="C243" s="11" t="s">
        <v>39</v>
      </c>
      <c r="D243" s="61" t="s">
        <v>40</v>
      </c>
      <c r="E243" s="37"/>
      <c r="F243" s="13">
        <v>55800.0</v>
      </c>
      <c r="G243" s="36">
        <v>57500.0</v>
      </c>
      <c r="H243" s="15">
        <f t="shared" si="1"/>
        <v>0.03046594982</v>
      </c>
      <c r="K243" s="16"/>
    </row>
    <row r="244" ht="14.25" customHeight="1">
      <c r="A244" s="8"/>
      <c r="B244" s="9"/>
      <c r="C244" s="11" t="s">
        <v>85</v>
      </c>
      <c r="D244" s="61" t="s">
        <v>86</v>
      </c>
      <c r="E244" s="37"/>
      <c r="F244" s="13">
        <v>5000.0</v>
      </c>
      <c r="G244" s="36">
        <v>5200.0</v>
      </c>
      <c r="H244" s="15">
        <f t="shared" si="1"/>
        <v>0.04</v>
      </c>
      <c r="K244" s="16"/>
    </row>
    <row r="245" ht="14.25" customHeight="1">
      <c r="A245" s="8"/>
      <c r="B245" s="9"/>
      <c r="C245" s="11" t="s">
        <v>41</v>
      </c>
      <c r="D245" s="61" t="s">
        <v>42</v>
      </c>
      <c r="E245" s="37"/>
      <c r="F245" s="13">
        <v>15600.0</v>
      </c>
      <c r="G245" s="36">
        <v>16300.0</v>
      </c>
      <c r="H245" s="15">
        <f t="shared" si="1"/>
        <v>0.04487179487</v>
      </c>
      <c r="K245" s="16"/>
    </row>
    <row r="246" ht="14.25" customHeight="1">
      <c r="A246" s="8"/>
      <c r="B246" s="9"/>
      <c r="C246" s="11" t="s">
        <v>44</v>
      </c>
      <c r="D246" s="61" t="s">
        <v>38</v>
      </c>
      <c r="E246" s="37"/>
      <c r="F246" s="13">
        <v>22300.0</v>
      </c>
      <c r="G246" s="36">
        <v>23000.0</v>
      </c>
      <c r="H246" s="15">
        <f t="shared" si="1"/>
        <v>0.03139013453</v>
      </c>
      <c r="K246" s="16"/>
    </row>
    <row r="247" ht="14.25" customHeight="1">
      <c r="A247" s="8"/>
      <c r="B247" s="38">
        <v>3300.0</v>
      </c>
      <c r="E247" s="39"/>
      <c r="F247" s="40">
        <f t="shared" ref="F247:G247" si="26">SUM(F237:F246)</f>
        <v>153210</v>
      </c>
      <c r="G247" s="40">
        <f t="shared" si="26"/>
        <v>158280</v>
      </c>
      <c r="H247" s="15">
        <f t="shared" si="1"/>
        <v>0.03309183474</v>
      </c>
      <c r="K247" s="16"/>
    </row>
    <row r="248" ht="14.25" customHeight="1">
      <c r="A248" s="8"/>
      <c r="B248" s="9"/>
      <c r="C248" s="11"/>
      <c r="D248" s="12"/>
      <c r="E248" s="8"/>
      <c r="F248" s="13"/>
      <c r="G248" s="13"/>
      <c r="H248" s="15" t="str">
        <f t="shared" si="1"/>
        <v/>
      </c>
      <c r="K248" s="16"/>
    </row>
    <row r="249" ht="14.25" customHeight="1">
      <c r="A249" s="8"/>
      <c r="B249" s="51">
        <v>3321.0</v>
      </c>
      <c r="C249" s="52"/>
      <c r="D249" s="53" t="s">
        <v>120</v>
      </c>
      <c r="E249" s="54"/>
      <c r="F249" s="53">
        <v>2023.0</v>
      </c>
      <c r="G249" s="55">
        <v>2024.0</v>
      </c>
      <c r="H249" s="15">
        <f t="shared" si="1"/>
        <v>0.0004943153732</v>
      </c>
      <c r="K249" s="16"/>
    </row>
    <row r="250" ht="14.25" customHeight="1">
      <c r="A250" s="8"/>
      <c r="B250" s="9"/>
      <c r="C250" s="11" t="s">
        <v>83</v>
      </c>
      <c r="D250" s="12" t="s">
        <v>84</v>
      </c>
      <c r="E250" s="37"/>
      <c r="F250" s="13">
        <v>20435.0</v>
      </c>
      <c r="G250" s="36">
        <v>21100.0</v>
      </c>
      <c r="H250" s="15">
        <f t="shared" si="1"/>
        <v>0.032542207</v>
      </c>
      <c r="K250" s="16"/>
    </row>
    <row r="251" ht="14.25" customHeight="1">
      <c r="A251" s="8"/>
      <c r="B251" s="9"/>
      <c r="C251" s="11" t="s">
        <v>23</v>
      </c>
      <c r="D251" s="12" t="s">
        <v>24</v>
      </c>
      <c r="E251" s="65"/>
      <c r="F251" s="13">
        <v>29000.0</v>
      </c>
      <c r="G251" s="36">
        <v>30000.0</v>
      </c>
      <c r="H251" s="15">
        <f t="shared" si="1"/>
        <v>0.03448275862</v>
      </c>
      <c r="K251" s="16"/>
    </row>
    <row r="252" ht="14.25" customHeight="1">
      <c r="A252" s="8"/>
      <c r="B252" s="9"/>
      <c r="C252" s="11" t="s">
        <v>27</v>
      </c>
      <c r="D252" s="12" t="s">
        <v>28</v>
      </c>
      <c r="E252" s="65"/>
      <c r="F252" s="13">
        <v>46310.0</v>
      </c>
      <c r="G252" s="36">
        <v>48000.0</v>
      </c>
      <c r="H252" s="15">
        <f t="shared" si="1"/>
        <v>0.03649319801</v>
      </c>
      <c r="K252" s="16"/>
    </row>
    <row r="253" ht="14.25" customHeight="1">
      <c r="A253" s="8"/>
      <c r="B253" s="9"/>
      <c r="C253" s="11" t="s">
        <v>29</v>
      </c>
      <c r="D253" s="12" t="s">
        <v>30</v>
      </c>
      <c r="E253" s="65"/>
      <c r="F253" s="13">
        <v>15700.0</v>
      </c>
      <c r="G253" s="36">
        <v>16300.0</v>
      </c>
      <c r="H253" s="15">
        <f t="shared" si="1"/>
        <v>0.03821656051</v>
      </c>
      <c r="K253" s="16"/>
    </row>
    <row r="254" ht="14.25" customHeight="1">
      <c r="A254" s="8"/>
      <c r="B254" s="9"/>
      <c r="C254" s="11" t="s">
        <v>31</v>
      </c>
      <c r="D254" s="12" t="s">
        <v>32</v>
      </c>
      <c r="E254" s="65"/>
      <c r="F254" s="13">
        <v>39001.0</v>
      </c>
      <c r="G254" s="36">
        <v>41000.0</v>
      </c>
      <c r="H254" s="15">
        <f t="shared" si="1"/>
        <v>0.05125509602</v>
      </c>
      <c r="K254" s="16"/>
    </row>
    <row r="255" ht="14.25" customHeight="1">
      <c r="A255" s="8"/>
      <c r="B255" s="9"/>
      <c r="C255" s="11" t="s">
        <v>33</v>
      </c>
      <c r="D255" s="12" t="s">
        <v>34</v>
      </c>
      <c r="E255" s="37"/>
      <c r="F255" s="13">
        <v>46200.0</v>
      </c>
      <c r="G255" s="36">
        <v>48000.0</v>
      </c>
      <c r="H255" s="15">
        <f t="shared" si="1"/>
        <v>0.03896103896</v>
      </c>
      <c r="K255" s="16"/>
    </row>
    <row r="256" ht="14.25" customHeight="1">
      <c r="A256" s="8"/>
      <c r="B256" s="9"/>
      <c r="C256" s="11">
        <v>150.0</v>
      </c>
      <c r="D256" s="12" t="s">
        <v>36</v>
      </c>
      <c r="E256" s="65"/>
      <c r="F256" s="13">
        <v>4800.0</v>
      </c>
      <c r="G256" s="36">
        <v>5000.0</v>
      </c>
      <c r="H256" s="15">
        <f t="shared" si="1"/>
        <v>0.04166666667</v>
      </c>
      <c r="K256" s="16"/>
    </row>
    <row r="257" ht="14.25" customHeight="1">
      <c r="A257" s="8"/>
      <c r="B257" s="9"/>
      <c r="C257" s="11" t="s">
        <v>56</v>
      </c>
      <c r="D257" s="12" t="s">
        <v>57</v>
      </c>
      <c r="E257" s="37"/>
      <c r="F257" s="13">
        <v>1500.0</v>
      </c>
      <c r="G257" s="36">
        <v>1600.0</v>
      </c>
      <c r="H257" s="15">
        <f t="shared" si="1"/>
        <v>0.06666666667</v>
      </c>
      <c r="K257" s="16"/>
    </row>
    <row r="258" ht="14.25" customHeight="1">
      <c r="A258" s="8"/>
      <c r="B258" s="9"/>
      <c r="C258" s="11" t="s">
        <v>37</v>
      </c>
      <c r="D258" s="12" t="s">
        <v>38</v>
      </c>
      <c r="E258" s="37"/>
      <c r="F258" s="13">
        <v>59500.0</v>
      </c>
      <c r="G258" s="36">
        <v>62000.0</v>
      </c>
      <c r="H258" s="15">
        <f t="shared" si="1"/>
        <v>0.04201680672</v>
      </c>
      <c r="K258" s="16"/>
    </row>
    <row r="259" ht="14.25" customHeight="1">
      <c r="A259" s="8"/>
      <c r="B259" s="9"/>
      <c r="C259" s="11" t="s">
        <v>39</v>
      </c>
      <c r="D259" s="12" t="s">
        <v>40</v>
      </c>
      <c r="E259" s="37"/>
      <c r="F259" s="13">
        <v>48000.0</v>
      </c>
      <c r="G259" s="36">
        <v>50000.0</v>
      </c>
      <c r="H259" s="15">
        <f t="shared" si="1"/>
        <v>0.04166666667</v>
      </c>
      <c r="K259" s="16"/>
    </row>
    <row r="260" ht="14.25" customHeight="1">
      <c r="A260" s="8"/>
      <c r="B260" s="9"/>
      <c r="C260" s="11" t="s">
        <v>41</v>
      </c>
      <c r="D260" s="12" t="s">
        <v>42</v>
      </c>
      <c r="E260" s="65"/>
      <c r="F260" s="13">
        <v>16900.0</v>
      </c>
      <c r="G260" s="36">
        <v>17500.0</v>
      </c>
      <c r="H260" s="15">
        <f t="shared" si="1"/>
        <v>0.03550295858</v>
      </c>
      <c r="K260" s="16"/>
    </row>
    <row r="261" ht="14.25" customHeight="1">
      <c r="A261" s="8"/>
      <c r="B261" s="9"/>
      <c r="C261" s="11" t="s">
        <v>44</v>
      </c>
      <c r="D261" s="12" t="s">
        <v>38</v>
      </c>
      <c r="E261" s="65"/>
      <c r="F261" s="13">
        <v>19100.0</v>
      </c>
      <c r="G261" s="36">
        <v>20000.0</v>
      </c>
      <c r="H261" s="15">
        <f t="shared" si="1"/>
        <v>0.04712041885</v>
      </c>
      <c r="K261" s="16"/>
    </row>
    <row r="262" ht="14.25" customHeight="1">
      <c r="A262" s="8"/>
      <c r="B262" s="38">
        <v>3321.0</v>
      </c>
      <c r="E262" s="39"/>
      <c r="F262" s="40">
        <f t="shared" ref="F262:G262" si="27">SUM(F250:F261)</f>
        <v>346446</v>
      </c>
      <c r="G262" s="40">
        <f t="shared" si="27"/>
        <v>360500</v>
      </c>
      <c r="H262" s="15">
        <f t="shared" si="1"/>
        <v>0.04056620657</v>
      </c>
      <c r="K262" s="16"/>
    </row>
    <row r="263" ht="14.25" customHeight="1">
      <c r="A263" s="8"/>
      <c r="B263" s="9"/>
      <c r="C263" s="45"/>
      <c r="D263" s="46"/>
      <c r="E263" s="37"/>
      <c r="F263" s="13"/>
      <c r="G263" s="13"/>
      <c r="H263" s="15" t="str">
        <f t="shared" si="1"/>
        <v/>
      </c>
      <c r="K263" s="16"/>
    </row>
    <row r="264" ht="14.25" customHeight="1">
      <c r="A264" s="8"/>
      <c r="B264" s="51">
        <v>3340.0</v>
      </c>
      <c r="C264" s="52"/>
      <c r="D264" s="53" t="s">
        <v>121</v>
      </c>
      <c r="E264" s="54"/>
      <c r="F264" s="53">
        <v>2023.0</v>
      </c>
      <c r="G264" s="55">
        <v>2024.0</v>
      </c>
      <c r="H264" s="15">
        <f t="shared" si="1"/>
        <v>0.0004943153732</v>
      </c>
      <c r="K264" s="16"/>
    </row>
    <row r="265" ht="14.25" customHeight="1">
      <c r="A265" s="8"/>
      <c r="B265" s="9"/>
      <c r="C265" s="11" t="s">
        <v>89</v>
      </c>
      <c r="D265" s="61" t="s">
        <v>40</v>
      </c>
      <c r="E265" s="37"/>
      <c r="F265" s="13">
        <v>60800.0</v>
      </c>
      <c r="G265" s="36">
        <v>63000.0</v>
      </c>
      <c r="H265" s="15">
        <f t="shared" si="1"/>
        <v>0.03618421053</v>
      </c>
      <c r="K265" s="16"/>
    </row>
    <row r="266" ht="14.25" customHeight="1">
      <c r="A266" s="8"/>
      <c r="B266" s="9"/>
      <c r="C266" s="11" t="s">
        <v>90</v>
      </c>
      <c r="D266" s="12" t="s">
        <v>86</v>
      </c>
      <c r="E266" s="65"/>
      <c r="F266" s="13">
        <v>100.0</v>
      </c>
      <c r="G266" s="36">
        <v>110.0</v>
      </c>
      <c r="H266" s="15">
        <f t="shared" si="1"/>
        <v>0.1</v>
      </c>
      <c r="K266" s="16"/>
    </row>
    <row r="267" ht="14.25" customHeight="1">
      <c r="A267" s="8"/>
      <c r="B267" s="9"/>
      <c r="C267" s="11" t="s">
        <v>91</v>
      </c>
      <c r="D267" s="12" t="s">
        <v>42</v>
      </c>
      <c r="E267" s="65"/>
      <c r="F267" s="13">
        <v>17000.0</v>
      </c>
      <c r="G267" s="36">
        <v>18000.0</v>
      </c>
      <c r="H267" s="15">
        <f t="shared" si="1"/>
        <v>0.05882352941</v>
      </c>
      <c r="K267" s="16"/>
    </row>
    <row r="268" ht="14.25" customHeight="1">
      <c r="A268" s="8"/>
      <c r="B268" s="9"/>
      <c r="C268" s="11" t="s">
        <v>92</v>
      </c>
      <c r="D268" s="12" t="s">
        <v>38</v>
      </c>
      <c r="E268" s="65"/>
      <c r="F268" s="13">
        <v>21800.0</v>
      </c>
      <c r="G268" s="36">
        <v>25000.0</v>
      </c>
      <c r="H268" s="15">
        <f t="shared" si="1"/>
        <v>0.1467889908</v>
      </c>
      <c r="K268" s="16"/>
    </row>
    <row r="269" ht="14.25" customHeight="1">
      <c r="A269" s="8"/>
      <c r="B269" s="38">
        <v>3340.0</v>
      </c>
      <c r="E269" s="39"/>
      <c r="F269" s="40">
        <f t="shared" ref="F269:G269" si="28">SUM(F265:F268)</f>
        <v>99700</v>
      </c>
      <c r="G269" s="40">
        <f t="shared" si="28"/>
        <v>106110</v>
      </c>
      <c r="H269" s="15">
        <f t="shared" si="1"/>
        <v>0.06429287864</v>
      </c>
      <c r="K269" s="16"/>
    </row>
    <row r="270" ht="14.25" customHeight="1">
      <c r="A270" s="8"/>
      <c r="B270" s="9"/>
      <c r="C270" s="11"/>
      <c r="D270" s="12"/>
      <c r="E270" s="8"/>
      <c r="F270" s="13"/>
      <c r="G270" s="13"/>
      <c r="H270" s="15" t="str">
        <f t="shared" si="1"/>
        <v/>
      </c>
      <c r="K270" s="16"/>
    </row>
    <row r="271" ht="14.25" customHeight="1">
      <c r="A271" s="8"/>
      <c r="B271" s="51">
        <v>3370.0</v>
      </c>
      <c r="C271" s="52"/>
      <c r="D271" s="31" t="s">
        <v>122</v>
      </c>
      <c r="E271" s="54"/>
      <c r="F271" s="53">
        <v>2023.0</v>
      </c>
      <c r="G271" s="55">
        <v>2024.0</v>
      </c>
      <c r="H271" s="15">
        <f t="shared" si="1"/>
        <v>0.0004943153732</v>
      </c>
      <c r="K271" s="16"/>
    </row>
    <row r="272" ht="14.25" customHeight="1">
      <c r="A272" s="8"/>
      <c r="B272" s="9"/>
      <c r="C272" s="11" t="s">
        <v>95</v>
      </c>
      <c r="D272" s="12" t="s">
        <v>96</v>
      </c>
      <c r="E272" s="37"/>
      <c r="F272" s="13">
        <v>11350.0</v>
      </c>
      <c r="G272" s="36">
        <v>12000.0</v>
      </c>
      <c r="H272" s="15">
        <f t="shared" si="1"/>
        <v>0.05726872247</v>
      </c>
      <c r="K272" s="16"/>
    </row>
    <row r="273" ht="14.25" customHeight="1">
      <c r="A273" s="8"/>
      <c r="B273" s="9"/>
      <c r="C273" s="11" t="s">
        <v>29</v>
      </c>
      <c r="D273" s="12" t="s">
        <v>30</v>
      </c>
      <c r="E273" s="65"/>
      <c r="F273" s="13">
        <v>2100.0</v>
      </c>
      <c r="G273" s="36">
        <v>2200.0</v>
      </c>
      <c r="H273" s="15">
        <f t="shared" si="1"/>
        <v>0.04761904762</v>
      </c>
      <c r="K273" s="16"/>
    </row>
    <row r="274" ht="14.25" customHeight="1">
      <c r="A274" s="8"/>
      <c r="B274" s="9"/>
      <c r="C274" s="11" t="s">
        <v>31</v>
      </c>
      <c r="D274" s="12" t="s">
        <v>32</v>
      </c>
      <c r="E274" s="65"/>
      <c r="F274" s="13">
        <v>4300.0</v>
      </c>
      <c r="G274" s="36">
        <v>4500.0</v>
      </c>
      <c r="H274" s="15">
        <f t="shared" si="1"/>
        <v>0.04651162791</v>
      </c>
      <c r="K274" s="16"/>
    </row>
    <row r="275" ht="14.25" customHeight="1">
      <c r="A275" s="8"/>
      <c r="B275" s="9"/>
      <c r="C275" s="11" t="s">
        <v>33</v>
      </c>
      <c r="D275" s="12" t="s">
        <v>34</v>
      </c>
      <c r="E275" s="65"/>
      <c r="F275" s="13">
        <v>8150.0</v>
      </c>
      <c r="G275" s="36">
        <v>8500.0</v>
      </c>
      <c r="H275" s="15">
        <f t="shared" si="1"/>
        <v>0.04294478528</v>
      </c>
      <c r="K275" s="16"/>
    </row>
    <row r="276" ht="14.25" customHeight="1">
      <c r="A276" s="8"/>
      <c r="B276" s="9"/>
      <c r="C276" s="11">
        <v>150.0</v>
      </c>
      <c r="D276" s="12" t="s">
        <v>36</v>
      </c>
      <c r="E276" s="65"/>
      <c r="F276" s="13">
        <v>660.0</v>
      </c>
      <c r="G276" s="36">
        <v>700.0</v>
      </c>
      <c r="H276" s="15">
        <f t="shared" si="1"/>
        <v>0.06060606061</v>
      </c>
      <c r="K276" s="16"/>
    </row>
    <row r="277" ht="14.25" customHeight="1">
      <c r="A277" s="8"/>
      <c r="B277" s="9"/>
      <c r="C277" s="11" t="s">
        <v>37</v>
      </c>
      <c r="D277" s="12" t="s">
        <v>38</v>
      </c>
      <c r="E277" s="65"/>
      <c r="F277" s="13">
        <v>6700.0</v>
      </c>
      <c r="G277" s="36">
        <v>7000.0</v>
      </c>
      <c r="H277" s="15">
        <f t="shared" si="1"/>
        <v>0.0447761194</v>
      </c>
      <c r="K277" s="16"/>
    </row>
    <row r="278" ht="14.25" customHeight="1">
      <c r="A278" s="8"/>
      <c r="B278" s="9"/>
      <c r="C278" s="11" t="s">
        <v>89</v>
      </c>
      <c r="D278" s="61" t="s">
        <v>40</v>
      </c>
      <c r="E278" s="37"/>
      <c r="F278" s="13">
        <v>12100.0</v>
      </c>
      <c r="G278" s="36">
        <v>12500.0</v>
      </c>
      <c r="H278" s="15">
        <f t="shared" si="1"/>
        <v>0.03305785124</v>
      </c>
      <c r="K278" s="16"/>
    </row>
    <row r="279" ht="14.25" customHeight="1">
      <c r="A279" s="8"/>
      <c r="B279" s="9"/>
      <c r="C279" s="11" t="s">
        <v>90</v>
      </c>
      <c r="D279" s="12" t="s">
        <v>86</v>
      </c>
      <c r="E279" s="65"/>
      <c r="F279" s="13">
        <v>1000.0</v>
      </c>
      <c r="G279" s="36">
        <v>1050.0</v>
      </c>
      <c r="H279" s="15">
        <f t="shared" si="1"/>
        <v>0.05</v>
      </c>
      <c r="K279" s="16"/>
    </row>
    <row r="280" ht="14.25" customHeight="1">
      <c r="A280" s="8"/>
      <c r="B280" s="9"/>
      <c r="C280" s="11" t="s">
        <v>91</v>
      </c>
      <c r="D280" s="12" t="s">
        <v>42</v>
      </c>
      <c r="E280" s="65"/>
      <c r="F280" s="13">
        <v>4900.0</v>
      </c>
      <c r="G280" s="36">
        <v>5050.0</v>
      </c>
      <c r="H280" s="15">
        <f t="shared" si="1"/>
        <v>0.0306122449</v>
      </c>
      <c r="K280" s="16"/>
    </row>
    <row r="281" ht="14.25" customHeight="1">
      <c r="A281" s="8"/>
      <c r="B281" s="9"/>
      <c r="C281" s="11" t="s">
        <v>92</v>
      </c>
      <c r="D281" s="12" t="s">
        <v>38</v>
      </c>
      <c r="E281" s="65"/>
      <c r="F281" s="13">
        <v>6000.0</v>
      </c>
      <c r="G281" s="36">
        <v>6200.0</v>
      </c>
      <c r="H281" s="15">
        <f t="shared" si="1"/>
        <v>0.03333333333</v>
      </c>
      <c r="K281" s="16"/>
    </row>
    <row r="282" ht="14.25" customHeight="1">
      <c r="A282" s="8"/>
      <c r="B282" s="38">
        <v>3370.0</v>
      </c>
      <c r="E282" s="39"/>
      <c r="F282" s="40">
        <f t="shared" ref="F282:G282" si="29">SUM(F272:F281)</f>
        <v>57260</v>
      </c>
      <c r="G282" s="40">
        <f t="shared" si="29"/>
        <v>59700</v>
      </c>
      <c r="H282" s="15">
        <f t="shared" si="1"/>
        <v>0.04261264408</v>
      </c>
      <c r="K282" s="16"/>
    </row>
    <row r="283" ht="14.25" customHeight="1">
      <c r="A283" s="8"/>
      <c r="B283" s="68"/>
      <c r="C283" s="69"/>
      <c r="D283" s="69"/>
      <c r="E283" s="70"/>
      <c r="F283" s="71"/>
      <c r="G283" s="71"/>
      <c r="H283" s="15" t="str">
        <f t="shared" si="1"/>
        <v/>
      </c>
      <c r="K283" s="16"/>
    </row>
    <row r="284" ht="14.25" customHeight="1">
      <c r="A284" s="8"/>
      <c r="B284" s="51">
        <v>3373.0</v>
      </c>
      <c r="C284" s="52"/>
      <c r="D284" s="72" t="s">
        <v>123</v>
      </c>
      <c r="E284" s="54"/>
      <c r="F284" s="53">
        <v>2023.0</v>
      </c>
      <c r="G284" s="55">
        <v>2024.0</v>
      </c>
      <c r="H284" s="15">
        <f t="shared" si="1"/>
        <v>0.0004943153732</v>
      </c>
      <c r="K284" s="16"/>
    </row>
    <row r="285" ht="14.25" customHeight="1">
      <c r="A285" s="8"/>
      <c r="B285" s="9"/>
      <c r="C285" s="11" t="s">
        <v>83</v>
      </c>
      <c r="D285" s="12" t="s">
        <v>84</v>
      </c>
      <c r="E285" s="37"/>
      <c r="F285" s="13">
        <v>0.0</v>
      </c>
      <c r="G285" s="13">
        <v>0.0</v>
      </c>
      <c r="H285" s="15" t="str">
        <f t="shared" si="1"/>
        <v/>
      </c>
      <c r="K285" s="16"/>
    </row>
    <row r="286" ht="14.25" customHeight="1">
      <c r="A286" s="8"/>
      <c r="B286" s="9"/>
      <c r="C286" s="11" t="s">
        <v>54</v>
      </c>
      <c r="D286" s="12" t="s">
        <v>55</v>
      </c>
      <c r="E286" s="37"/>
      <c r="F286" s="13">
        <v>18650.0</v>
      </c>
      <c r="G286" s="36">
        <v>19300.0</v>
      </c>
      <c r="H286" s="15">
        <f t="shared" si="1"/>
        <v>0.03485254692</v>
      </c>
      <c r="K286" s="16"/>
    </row>
    <row r="287" ht="14.25" customHeight="1">
      <c r="A287" s="8"/>
      <c r="B287" s="9"/>
      <c r="C287" s="11" t="s">
        <v>29</v>
      </c>
      <c r="D287" s="12" t="s">
        <v>30</v>
      </c>
      <c r="E287" s="37"/>
      <c r="F287" s="13">
        <v>5600.0</v>
      </c>
      <c r="G287" s="36">
        <v>5800.0</v>
      </c>
      <c r="H287" s="15">
        <f t="shared" si="1"/>
        <v>0.03571428571</v>
      </c>
      <c r="K287" s="16"/>
    </row>
    <row r="288" ht="14.25" customHeight="1">
      <c r="A288" s="8"/>
      <c r="B288" s="9"/>
      <c r="C288" s="11" t="s">
        <v>31</v>
      </c>
      <c r="D288" s="12" t="s">
        <v>32</v>
      </c>
      <c r="E288" s="37"/>
      <c r="F288" s="13">
        <v>8130.0</v>
      </c>
      <c r="G288" s="36">
        <v>8400.0</v>
      </c>
      <c r="H288" s="15">
        <f t="shared" si="1"/>
        <v>0.0332103321</v>
      </c>
      <c r="K288" s="16"/>
    </row>
    <row r="289" ht="14.25" customHeight="1">
      <c r="A289" s="8"/>
      <c r="B289" s="9"/>
      <c r="C289" s="11" t="s">
        <v>33</v>
      </c>
      <c r="D289" s="12" t="s">
        <v>34</v>
      </c>
      <c r="E289" s="37"/>
      <c r="F289" s="13">
        <v>9600.0</v>
      </c>
      <c r="G289" s="36">
        <v>10000.0</v>
      </c>
      <c r="H289" s="15">
        <f t="shared" si="1"/>
        <v>0.04166666667</v>
      </c>
      <c r="K289" s="16"/>
    </row>
    <row r="290" ht="14.25" customHeight="1">
      <c r="A290" s="8"/>
      <c r="B290" s="9"/>
      <c r="C290" s="11">
        <v>150.0</v>
      </c>
      <c r="D290" s="12" t="s">
        <v>36</v>
      </c>
      <c r="E290" s="65"/>
      <c r="F290" s="13">
        <v>900.0</v>
      </c>
      <c r="G290" s="36">
        <v>930.0</v>
      </c>
      <c r="H290" s="15">
        <f t="shared" si="1"/>
        <v>0.03333333333</v>
      </c>
      <c r="K290" s="16"/>
    </row>
    <row r="291" ht="14.25" customHeight="1">
      <c r="A291" s="8"/>
      <c r="B291" s="9"/>
      <c r="C291" s="11" t="s">
        <v>56</v>
      </c>
      <c r="D291" s="12" t="s">
        <v>57</v>
      </c>
      <c r="E291" s="65"/>
      <c r="F291" s="13">
        <v>100.0</v>
      </c>
      <c r="G291" s="36">
        <v>105.0</v>
      </c>
      <c r="H291" s="15">
        <f t="shared" si="1"/>
        <v>0.05</v>
      </c>
      <c r="K291" s="16"/>
    </row>
    <row r="292" ht="14.25" customHeight="1">
      <c r="A292" s="8"/>
      <c r="B292" s="9"/>
      <c r="C292" s="11" t="s">
        <v>37</v>
      </c>
      <c r="D292" s="12" t="s">
        <v>38</v>
      </c>
      <c r="E292" s="65"/>
      <c r="F292" s="13">
        <v>13400.0</v>
      </c>
      <c r="G292" s="36">
        <v>14000.0</v>
      </c>
      <c r="H292" s="15">
        <f t="shared" si="1"/>
        <v>0.0447761194</v>
      </c>
      <c r="K292" s="16"/>
    </row>
    <row r="293" ht="14.25" customHeight="1">
      <c r="A293" s="8"/>
      <c r="B293" s="9"/>
      <c r="C293" s="11" t="s">
        <v>39</v>
      </c>
      <c r="D293" s="12" t="s">
        <v>40</v>
      </c>
      <c r="E293" s="37"/>
      <c r="F293" s="13">
        <v>74200.0</v>
      </c>
      <c r="G293" s="36">
        <v>77000.0</v>
      </c>
      <c r="H293" s="15">
        <f t="shared" si="1"/>
        <v>0.03773584906</v>
      </c>
      <c r="K293" s="16"/>
    </row>
    <row r="294" ht="14.25" customHeight="1">
      <c r="A294" s="8"/>
      <c r="B294" s="9"/>
      <c r="C294" s="11" t="s">
        <v>85</v>
      </c>
      <c r="D294" s="12" t="s">
        <v>86</v>
      </c>
      <c r="E294" s="37"/>
      <c r="F294" s="13">
        <v>1900.0</v>
      </c>
      <c r="G294" s="36">
        <v>2000.0</v>
      </c>
      <c r="H294" s="15">
        <f t="shared" si="1"/>
        <v>0.05263157895</v>
      </c>
      <c r="K294" s="16"/>
    </row>
    <row r="295" ht="14.25" customHeight="1">
      <c r="A295" s="8"/>
      <c r="B295" s="9"/>
      <c r="C295" s="11" t="s">
        <v>41</v>
      </c>
      <c r="D295" s="12" t="s">
        <v>42</v>
      </c>
      <c r="E295" s="37"/>
      <c r="F295" s="13">
        <v>19900.0</v>
      </c>
      <c r="G295" s="36">
        <v>20500.0</v>
      </c>
      <c r="H295" s="15">
        <f t="shared" si="1"/>
        <v>0.03015075377</v>
      </c>
      <c r="K295" s="16"/>
    </row>
    <row r="296" ht="14.25" customHeight="1">
      <c r="A296" s="8"/>
      <c r="B296" s="9"/>
      <c r="C296" s="11" t="s">
        <v>44</v>
      </c>
      <c r="D296" s="12" t="s">
        <v>38</v>
      </c>
      <c r="E296" s="37"/>
      <c r="F296" s="13">
        <v>26100.0</v>
      </c>
      <c r="G296" s="36">
        <v>27000.0</v>
      </c>
      <c r="H296" s="15">
        <f t="shared" si="1"/>
        <v>0.03448275862</v>
      </c>
      <c r="K296" s="16"/>
    </row>
    <row r="297" ht="14.25" customHeight="1">
      <c r="A297" s="8"/>
      <c r="B297" s="38">
        <v>3373.0</v>
      </c>
      <c r="E297" s="39"/>
      <c r="F297" s="40">
        <f t="shared" ref="F297:G297" si="30">SUM(F285:F296)</f>
        <v>178480</v>
      </c>
      <c r="G297" s="40">
        <f t="shared" si="30"/>
        <v>185035</v>
      </c>
      <c r="H297" s="15">
        <f t="shared" si="1"/>
        <v>0.03672680412</v>
      </c>
      <c r="K297" s="16"/>
    </row>
    <row r="298" ht="14.25" customHeight="1">
      <c r="A298" s="8"/>
      <c r="B298" s="9"/>
      <c r="C298" s="11"/>
      <c r="D298" s="12"/>
      <c r="E298" s="8"/>
      <c r="F298" s="13"/>
      <c r="G298" s="13"/>
      <c r="H298" s="15" t="str">
        <f t="shared" si="1"/>
        <v/>
      </c>
      <c r="K298" s="16"/>
    </row>
    <row r="299" ht="14.25" customHeight="1">
      <c r="A299" s="8"/>
      <c r="B299" s="51">
        <v>3380.0</v>
      </c>
      <c r="C299" s="52"/>
      <c r="D299" s="53" t="s">
        <v>124</v>
      </c>
      <c r="E299" s="54"/>
      <c r="F299" s="53">
        <v>2023.0</v>
      </c>
      <c r="G299" s="55">
        <v>2024.0</v>
      </c>
      <c r="H299" s="15">
        <f t="shared" si="1"/>
        <v>0.0004943153732</v>
      </c>
      <c r="K299" s="16"/>
    </row>
    <row r="300" ht="14.25" customHeight="1">
      <c r="A300" s="8"/>
      <c r="B300" s="9"/>
      <c r="C300" s="11" t="s">
        <v>27</v>
      </c>
      <c r="D300" s="12" t="s">
        <v>28</v>
      </c>
      <c r="E300" s="8"/>
      <c r="F300" s="13">
        <v>11830.0</v>
      </c>
      <c r="G300" s="36">
        <v>12500.0</v>
      </c>
      <c r="H300" s="15">
        <f t="shared" si="1"/>
        <v>0.05663567202</v>
      </c>
      <c r="K300" s="16"/>
    </row>
    <row r="301" ht="14.25" customHeight="1">
      <c r="A301" s="8"/>
      <c r="B301" s="9"/>
      <c r="C301" s="11" t="s">
        <v>29</v>
      </c>
      <c r="D301" s="12" t="s">
        <v>30</v>
      </c>
      <c r="E301" s="37"/>
      <c r="F301" s="13">
        <v>750.0</v>
      </c>
      <c r="G301" s="36">
        <v>780.0</v>
      </c>
      <c r="H301" s="15">
        <f t="shared" si="1"/>
        <v>0.04</v>
      </c>
      <c r="K301" s="16"/>
    </row>
    <row r="302" ht="14.25" customHeight="1">
      <c r="A302" s="8"/>
      <c r="B302" s="9"/>
      <c r="C302" s="11" t="s">
        <v>31</v>
      </c>
      <c r="D302" s="12" t="s">
        <v>32</v>
      </c>
      <c r="E302" s="8"/>
      <c r="F302" s="13">
        <v>4900.0</v>
      </c>
      <c r="G302" s="36">
        <v>5050.0</v>
      </c>
      <c r="H302" s="15">
        <f t="shared" si="1"/>
        <v>0.0306122449</v>
      </c>
      <c r="K302" s="16"/>
    </row>
    <row r="303" ht="14.25" customHeight="1">
      <c r="A303" s="8"/>
      <c r="B303" s="9"/>
      <c r="C303" s="11" t="s">
        <v>33</v>
      </c>
      <c r="D303" s="12" t="s">
        <v>34</v>
      </c>
      <c r="E303" s="8"/>
      <c r="F303" s="13">
        <v>7100.0</v>
      </c>
      <c r="G303" s="36">
        <v>7350.0</v>
      </c>
      <c r="H303" s="15">
        <f t="shared" si="1"/>
        <v>0.03521126761</v>
      </c>
      <c r="K303" s="16"/>
    </row>
    <row r="304" ht="14.25" customHeight="1">
      <c r="A304" s="8"/>
      <c r="B304" s="9"/>
      <c r="C304" s="11">
        <v>150.0</v>
      </c>
      <c r="D304" s="12" t="s">
        <v>36</v>
      </c>
      <c r="E304" s="8"/>
      <c r="F304" s="13">
        <v>750.0</v>
      </c>
      <c r="G304" s="36">
        <v>780.0</v>
      </c>
      <c r="H304" s="15">
        <f t="shared" si="1"/>
        <v>0.04</v>
      </c>
      <c r="K304" s="16"/>
    </row>
    <row r="305" ht="14.25" customHeight="1">
      <c r="A305" s="8"/>
      <c r="B305" s="9"/>
      <c r="C305" s="11" t="s">
        <v>56</v>
      </c>
      <c r="D305" s="12" t="s">
        <v>57</v>
      </c>
      <c r="E305" s="8"/>
      <c r="F305" s="13">
        <v>500.0</v>
      </c>
      <c r="G305" s="36">
        <v>520.0</v>
      </c>
      <c r="H305" s="15">
        <f t="shared" si="1"/>
        <v>0.04</v>
      </c>
      <c r="K305" s="16"/>
    </row>
    <row r="306" ht="14.25" customHeight="1">
      <c r="A306" s="8"/>
      <c r="B306" s="9"/>
      <c r="C306" s="11" t="s">
        <v>37</v>
      </c>
      <c r="D306" s="12" t="s">
        <v>38</v>
      </c>
      <c r="E306" s="8"/>
      <c r="F306" s="13">
        <v>8200.0</v>
      </c>
      <c r="G306" s="36">
        <v>8500.0</v>
      </c>
      <c r="H306" s="15">
        <f t="shared" si="1"/>
        <v>0.03658536585</v>
      </c>
      <c r="K306" s="16"/>
    </row>
    <row r="307" ht="14.25" customHeight="1">
      <c r="A307" s="8"/>
      <c r="B307" s="38">
        <v>3380.0</v>
      </c>
      <c r="E307" s="39"/>
      <c r="F307" s="40">
        <f t="shared" ref="F307:G307" si="31">SUM(F300:F306)</f>
        <v>34030</v>
      </c>
      <c r="G307" s="40">
        <f t="shared" si="31"/>
        <v>35480</v>
      </c>
      <c r="H307" s="15">
        <f t="shared" si="1"/>
        <v>0.04260946224</v>
      </c>
      <c r="K307" s="16"/>
    </row>
    <row r="308" ht="14.25" customHeight="1">
      <c r="A308" s="8"/>
      <c r="B308" s="9"/>
      <c r="C308" s="11"/>
      <c r="D308" s="12"/>
      <c r="E308" s="8"/>
      <c r="F308" s="13"/>
      <c r="G308" s="13"/>
      <c r="H308" s="15" t="str">
        <f t="shared" si="1"/>
        <v/>
      </c>
      <c r="K308" s="16"/>
    </row>
    <row r="309" ht="14.25" customHeight="1">
      <c r="A309" s="8"/>
      <c r="B309" s="51">
        <v>3410.0</v>
      </c>
      <c r="C309" s="52"/>
      <c r="D309" s="53" t="s">
        <v>125</v>
      </c>
      <c r="E309" s="54"/>
      <c r="F309" s="53">
        <v>2023.0</v>
      </c>
      <c r="G309" s="55">
        <v>2024.0</v>
      </c>
      <c r="H309" s="15">
        <f t="shared" si="1"/>
        <v>0.0004943153732</v>
      </c>
      <c r="K309" s="16"/>
    </row>
    <row r="310" ht="14.25" customHeight="1">
      <c r="A310" s="8"/>
      <c r="B310" s="9"/>
      <c r="C310" s="11" t="s">
        <v>23</v>
      </c>
      <c r="D310" s="12" t="s">
        <v>24</v>
      </c>
      <c r="E310" s="65"/>
      <c r="F310" s="13">
        <v>14100.0</v>
      </c>
      <c r="G310" s="36">
        <v>15000.0</v>
      </c>
      <c r="H310" s="15">
        <f t="shared" si="1"/>
        <v>0.06382978723</v>
      </c>
      <c r="K310" s="16"/>
    </row>
    <row r="311" ht="14.25" customHeight="1">
      <c r="A311" s="8"/>
      <c r="B311" s="9"/>
      <c r="C311" s="11" t="s">
        <v>27</v>
      </c>
      <c r="D311" s="12" t="s">
        <v>28</v>
      </c>
      <c r="E311" s="65"/>
      <c r="F311" s="13">
        <v>11300.0</v>
      </c>
      <c r="G311" s="36">
        <v>12000.0</v>
      </c>
      <c r="H311" s="15">
        <f t="shared" si="1"/>
        <v>0.06194690265</v>
      </c>
      <c r="K311" s="16"/>
    </row>
    <row r="312" ht="14.25" customHeight="1">
      <c r="A312" s="8"/>
      <c r="B312" s="9"/>
      <c r="C312" s="11" t="s">
        <v>29</v>
      </c>
      <c r="D312" s="12" t="s">
        <v>30</v>
      </c>
      <c r="E312" s="8"/>
      <c r="F312" s="13">
        <v>750.0</v>
      </c>
      <c r="G312" s="36">
        <v>780.0</v>
      </c>
      <c r="H312" s="15">
        <f t="shared" si="1"/>
        <v>0.04</v>
      </c>
      <c r="K312" s="16"/>
    </row>
    <row r="313" ht="14.25" customHeight="1">
      <c r="A313" s="8"/>
      <c r="B313" s="9"/>
      <c r="C313" s="11" t="s">
        <v>31</v>
      </c>
      <c r="D313" s="12" t="s">
        <v>32</v>
      </c>
      <c r="E313" s="65"/>
      <c r="F313" s="13">
        <v>10400.0</v>
      </c>
      <c r="G313" s="36">
        <v>11000.0</v>
      </c>
      <c r="H313" s="15">
        <f t="shared" si="1"/>
        <v>0.05769230769</v>
      </c>
      <c r="K313" s="16"/>
    </row>
    <row r="314" ht="14.25" customHeight="1">
      <c r="A314" s="8"/>
      <c r="B314" s="9"/>
      <c r="C314" s="11" t="s">
        <v>33</v>
      </c>
      <c r="D314" s="12" t="s">
        <v>34</v>
      </c>
      <c r="E314" s="65"/>
      <c r="F314" s="13">
        <v>13500.0</v>
      </c>
      <c r="G314" s="36">
        <v>14000.0</v>
      </c>
      <c r="H314" s="15">
        <f t="shared" si="1"/>
        <v>0.03703703704</v>
      </c>
      <c r="K314" s="16"/>
    </row>
    <row r="315" ht="14.25" customHeight="1">
      <c r="A315" s="8"/>
      <c r="B315" s="9"/>
      <c r="C315" s="11">
        <v>150.0</v>
      </c>
      <c r="D315" s="12" t="s">
        <v>36</v>
      </c>
      <c r="E315" s="65"/>
      <c r="F315" s="13">
        <v>1300.0</v>
      </c>
      <c r="G315" s="36">
        <v>1400.0</v>
      </c>
      <c r="H315" s="15">
        <f t="shared" si="1"/>
        <v>0.07692307692</v>
      </c>
      <c r="K315" s="16"/>
    </row>
    <row r="316" ht="14.25" customHeight="1">
      <c r="A316" s="8"/>
      <c r="B316" s="9"/>
      <c r="C316" s="11" t="s">
        <v>56</v>
      </c>
      <c r="D316" s="12" t="s">
        <v>57</v>
      </c>
      <c r="E316" s="65"/>
      <c r="F316" s="13">
        <v>300.0</v>
      </c>
      <c r="G316" s="36">
        <v>8500.0</v>
      </c>
      <c r="H316" s="15">
        <f t="shared" si="1"/>
        <v>27.33333333</v>
      </c>
      <c r="K316" s="16"/>
    </row>
    <row r="317" ht="14.25" customHeight="1">
      <c r="A317" s="8"/>
      <c r="B317" s="9"/>
      <c r="C317" s="11" t="s">
        <v>37</v>
      </c>
      <c r="D317" s="12" t="s">
        <v>38</v>
      </c>
      <c r="E317" s="8"/>
      <c r="F317" s="13">
        <v>17000.0</v>
      </c>
      <c r="G317" s="36">
        <v>19000.0</v>
      </c>
      <c r="H317" s="15">
        <f t="shared" si="1"/>
        <v>0.1176470588</v>
      </c>
      <c r="K317" s="16"/>
    </row>
    <row r="318" ht="14.25" customHeight="1">
      <c r="A318" s="8"/>
      <c r="B318" s="38">
        <v>3410.0</v>
      </c>
      <c r="E318" s="39"/>
      <c r="F318" s="40">
        <f t="shared" ref="F318:G318" si="32">SUM(F310:F317)</f>
        <v>68650</v>
      </c>
      <c r="G318" s="40">
        <f t="shared" si="32"/>
        <v>81680</v>
      </c>
      <c r="H318" s="15">
        <f t="shared" si="1"/>
        <v>0.1898033503</v>
      </c>
      <c r="K318" s="16"/>
    </row>
    <row r="319" ht="14.25" customHeight="1">
      <c r="A319" s="8"/>
      <c r="B319" s="9"/>
      <c r="C319" s="11"/>
      <c r="D319" s="45"/>
      <c r="E319" s="8"/>
      <c r="F319" s="49"/>
      <c r="G319" s="49"/>
      <c r="H319" s="15" t="str">
        <f t="shared" si="1"/>
        <v/>
      </c>
      <c r="K319" s="16"/>
    </row>
    <row r="320" ht="14.25" customHeight="1">
      <c r="A320" s="8"/>
      <c r="B320" s="51">
        <v>3420.0</v>
      </c>
      <c r="C320" s="52"/>
      <c r="D320" s="53" t="s">
        <v>126</v>
      </c>
      <c r="E320" s="54"/>
      <c r="F320" s="53">
        <v>2023.0</v>
      </c>
      <c r="G320" s="55">
        <v>2024.0</v>
      </c>
      <c r="H320" s="15">
        <f t="shared" si="1"/>
        <v>0.0004943153732</v>
      </c>
      <c r="K320" s="16"/>
    </row>
    <row r="321" ht="14.25" customHeight="1">
      <c r="A321" s="8"/>
      <c r="B321" s="9"/>
      <c r="C321" s="11" t="s">
        <v>54</v>
      </c>
      <c r="D321" s="12" t="s">
        <v>55</v>
      </c>
      <c r="E321" s="65"/>
      <c r="F321" s="13">
        <v>36100.0</v>
      </c>
      <c r="G321" s="36">
        <v>37500.0</v>
      </c>
      <c r="H321" s="15">
        <f t="shared" si="1"/>
        <v>0.03878116343</v>
      </c>
      <c r="K321" s="16"/>
    </row>
    <row r="322" ht="14.25" customHeight="1">
      <c r="A322" s="8"/>
      <c r="B322" s="9"/>
      <c r="C322" s="11" t="s">
        <v>29</v>
      </c>
      <c r="D322" s="12" t="s">
        <v>30</v>
      </c>
      <c r="E322" s="8"/>
      <c r="F322" s="13">
        <v>2500.0</v>
      </c>
      <c r="G322" s="36">
        <v>2600.0</v>
      </c>
      <c r="H322" s="15">
        <f t="shared" si="1"/>
        <v>0.04</v>
      </c>
      <c r="K322" s="16"/>
    </row>
    <row r="323" ht="14.25" customHeight="1">
      <c r="A323" s="8"/>
      <c r="B323" s="9"/>
      <c r="C323" s="11" t="s">
        <v>31</v>
      </c>
      <c r="D323" s="12" t="s">
        <v>32</v>
      </c>
      <c r="E323" s="37"/>
      <c r="F323" s="13">
        <v>15300.0</v>
      </c>
      <c r="G323" s="36">
        <v>15800.0</v>
      </c>
      <c r="H323" s="15">
        <f t="shared" si="1"/>
        <v>0.03267973856</v>
      </c>
      <c r="K323" s="16"/>
    </row>
    <row r="324" ht="14.25" customHeight="1">
      <c r="A324" s="8"/>
      <c r="B324" s="9"/>
      <c r="C324" s="11" t="s">
        <v>33</v>
      </c>
      <c r="D324" s="12" t="s">
        <v>34</v>
      </c>
      <c r="E324" s="37"/>
      <c r="F324" s="13">
        <v>19500.0</v>
      </c>
      <c r="G324" s="36">
        <v>21000.0</v>
      </c>
      <c r="H324" s="15">
        <f t="shared" si="1"/>
        <v>0.07692307692</v>
      </c>
      <c r="K324" s="16"/>
    </row>
    <row r="325" ht="14.25" customHeight="1">
      <c r="A325" s="8"/>
      <c r="B325" s="9"/>
      <c r="C325" s="11">
        <v>150.0</v>
      </c>
      <c r="D325" s="12" t="s">
        <v>36</v>
      </c>
      <c r="E325" s="37"/>
      <c r="F325" s="13">
        <v>1800.0</v>
      </c>
      <c r="G325" s="36">
        <v>1900.0</v>
      </c>
      <c r="H325" s="15">
        <f t="shared" si="1"/>
        <v>0.05555555556</v>
      </c>
      <c r="K325" s="16"/>
    </row>
    <row r="326" ht="14.25" customHeight="1">
      <c r="A326" s="8"/>
      <c r="B326" s="9"/>
      <c r="C326" s="11" t="s">
        <v>56</v>
      </c>
      <c r="D326" s="12" t="s">
        <v>57</v>
      </c>
      <c r="E326" s="65"/>
      <c r="F326" s="13">
        <v>500.0</v>
      </c>
      <c r="G326" s="36">
        <v>520.0</v>
      </c>
      <c r="H326" s="15">
        <f t="shared" si="1"/>
        <v>0.04</v>
      </c>
      <c r="K326" s="16"/>
    </row>
    <row r="327" ht="14.25" customHeight="1">
      <c r="A327" s="8"/>
      <c r="B327" s="9"/>
      <c r="C327" s="11" t="s">
        <v>37</v>
      </c>
      <c r="D327" s="12" t="s">
        <v>38</v>
      </c>
      <c r="E327" s="37"/>
      <c r="F327" s="13">
        <v>19200.0</v>
      </c>
      <c r="G327" s="36">
        <v>20000.0</v>
      </c>
      <c r="H327" s="15">
        <f t="shared" si="1"/>
        <v>0.04166666667</v>
      </c>
      <c r="K327" s="16"/>
    </row>
    <row r="328" ht="14.25" customHeight="1">
      <c r="A328" s="8"/>
      <c r="B328" s="9"/>
      <c r="C328" s="11" t="s">
        <v>89</v>
      </c>
      <c r="D328" s="61" t="s">
        <v>40</v>
      </c>
      <c r="E328" s="65"/>
      <c r="F328" s="13">
        <v>59500.0</v>
      </c>
      <c r="G328" s="36">
        <v>61500.0</v>
      </c>
      <c r="H328" s="15">
        <f t="shared" si="1"/>
        <v>0.03361344538</v>
      </c>
      <c r="K328" s="16"/>
    </row>
    <row r="329" ht="14.25" customHeight="1">
      <c r="A329" s="8"/>
      <c r="B329" s="9"/>
      <c r="C329" s="11" t="s">
        <v>91</v>
      </c>
      <c r="D329" s="12" t="s">
        <v>42</v>
      </c>
      <c r="E329" s="37"/>
      <c r="F329" s="13">
        <v>19100.0</v>
      </c>
      <c r="G329" s="36">
        <v>20000.0</v>
      </c>
      <c r="H329" s="15">
        <f t="shared" si="1"/>
        <v>0.04712041885</v>
      </c>
      <c r="K329" s="16"/>
    </row>
    <row r="330" ht="14.25" customHeight="1">
      <c r="A330" s="8"/>
      <c r="B330" s="9"/>
      <c r="C330" s="11" t="s">
        <v>39</v>
      </c>
      <c r="D330" s="61" t="s">
        <v>40</v>
      </c>
      <c r="E330" s="65"/>
      <c r="F330" s="13">
        <v>157800.0</v>
      </c>
      <c r="G330" s="36">
        <v>163000.0</v>
      </c>
      <c r="H330" s="15">
        <f t="shared" si="1"/>
        <v>0.0329531052</v>
      </c>
      <c r="K330" s="16"/>
    </row>
    <row r="331" ht="14.25" customHeight="1">
      <c r="A331" s="8"/>
      <c r="B331" s="9"/>
      <c r="C331" s="11" t="s">
        <v>85</v>
      </c>
      <c r="D331" s="12" t="s">
        <v>86</v>
      </c>
      <c r="E331" s="8"/>
      <c r="F331" s="13">
        <v>3000.0</v>
      </c>
      <c r="G331" s="36">
        <v>3100.0</v>
      </c>
      <c r="H331" s="15">
        <f t="shared" si="1"/>
        <v>0.03333333333</v>
      </c>
      <c r="K331" s="16"/>
    </row>
    <row r="332" ht="14.25" customHeight="1">
      <c r="A332" s="8"/>
      <c r="B332" s="9"/>
      <c r="C332" s="11" t="s">
        <v>41</v>
      </c>
      <c r="D332" s="12" t="s">
        <v>42</v>
      </c>
      <c r="E332" s="37"/>
      <c r="F332" s="13">
        <v>50800.0</v>
      </c>
      <c r="G332" s="36">
        <v>52500.0</v>
      </c>
      <c r="H332" s="15">
        <f t="shared" si="1"/>
        <v>0.03346456693</v>
      </c>
      <c r="K332" s="16"/>
    </row>
    <row r="333" ht="14.25" customHeight="1">
      <c r="A333" s="8"/>
      <c r="B333" s="9"/>
      <c r="C333" s="11" t="s">
        <v>92</v>
      </c>
      <c r="D333" s="12" t="s">
        <v>38</v>
      </c>
      <c r="E333" s="37"/>
      <c r="F333" s="13">
        <v>21800.0</v>
      </c>
      <c r="G333" s="36">
        <v>22500.0</v>
      </c>
      <c r="H333" s="15">
        <f t="shared" si="1"/>
        <v>0.03211009174</v>
      </c>
      <c r="K333" s="16"/>
    </row>
    <row r="334" ht="14.25" customHeight="1">
      <c r="A334" s="8"/>
      <c r="B334" s="9"/>
      <c r="C334" s="11" t="s">
        <v>44</v>
      </c>
      <c r="D334" s="12" t="s">
        <v>38</v>
      </c>
      <c r="E334" s="37"/>
      <c r="F334" s="13">
        <v>59100.0</v>
      </c>
      <c r="G334" s="36">
        <v>61000.0</v>
      </c>
      <c r="H334" s="15">
        <f t="shared" si="1"/>
        <v>0.03214890017</v>
      </c>
      <c r="K334" s="16"/>
    </row>
    <row r="335" ht="14.25" customHeight="1">
      <c r="A335" s="8"/>
      <c r="B335" s="38">
        <v>3420.0</v>
      </c>
      <c r="E335" s="39"/>
      <c r="F335" s="40">
        <f t="shared" ref="F335:G335" si="33">SUM(F321:F334)</f>
        <v>466000</v>
      </c>
      <c r="G335" s="40">
        <f t="shared" si="33"/>
        <v>482920</v>
      </c>
      <c r="H335" s="15">
        <f t="shared" si="1"/>
        <v>0.03630901288</v>
      </c>
      <c r="K335" s="16"/>
    </row>
    <row r="336" ht="14.25" customHeight="1">
      <c r="A336" s="8"/>
      <c r="B336" s="9"/>
      <c r="C336" s="73"/>
      <c r="D336" s="46"/>
      <c r="E336" s="37"/>
      <c r="F336" s="49"/>
      <c r="G336" s="49"/>
      <c r="H336" s="15" t="str">
        <f t="shared" si="1"/>
        <v/>
      </c>
      <c r="K336" s="16"/>
    </row>
    <row r="337" ht="14.25" customHeight="1">
      <c r="A337" s="8"/>
      <c r="B337" s="51">
        <v>4320.0</v>
      </c>
      <c r="C337" s="52"/>
      <c r="D337" s="53" t="s">
        <v>127</v>
      </c>
      <c r="E337" s="54"/>
      <c r="F337" s="53">
        <v>2023.0</v>
      </c>
      <c r="G337" s="55">
        <v>2024.0</v>
      </c>
      <c r="H337" s="15">
        <f t="shared" si="1"/>
        <v>0.0004943153732</v>
      </c>
      <c r="K337" s="16"/>
    </row>
    <row r="338" ht="14.25" customHeight="1">
      <c r="A338" s="8"/>
      <c r="B338" s="9"/>
      <c r="C338" s="11" t="s">
        <v>54</v>
      </c>
      <c r="D338" s="12" t="s">
        <v>55</v>
      </c>
      <c r="E338" s="65"/>
      <c r="F338" s="13">
        <v>17000.0</v>
      </c>
      <c r="G338" s="36">
        <v>17600.0</v>
      </c>
      <c r="H338" s="15">
        <f t="shared" si="1"/>
        <v>0.03529411765</v>
      </c>
      <c r="K338" s="16"/>
    </row>
    <row r="339" ht="14.25" customHeight="1">
      <c r="A339" s="8"/>
      <c r="B339" s="9"/>
      <c r="C339" s="11" t="s">
        <v>31</v>
      </c>
      <c r="D339" s="12" t="s">
        <v>32</v>
      </c>
      <c r="E339" s="65"/>
      <c r="F339" s="13">
        <v>5505.0</v>
      </c>
      <c r="G339" s="36">
        <v>5700.0</v>
      </c>
      <c r="H339" s="15">
        <f t="shared" si="1"/>
        <v>0.03542234332</v>
      </c>
      <c r="K339" s="16"/>
    </row>
    <row r="340" ht="14.25" customHeight="1">
      <c r="A340" s="8"/>
      <c r="B340" s="9"/>
      <c r="C340" s="11" t="s">
        <v>33</v>
      </c>
      <c r="D340" s="12" t="s">
        <v>34</v>
      </c>
      <c r="E340" s="65"/>
      <c r="F340" s="13">
        <v>6500.0</v>
      </c>
      <c r="G340" s="36">
        <v>6700.0</v>
      </c>
      <c r="H340" s="15">
        <f t="shared" si="1"/>
        <v>0.03076923077</v>
      </c>
      <c r="K340" s="16"/>
    </row>
    <row r="341" ht="14.25" customHeight="1">
      <c r="A341" s="8"/>
      <c r="B341" s="9"/>
      <c r="C341" s="11">
        <v>150.0</v>
      </c>
      <c r="D341" s="12" t="s">
        <v>36</v>
      </c>
      <c r="E341" s="65"/>
      <c r="F341" s="13">
        <v>650.0</v>
      </c>
      <c r="G341" s="36">
        <v>670.0</v>
      </c>
      <c r="H341" s="15">
        <f t="shared" si="1"/>
        <v>0.03076923077</v>
      </c>
      <c r="K341" s="16"/>
    </row>
    <row r="342" ht="14.25" customHeight="1">
      <c r="A342" s="8"/>
      <c r="B342" s="9"/>
      <c r="C342" s="11" t="s">
        <v>37</v>
      </c>
      <c r="D342" s="12" t="s">
        <v>38</v>
      </c>
      <c r="E342" s="65"/>
      <c r="F342" s="13">
        <v>9500.0</v>
      </c>
      <c r="G342" s="36">
        <v>9800.0</v>
      </c>
      <c r="H342" s="15">
        <f t="shared" si="1"/>
        <v>0.03157894737</v>
      </c>
      <c r="K342" s="16"/>
    </row>
    <row r="343" ht="14.25" customHeight="1">
      <c r="A343" s="8"/>
      <c r="B343" s="9"/>
      <c r="C343" s="11" t="s">
        <v>39</v>
      </c>
      <c r="D343" s="61" t="s">
        <v>40</v>
      </c>
      <c r="E343" s="65"/>
      <c r="F343" s="13">
        <v>61500.0</v>
      </c>
      <c r="G343" s="36">
        <v>63500.0</v>
      </c>
      <c r="H343" s="15">
        <f t="shared" si="1"/>
        <v>0.0325203252</v>
      </c>
      <c r="K343" s="16"/>
    </row>
    <row r="344" ht="14.25" customHeight="1">
      <c r="A344" s="8"/>
      <c r="B344" s="9"/>
      <c r="C344" s="11" t="s">
        <v>41</v>
      </c>
      <c r="D344" s="12" t="s">
        <v>42</v>
      </c>
      <c r="E344" s="65"/>
      <c r="F344" s="13">
        <v>15900.0</v>
      </c>
      <c r="G344" s="36">
        <v>16500.0</v>
      </c>
      <c r="H344" s="15">
        <f t="shared" si="1"/>
        <v>0.03773584906</v>
      </c>
      <c r="K344" s="16"/>
    </row>
    <row r="345" ht="14.25" customHeight="1">
      <c r="A345" s="8"/>
      <c r="B345" s="9"/>
      <c r="C345" s="11" t="s">
        <v>44</v>
      </c>
      <c r="D345" s="12" t="s">
        <v>38</v>
      </c>
      <c r="E345" s="65"/>
      <c r="F345" s="13">
        <v>21200.0</v>
      </c>
      <c r="G345" s="36">
        <v>22000.0</v>
      </c>
      <c r="H345" s="15">
        <f t="shared" si="1"/>
        <v>0.03773584906</v>
      </c>
      <c r="K345" s="16"/>
    </row>
    <row r="346" ht="14.25" customHeight="1">
      <c r="A346" s="8"/>
      <c r="B346" s="38">
        <v>4320.0</v>
      </c>
      <c r="E346" s="39"/>
      <c r="F346" s="40">
        <f t="shared" ref="F346:G346" si="34">SUM(F338:F345)</f>
        <v>137755</v>
      </c>
      <c r="G346" s="40">
        <f t="shared" si="34"/>
        <v>142470</v>
      </c>
      <c r="H346" s="15">
        <f t="shared" si="1"/>
        <v>0.03422743276</v>
      </c>
      <c r="K346" s="16"/>
    </row>
    <row r="347" ht="14.25" customHeight="1">
      <c r="A347" s="8"/>
      <c r="B347" s="9"/>
      <c r="C347" s="3"/>
      <c r="D347" s="45"/>
      <c r="E347" s="35"/>
      <c r="F347" s="49"/>
      <c r="G347" s="49"/>
      <c r="H347" s="15" t="str">
        <f t="shared" si="1"/>
        <v/>
      </c>
      <c r="K347" s="16"/>
    </row>
    <row r="348" ht="14.25" customHeight="1">
      <c r="A348" s="8"/>
      <c r="B348" s="51">
        <v>4330.0</v>
      </c>
      <c r="C348" s="52"/>
      <c r="D348" s="53" t="s">
        <v>128</v>
      </c>
      <c r="E348" s="54"/>
      <c r="F348" s="53">
        <v>2023.0</v>
      </c>
      <c r="G348" s="55">
        <v>2024.0</v>
      </c>
      <c r="H348" s="15">
        <f t="shared" si="1"/>
        <v>0.0004943153732</v>
      </c>
      <c r="K348" s="16"/>
    </row>
    <row r="349" ht="14.25" customHeight="1">
      <c r="A349" s="8"/>
      <c r="B349" s="9"/>
      <c r="C349" s="11" t="s">
        <v>83</v>
      </c>
      <c r="D349" s="12" t="s">
        <v>55</v>
      </c>
      <c r="E349" s="8"/>
      <c r="F349" s="13">
        <v>17900.0</v>
      </c>
      <c r="G349" s="36">
        <v>18500.0</v>
      </c>
      <c r="H349" s="15">
        <f t="shared" si="1"/>
        <v>0.03351955307</v>
      </c>
      <c r="K349" s="16"/>
    </row>
    <row r="350" ht="14.25" customHeight="1">
      <c r="A350" s="8"/>
      <c r="B350" s="9"/>
      <c r="C350" s="11" t="s">
        <v>23</v>
      </c>
      <c r="D350" s="12" t="s">
        <v>24</v>
      </c>
      <c r="E350" s="65"/>
      <c r="F350" s="13">
        <v>0.0</v>
      </c>
      <c r="G350" s="13">
        <v>0.0</v>
      </c>
      <c r="H350" s="15" t="str">
        <f t="shared" si="1"/>
        <v/>
      </c>
      <c r="K350" s="16"/>
    </row>
    <row r="351" ht="14.25" customHeight="1">
      <c r="A351" s="8"/>
      <c r="B351" s="9"/>
      <c r="C351" s="11" t="s">
        <v>27</v>
      </c>
      <c r="D351" s="12" t="s">
        <v>28</v>
      </c>
      <c r="E351" s="65"/>
      <c r="F351" s="13">
        <v>12300.0</v>
      </c>
      <c r="G351" s="36">
        <v>12700.0</v>
      </c>
      <c r="H351" s="15">
        <f t="shared" si="1"/>
        <v>0.0325203252</v>
      </c>
      <c r="K351" s="16"/>
    </row>
    <row r="352" ht="14.25" customHeight="1">
      <c r="A352" s="8"/>
      <c r="B352" s="9"/>
      <c r="C352" s="11" t="s">
        <v>29</v>
      </c>
      <c r="D352" s="12" t="s">
        <v>30</v>
      </c>
      <c r="E352" s="65"/>
      <c r="F352" s="13">
        <v>3505.0</v>
      </c>
      <c r="G352" s="36">
        <v>3650.0</v>
      </c>
      <c r="H352" s="15">
        <f t="shared" si="1"/>
        <v>0.04136947218</v>
      </c>
      <c r="K352" s="16"/>
    </row>
    <row r="353" ht="14.25" customHeight="1">
      <c r="A353" s="8"/>
      <c r="B353" s="9"/>
      <c r="C353" s="11" t="s">
        <v>31</v>
      </c>
      <c r="D353" s="12" t="s">
        <v>32</v>
      </c>
      <c r="E353" s="65"/>
      <c r="F353" s="13">
        <v>13005.0</v>
      </c>
      <c r="G353" s="36">
        <v>13500.0</v>
      </c>
      <c r="H353" s="15">
        <f t="shared" si="1"/>
        <v>0.03806228374</v>
      </c>
      <c r="K353" s="16"/>
    </row>
    <row r="354" ht="14.25" customHeight="1">
      <c r="A354" s="8"/>
      <c r="B354" s="9"/>
      <c r="C354" s="11" t="s">
        <v>33</v>
      </c>
      <c r="D354" s="12" t="s">
        <v>34</v>
      </c>
      <c r="E354" s="65"/>
      <c r="F354" s="13">
        <v>15800.0</v>
      </c>
      <c r="G354" s="36">
        <v>16500.0</v>
      </c>
      <c r="H354" s="15">
        <f t="shared" si="1"/>
        <v>0.04430379747</v>
      </c>
      <c r="K354" s="16"/>
    </row>
    <row r="355" ht="14.25" customHeight="1">
      <c r="A355" s="8"/>
      <c r="B355" s="9"/>
      <c r="C355" s="11">
        <v>150.0</v>
      </c>
      <c r="D355" s="12" t="s">
        <v>36</v>
      </c>
      <c r="E355" s="65"/>
      <c r="F355" s="13">
        <v>1520.0</v>
      </c>
      <c r="G355" s="36">
        <v>1570.0</v>
      </c>
      <c r="H355" s="15">
        <f t="shared" si="1"/>
        <v>0.03289473684</v>
      </c>
      <c r="K355" s="16"/>
    </row>
    <row r="356" ht="14.25" customHeight="1">
      <c r="A356" s="8"/>
      <c r="B356" s="9"/>
      <c r="C356" s="11" t="s">
        <v>56</v>
      </c>
      <c r="D356" s="12" t="s">
        <v>57</v>
      </c>
      <c r="E356" s="65"/>
      <c r="F356" s="13">
        <v>300.0</v>
      </c>
      <c r="G356" s="36">
        <v>310.0</v>
      </c>
      <c r="H356" s="15">
        <f t="shared" si="1"/>
        <v>0.03333333333</v>
      </c>
      <c r="K356" s="16"/>
    </row>
    <row r="357" ht="14.25" customHeight="1">
      <c r="A357" s="8"/>
      <c r="B357" s="9"/>
      <c r="C357" s="11" t="s">
        <v>37</v>
      </c>
      <c r="D357" s="12" t="s">
        <v>38</v>
      </c>
      <c r="E357" s="65"/>
      <c r="F357" s="13">
        <v>19300.0</v>
      </c>
      <c r="G357" s="36">
        <v>20000.0</v>
      </c>
      <c r="H357" s="15">
        <f t="shared" si="1"/>
        <v>0.03626943005</v>
      </c>
      <c r="K357" s="16"/>
    </row>
    <row r="358" ht="14.25" customHeight="1">
      <c r="A358" s="8"/>
      <c r="B358" s="9"/>
      <c r="C358" s="11" t="s">
        <v>39</v>
      </c>
      <c r="D358" s="12" t="s">
        <v>40</v>
      </c>
      <c r="E358" s="65"/>
      <c r="F358" s="13">
        <v>79600.0</v>
      </c>
      <c r="G358" s="36">
        <v>82000.0</v>
      </c>
      <c r="H358" s="15">
        <f t="shared" si="1"/>
        <v>0.03015075377</v>
      </c>
      <c r="K358" s="16"/>
    </row>
    <row r="359" ht="14.25" customHeight="1">
      <c r="A359" s="8"/>
      <c r="B359" s="9"/>
      <c r="C359" s="11" t="s">
        <v>85</v>
      </c>
      <c r="D359" s="12" t="s">
        <v>86</v>
      </c>
      <c r="E359" s="65"/>
      <c r="F359" s="13">
        <v>2000.0</v>
      </c>
      <c r="G359" s="36">
        <v>2100.0</v>
      </c>
      <c r="H359" s="15">
        <f t="shared" si="1"/>
        <v>0.05</v>
      </c>
      <c r="K359" s="16"/>
    </row>
    <row r="360" ht="14.25" customHeight="1">
      <c r="A360" s="8"/>
      <c r="B360" s="9"/>
      <c r="C360" s="11" t="s">
        <v>41</v>
      </c>
      <c r="D360" s="12" t="s">
        <v>42</v>
      </c>
      <c r="E360" s="65"/>
      <c r="F360" s="13">
        <v>17800.0</v>
      </c>
      <c r="G360" s="36">
        <v>18500.0</v>
      </c>
      <c r="H360" s="15">
        <f t="shared" si="1"/>
        <v>0.0393258427</v>
      </c>
      <c r="K360" s="16"/>
    </row>
    <row r="361" ht="14.25" customHeight="1">
      <c r="A361" s="8"/>
      <c r="B361" s="9"/>
      <c r="C361" s="11" t="s">
        <v>44</v>
      </c>
      <c r="D361" s="12" t="s">
        <v>38</v>
      </c>
      <c r="E361" s="65"/>
      <c r="F361" s="13">
        <v>27800.0</v>
      </c>
      <c r="G361" s="36">
        <v>29700.0</v>
      </c>
      <c r="H361" s="15">
        <f t="shared" si="1"/>
        <v>0.06834532374</v>
      </c>
      <c r="K361" s="16"/>
    </row>
    <row r="362" ht="14.25" customHeight="1">
      <c r="A362" s="8"/>
      <c r="B362" s="38">
        <v>4330.0</v>
      </c>
      <c r="E362" s="39"/>
      <c r="F362" s="40">
        <f t="shared" ref="F362:G362" si="35">SUM(F349:F361)</f>
        <v>210830</v>
      </c>
      <c r="G362" s="40">
        <f t="shared" si="35"/>
        <v>219030</v>
      </c>
      <c r="H362" s="15">
        <f t="shared" si="1"/>
        <v>0.03889389556</v>
      </c>
      <c r="K362" s="16"/>
    </row>
    <row r="363" ht="14.25" customHeight="1">
      <c r="A363" s="8"/>
      <c r="B363" s="9"/>
      <c r="C363" s="3"/>
      <c r="D363" s="45"/>
      <c r="E363" s="35"/>
      <c r="F363" s="49"/>
      <c r="G363" s="49"/>
      <c r="H363" s="15" t="str">
        <f t="shared" si="1"/>
        <v/>
      </c>
      <c r="K363" s="16"/>
    </row>
    <row r="364" ht="14.25" customHeight="1">
      <c r="A364" s="8"/>
      <c r="B364" s="51">
        <v>4930.0</v>
      </c>
      <c r="C364" s="52"/>
      <c r="D364" s="53" t="s">
        <v>129</v>
      </c>
      <c r="E364" s="54"/>
      <c r="F364" s="53">
        <v>2023.0</v>
      </c>
      <c r="G364" s="55">
        <v>2024.0</v>
      </c>
      <c r="H364" s="15">
        <f t="shared" si="1"/>
        <v>0.0004943153732</v>
      </c>
      <c r="K364" s="16"/>
    </row>
    <row r="365" ht="14.25" customHeight="1">
      <c r="A365" s="8"/>
      <c r="B365" s="9"/>
      <c r="C365" s="11" t="s">
        <v>54</v>
      </c>
      <c r="D365" s="12" t="s">
        <v>55</v>
      </c>
      <c r="E365" s="65"/>
      <c r="F365" s="13">
        <v>18400.0</v>
      </c>
      <c r="G365" s="36">
        <v>19000.0</v>
      </c>
      <c r="H365" s="15">
        <f t="shared" si="1"/>
        <v>0.03260869565</v>
      </c>
      <c r="K365" s="16"/>
    </row>
    <row r="366" ht="14.25" customHeight="1">
      <c r="A366" s="8"/>
      <c r="B366" s="9"/>
      <c r="C366" s="11" t="s">
        <v>29</v>
      </c>
      <c r="D366" s="12" t="s">
        <v>30</v>
      </c>
      <c r="E366" s="65"/>
      <c r="F366" s="13">
        <v>3400.0</v>
      </c>
      <c r="G366" s="36">
        <v>3600.0</v>
      </c>
      <c r="H366" s="15">
        <f t="shared" si="1"/>
        <v>0.05882352941</v>
      </c>
      <c r="K366" s="16"/>
    </row>
    <row r="367" ht="14.25" customHeight="1">
      <c r="A367" s="8"/>
      <c r="B367" s="9"/>
      <c r="C367" s="11" t="s">
        <v>31</v>
      </c>
      <c r="D367" s="12" t="s">
        <v>32</v>
      </c>
      <c r="E367" s="65"/>
      <c r="F367" s="13">
        <v>8130.0</v>
      </c>
      <c r="G367" s="36">
        <v>8400.0</v>
      </c>
      <c r="H367" s="15">
        <f t="shared" si="1"/>
        <v>0.0332103321</v>
      </c>
      <c r="K367" s="16"/>
    </row>
    <row r="368" ht="14.25" customHeight="1">
      <c r="A368" s="8"/>
      <c r="B368" s="9"/>
      <c r="C368" s="11" t="s">
        <v>33</v>
      </c>
      <c r="D368" s="12" t="s">
        <v>34</v>
      </c>
      <c r="E368" s="65"/>
      <c r="F368" s="13">
        <v>9650.0</v>
      </c>
      <c r="G368" s="36">
        <v>10000.0</v>
      </c>
      <c r="H368" s="15">
        <f t="shared" si="1"/>
        <v>0.03626943005</v>
      </c>
      <c r="K368" s="16"/>
    </row>
    <row r="369" ht="14.25" customHeight="1">
      <c r="A369" s="8"/>
      <c r="B369" s="9"/>
      <c r="C369" s="11">
        <v>150.0</v>
      </c>
      <c r="D369" s="12" t="s">
        <v>36</v>
      </c>
      <c r="E369" s="65"/>
      <c r="F369" s="13">
        <v>870.0</v>
      </c>
      <c r="G369" s="36">
        <v>900.0</v>
      </c>
      <c r="H369" s="15">
        <f t="shared" si="1"/>
        <v>0.03448275862</v>
      </c>
      <c r="K369" s="16"/>
    </row>
    <row r="370" ht="14.25" customHeight="1">
      <c r="A370" s="8"/>
      <c r="B370" s="9"/>
      <c r="C370" s="11" t="s">
        <v>56</v>
      </c>
      <c r="D370" s="12" t="s">
        <v>57</v>
      </c>
      <c r="E370" s="65"/>
      <c r="F370" s="13">
        <v>500.0</v>
      </c>
      <c r="G370" s="36">
        <v>550.0</v>
      </c>
      <c r="H370" s="15">
        <f t="shared" si="1"/>
        <v>0.1</v>
      </c>
      <c r="K370" s="16"/>
    </row>
    <row r="371" ht="14.25" customHeight="1">
      <c r="A371" s="8"/>
      <c r="B371" s="9"/>
      <c r="C371" s="11" t="s">
        <v>37</v>
      </c>
      <c r="D371" s="12" t="s">
        <v>38</v>
      </c>
      <c r="E371" s="65"/>
      <c r="F371" s="13">
        <v>13400.0</v>
      </c>
      <c r="G371" s="36">
        <v>14000.0</v>
      </c>
      <c r="H371" s="15">
        <f t="shared" si="1"/>
        <v>0.0447761194</v>
      </c>
      <c r="K371" s="16"/>
    </row>
    <row r="372" ht="14.25" customHeight="1">
      <c r="A372" s="8"/>
      <c r="B372" s="38">
        <v>4930.0</v>
      </c>
      <c r="E372" s="39"/>
      <c r="F372" s="40">
        <f t="shared" ref="F372:G372" si="36">SUM(F365:F371)</f>
        <v>54350</v>
      </c>
      <c r="G372" s="40">
        <f t="shared" si="36"/>
        <v>56450</v>
      </c>
      <c r="H372" s="15">
        <f t="shared" si="1"/>
        <v>0.03863845446</v>
      </c>
      <c r="K372" s="16"/>
    </row>
    <row r="373" ht="14.25" customHeight="1">
      <c r="A373" s="8"/>
      <c r="B373" s="9"/>
      <c r="C373" s="11"/>
      <c r="D373" s="12"/>
      <c r="E373" s="8"/>
      <c r="F373" s="13"/>
      <c r="G373" s="13"/>
      <c r="H373" s="15" t="str">
        <f t="shared" si="1"/>
        <v/>
      </c>
      <c r="K373" s="16"/>
    </row>
    <row r="374" ht="14.25" customHeight="1">
      <c r="A374" s="8"/>
      <c r="B374" s="51">
        <v>9120.0</v>
      </c>
      <c r="C374" s="52"/>
      <c r="D374" s="53" t="s">
        <v>130</v>
      </c>
      <c r="E374" s="54"/>
      <c r="F374" s="53">
        <v>2023.0</v>
      </c>
      <c r="G374" s="55">
        <v>2024.0</v>
      </c>
      <c r="H374" s="15">
        <f t="shared" si="1"/>
        <v>0.0004943153732</v>
      </c>
      <c r="K374" s="16"/>
    </row>
    <row r="375" ht="14.25" customHeight="1">
      <c r="A375" s="8"/>
      <c r="B375" s="74"/>
      <c r="C375" s="11" t="s">
        <v>131</v>
      </c>
      <c r="D375" s="75" t="s">
        <v>40</v>
      </c>
      <c r="E375" s="37"/>
      <c r="F375" s="13">
        <v>62080.0</v>
      </c>
      <c r="G375" s="36">
        <v>65080.0</v>
      </c>
      <c r="H375" s="15">
        <f t="shared" si="1"/>
        <v>0.04832474227</v>
      </c>
      <c r="J375" s="5" t="s">
        <v>132</v>
      </c>
      <c r="K375" s="16"/>
    </row>
    <row r="376" ht="14.25" customHeight="1">
      <c r="A376" s="8"/>
      <c r="B376" s="9"/>
      <c r="C376" s="76" t="s">
        <v>133</v>
      </c>
      <c r="D376" s="75" t="s">
        <v>134</v>
      </c>
      <c r="E376" s="77"/>
      <c r="F376" s="36">
        <v>0.0</v>
      </c>
      <c r="G376" s="36">
        <f>27500*K381</f>
        <v>0</v>
      </c>
      <c r="H376" s="15"/>
      <c r="J376" s="5"/>
      <c r="K376" s="16"/>
    </row>
    <row r="377" ht="14.25" customHeight="1">
      <c r="A377" s="8"/>
      <c r="B377" s="9"/>
      <c r="C377" s="11" t="s">
        <v>23</v>
      </c>
      <c r="D377" s="12" t="s">
        <v>24</v>
      </c>
      <c r="E377" s="77"/>
      <c r="F377" s="13">
        <v>15200.0</v>
      </c>
      <c r="G377" s="36">
        <v>15700.0</v>
      </c>
      <c r="H377" s="15">
        <f t="shared" ref="H377:H481" si="37">IFERROR(((G377-F377)/F377), "")</f>
        <v>0.03289473684</v>
      </c>
      <c r="J377" s="5">
        <f>0.55 * 77893</f>
        <v>42841.15</v>
      </c>
    </row>
    <row r="378" ht="14.25" customHeight="1">
      <c r="A378" s="8"/>
      <c r="B378" s="9"/>
      <c r="C378" s="11" t="s">
        <v>27</v>
      </c>
      <c r="D378" s="12" t="s">
        <v>28</v>
      </c>
      <c r="E378" s="77"/>
      <c r="F378" s="13">
        <v>13000.0</v>
      </c>
      <c r="G378" s="36">
        <v>13500.0</v>
      </c>
      <c r="H378" s="15">
        <f t="shared" si="37"/>
        <v>0.03846153846</v>
      </c>
      <c r="K378" s="50">
        <v>62080.0</v>
      </c>
      <c r="L378" s="5">
        <v>45360.0</v>
      </c>
    </row>
    <row r="379" ht="14.25" customHeight="1">
      <c r="A379" s="8"/>
      <c r="B379" s="9"/>
      <c r="C379" s="11" t="s">
        <v>29</v>
      </c>
      <c r="D379" s="12" t="s">
        <v>30</v>
      </c>
      <c r="E379" s="77"/>
      <c r="F379" s="13">
        <v>3900.0</v>
      </c>
      <c r="G379" s="36">
        <v>4100.0</v>
      </c>
      <c r="H379" s="15">
        <f t="shared" si="37"/>
        <v>0.05128205128</v>
      </c>
    </row>
    <row r="380" ht="14.25" customHeight="1">
      <c r="A380" s="8"/>
      <c r="B380" s="9"/>
      <c r="C380" s="11" t="s">
        <v>31</v>
      </c>
      <c r="D380" s="12" t="s">
        <v>32</v>
      </c>
      <c r="E380" s="77"/>
      <c r="F380" s="13">
        <v>10390.0</v>
      </c>
      <c r="G380" s="36">
        <v>11000.0</v>
      </c>
      <c r="H380" s="15">
        <f t="shared" si="37"/>
        <v>0.05871029836</v>
      </c>
      <c r="J380" s="2" t="s">
        <v>135</v>
      </c>
      <c r="K380" s="78" t="s">
        <v>136</v>
      </c>
      <c r="L380" s="2" t="s">
        <v>137</v>
      </c>
      <c r="N380" s="79"/>
      <c r="O380" s="2"/>
      <c r="P380" s="80" t="s">
        <v>138</v>
      </c>
      <c r="Q380" s="80" t="s">
        <v>139</v>
      </c>
    </row>
    <row r="381" ht="14.25" customHeight="1">
      <c r="A381" s="8"/>
      <c r="B381" s="9"/>
      <c r="C381" s="11" t="s">
        <v>33</v>
      </c>
      <c r="D381" s="12" t="s">
        <v>34</v>
      </c>
      <c r="E381" s="77"/>
      <c r="F381" s="13">
        <v>27800.0</v>
      </c>
      <c r="G381" s="36">
        <v>29000.0</v>
      </c>
      <c r="H381" s="15">
        <f t="shared" si="37"/>
        <v>0.04316546763</v>
      </c>
      <c r="J381" s="5">
        <v>0.0</v>
      </c>
      <c r="K381" s="81">
        <v>0.0</v>
      </c>
      <c r="L381" s="50">
        <v>62080.0</v>
      </c>
      <c r="N381" s="82" t="s">
        <v>140</v>
      </c>
      <c r="O381" s="83"/>
      <c r="P381" s="83">
        <v>1.0</v>
      </c>
      <c r="Q381" s="83">
        <v>0.5</v>
      </c>
    </row>
    <row r="382" ht="14.25" customHeight="1">
      <c r="A382" s="8"/>
      <c r="B382" s="9"/>
      <c r="C382" s="11">
        <v>150.0</v>
      </c>
      <c r="D382" s="12" t="s">
        <v>36</v>
      </c>
      <c r="E382" s="77"/>
      <c r="F382" s="13">
        <v>1310.0</v>
      </c>
      <c r="G382" s="36">
        <v>1370.0</v>
      </c>
      <c r="H382" s="15">
        <f t="shared" si="37"/>
        <v>0.04580152672</v>
      </c>
      <c r="K382" s="16"/>
      <c r="N382" s="82" t="s">
        <v>141</v>
      </c>
      <c r="O382" s="83"/>
      <c r="P382" s="83">
        <v>0.5</v>
      </c>
      <c r="Q382" s="83">
        <v>0.5</v>
      </c>
    </row>
    <row r="383" ht="14.25" customHeight="1">
      <c r="A383" s="8"/>
      <c r="B383" s="9"/>
      <c r="C383" s="11" t="s">
        <v>37</v>
      </c>
      <c r="D383" s="12" t="s">
        <v>38</v>
      </c>
      <c r="E383" s="77"/>
      <c r="F383" s="13">
        <v>20620.0</v>
      </c>
      <c r="G383" s="36">
        <v>29370.0</v>
      </c>
      <c r="H383" s="15">
        <f t="shared" si="37"/>
        <v>0.4243452958</v>
      </c>
      <c r="K383" s="16"/>
      <c r="N383" s="82" t="s">
        <v>142</v>
      </c>
      <c r="O383" s="83"/>
      <c r="P383" s="83">
        <v>0.5</v>
      </c>
      <c r="Q383" s="83">
        <v>0.5</v>
      </c>
    </row>
    <row r="384" ht="14.25" customHeight="1">
      <c r="A384" s="8"/>
      <c r="B384" s="9"/>
      <c r="C384" s="11" t="s">
        <v>44</v>
      </c>
      <c r="D384" s="75" t="s">
        <v>143</v>
      </c>
      <c r="E384" s="65"/>
      <c r="F384" s="13">
        <v>18000.0</v>
      </c>
      <c r="G384" s="13">
        <v>18000.0</v>
      </c>
      <c r="H384" s="15">
        <f t="shared" si="37"/>
        <v>0</v>
      </c>
      <c r="J384" s="2" t="s">
        <v>144</v>
      </c>
      <c r="K384" s="78" t="s">
        <v>145</v>
      </c>
      <c r="N384" s="82" t="s">
        <v>146</v>
      </c>
      <c r="O384" s="83"/>
      <c r="P384" s="83">
        <v>0.5</v>
      </c>
      <c r="Q384" s="83">
        <v>0.5</v>
      </c>
    </row>
    <row r="385" ht="14.25" customHeight="1">
      <c r="A385" s="8"/>
      <c r="B385" s="38">
        <v>9120.0</v>
      </c>
      <c r="E385" s="39"/>
      <c r="F385" s="40">
        <f t="shared" ref="F385:G385" si="38">SUM(F375:F384)</f>
        <v>172300</v>
      </c>
      <c r="G385" s="40">
        <f t="shared" si="38"/>
        <v>187120</v>
      </c>
      <c r="H385" s="15">
        <f t="shared" si="37"/>
        <v>0.08601276843</v>
      </c>
      <c r="J385" s="10">
        <f>G385-F385</f>
        <v>14820</v>
      </c>
      <c r="K385" s="10">
        <v>332320.0</v>
      </c>
      <c r="N385" s="79"/>
      <c r="P385" s="84">
        <f t="shared" ref="P385:Q385" si="39">SUM(P381:P384)</f>
        <v>2.5</v>
      </c>
      <c r="Q385" s="84">
        <f t="shared" si="39"/>
        <v>2</v>
      </c>
    </row>
    <row r="386" ht="14.25" customHeight="1">
      <c r="A386" s="8"/>
      <c r="B386" s="9"/>
      <c r="C386" s="11"/>
      <c r="D386" s="12"/>
      <c r="E386" s="8"/>
      <c r="F386" s="13"/>
      <c r="G386" s="13"/>
      <c r="H386" s="15" t="str">
        <f t="shared" si="37"/>
        <v/>
      </c>
      <c r="K386" s="16"/>
    </row>
    <row r="387" ht="14.25" customHeight="1">
      <c r="A387" s="8"/>
      <c r="B387" s="51">
        <v>9200.0</v>
      </c>
      <c r="C387" s="52"/>
      <c r="D387" s="53" t="s">
        <v>147</v>
      </c>
      <c r="E387" s="54"/>
      <c r="F387" s="53">
        <v>2023.0</v>
      </c>
      <c r="G387" s="55">
        <v>2024.0</v>
      </c>
      <c r="H387" s="15">
        <f t="shared" si="37"/>
        <v>0.0004943153732</v>
      </c>
      <c r="J387" s="85" t="s">
        <v>148</v>
      </c>
      <c r="K387" s="10">
        <f>J385-J1147</f>
        <v>14820</v>
      </c>
    </row>
    <row r="388" ht="14.25" customHeight="1">
      <c r="A388" s="8"/>
      <c r="B388" s="9"/>
      <c r="C388" s="11" t="s">
        <v>54</v>
      </c>
      <c r="D388" s="12" t="s">
        <v>55</v>
      </c>
      <c r="E388" s="37"/>
      <c r="F388" s="13">
        <v>18500.0</v>
      </c>
      <c r="G388" s="36">
        <v>18600.0</v>
      </c>
      <c r="H388" s="15">
        <f t="shared" si="37"/>
        <v>0.005405405405</v>
      </c>
      <c r="K388" s="16"/>
    </row>
    <row r="389" ht="14.25" customHeight="1">
      <c r="A389" s="8"/>
      <c r="B389" s="9"/>
      <c r="C389" s="11" t="s">
        <v>23</v>
      </c>
      <c r="D389" s="12" t="s">
        <v>24</v>
      </c>
      <c r="E389" s="37"/>
      <c r="F389" s="13">
        <v>27700.0</v>
      </c>
      <c r="G389" s="36">
        <v>70500.0</v>
      </c>
      <c r="H389" s="15">
        <f t="shared" si="37"/>
        <v>1.545126354</v>
      </c>
      <c r="K389" s="16"/>
    </row>
    <row r="390" ht="14.25" customHeight="1">
      <c r="A390" s="8"/>
      <c r="B390" s="9"/>
      <c r="C390" s="11" t="s">
        <v>29</v>
      </c>
      <c r="D390" s="12" t="s">
        <v>30</v>
      </c>
      <c r="E390" s="37"/>
      <c r="F390" s="13">
        <v>7310.0</v>
      </c>
      <c r="G390" s="36">
        <v>7700.0</v>
      </c>
      <c r="H390" s="15">
        <f t="shared" si="37"/>
        <v>0.05335157319</v>
      </c>
      <c r="K390" s="16"/>
    </row>
    <row r="391" ht="14.25" customHeight="1">
      <c r="A391" s="8"/>
      <c r="B391" s="9"/>
      <c r="C391" s="11" t="s">
        <v>31</v>
      </c>
      <c r="D391" s="12" t="s">
        <v>32</v>
      </c>
      <c r="E391" s="37"/>
      <c r="F391" s="13">
        <v>18400.0</v>
      </c>
      <c r="G391" s="36">
        <v>36800.0</v>
      </c>
      <c r="H391" s="15">
        <f t="shared" si="37"/>
        <v>1</v>
      </c>
      <c r="K391" s="16"/>
    </row>
    <row r="392" ht="14.25" customHeight="1">
      <c r="A392" s="8"/>
      <c r="B392" s="9"/>
      <c r="C392" s="11" t="s">
        <v>33</v>
      </c>
      <c r="D392" s="12" t="s">
        <v>34</v>
      </c>
      <c r="E392" s="37"/>
      <c r="F392" s="13">
        <v>21500.0</v>
      </c>
      <c r="G392" s="36">
        <v>47600.0</v>
      </c>
      <c r="H392" s="15">
        <f t="shared" si="37"/>
        <v>1.213953488</v>
      </c>
      <c r="K392" s="16"/>
    </row>
    <row r="393" ht="14.25" customHeight="1">
      <c r="A393" s="8"/>
      <c r="B393" s="9"/>
      <c r="C393" s="11">
        <v>150.0</v>
      </c>
      <c r="D393" s="12" t="s">
        <v>36</v>
      </c>
      <c r="E393" s="37"/>
      <c r="F393" s="13">
        <v>1520.0</v>
      </c>
      <c r="G393" s="36">
        <v>4210.0</v>
      </c>
      <c r="H393" s="15">
        <f t="shared" si="37"/>
        <v>1.769736842</v>
      </c>
      <c r="K393" s="16"/>
    </row>
    <row r="394" ht="14.25" customHeight="1">
      <c r="A394" s="8"/>
      <c r="B394" s="9"/>
      <c r="C394" s="11" t="s">
        <v>56</v>
      </c>
      <c r="D394" s="12" t="s">
        <v>57</v>
      </c>
      <c r="E394" s="37"/>
      <c r="F394" s="13">
        <v>1000.0</v>
      </c>
      <c r="G394" s="36">
        <v>1050.0</v>
      </c>
      <c r="H394" s="15">
        <f t="shared" si="37"/>
        <v>0.05</v>
      </c>
      <c r="K394" s="16"/>
    </row>
    <row r="395" ht="14.25" customHeight="1">
      <c r="A395" s="8"/>
      <c r="B395" s="9"/>
      <c r="C395" s="11" t="s">
        <v>37</v>
      </c>
      <c r="D395" s="12" t="s">
        <v>38</v>
      </c>
      <c r="E395" s="37"/>
      <c r="F395" s="13">
        <v>28000.0</v>
      </c>
      <c r="G395" s="36">
        <v>55500.0</v>
      </c>
      <c r="H395" s="15">
        <f t="shared" si="37"/>
        <v>0.9821428571</v>
      </c>
      <c r="K395" s="16"/>
    </row>
    <row r="396" ht="14.25" customHeight="1">
      <c r="A396" s="8"/>
      <c r="B396" s="38">
        <v>9200.0</v>
      </c>
      <c r="E396" s="39"/>
      <c r="F396" s="40">
        <f t="shared" ref="F396:G396" si="40">SUM(F388:F395)</f>
        <v>123930</v>
      </c>
      <c r="G396" s="40">
        <f t="shared" si="40"/>
        <v>241960</v>
      </c>
      <c r="H396" s="15">
        <f t="shared" si="37"/>
        <v>0.9523924796</v>
      </c>
      <c r="K396" s="16"/>
    </row>
    <row r="397" ht="14.25" customHeight="1">
      <c r="A397" s="8"/>
      <c r="B397" s="9"/>
      <c r="C397" s="3"/>
      <c r="D397" s="45"/>
      <c r="E397" s="35"/>
      <c r="F397" s="49"/>
      <c r="G397" s="49"/>
      <c r="H397" s="15" t="str">
        <f t="shared" si="37"/>
        <v/>
      </c>
      <c r="K397" s="16"/>
    </row>
    <row r="398" ht="14.25" customHeight="1">
      <c r="A398" s="8"/>
      <c r="B398" s="51">
        <v>9201.0</v>
      </c>
      <c r="C398" s="52"/>
      <c r="D398" s="53" t="s">
        <v>149</v>
      </c>
      <c r="E398" s="54"/>
      <c r="F398" s="53">
        <v>2023.0</v>
      </c>
      <c r="G398" s="55">
        <v>2024.0</v>
      </c>
      <c r="H398" s="15">
        <f t="shared" si="37"/>
        <v>0.0004943153732</v>
      </c>
      <c r="K398" s="16"/>
    </row>
    <row r="399" ht="14.25" customHeight="1">
      <c r="A399" s="8"/>
      <c r="B399" s="86"/>
      <c r="C399" s="11" t="s">
        <v>83</v>
      </c>
      <c r="D399" s="12" t="s">
        <v>84</v>
      </c>
      <c r="E399" s="65"/>
      <c r="F399" s="13">
        <v>48200.0</v>
      </c>
      <c r="G399" s="36">
        <v>50000.0</v>
      </c>
      <c r="H399" s="15">
        <f t="shared" si="37"/>
        <v>0.03734439834</v>
      </c>
      <c r="K399" s="16"/>
    </row>
    <row r="400" ht="14.25" customHeight="1">
      <c r="A400" s="8"/>
      <c r="B400" s="86"/>
      <c r="C400" s="11" t="s">
        <v>23</v>
      </c>
      <c r="D400" s="12" t="s">
        <v>24</v>
      </c>
      <c r="E400" s="65"/>
      <c r="F400" s="13">
        <v>29030.0</v>
      </c>
      <c r="G400" s="36">
        <v>30000.0</v>
      </c>
      <c r="H400" s="15">
        <f t="shared" si="37"/>
        <v>0.03341370996</v>
      </c>
      <c r="K400" s="16"/>
    </row>
    <row r="401" ht="14.25" customHeight="1">
      <c r="A401" s="8"/>
      <c r="B401" s="86"/>
      <c r="C401" s="11" t="s">
        <v>27</v>
      </c>
      <c r="D401" s="12" t="s">
        <v>28</v>
      </c>
      <c r="E401" s="37"/>
      <c r="F401" s="13">
        <v>35870.0</v>
      </c>
      <c r="G401" s="36">
        <v>37000.0</v>
      </c>
      <c r="H401" s="15">
        <f t="shared" si="37"/>
        <v>0.03150264845</v>
      </c>
      <c r="K401" s="16"/>
    </row>
    <row r="402" ht="14.25" customHeight="1">
      <c r="A402" s="8"/>
      <c r="B402" s="86"/>
      <c r="C402" s="11" t="s">
        <v>95</v>
      </c>
      <c r="D402" s="12" t="s">
        <v>96</v>
      </c>
      <c r="E402" s="37"/>
      <c r="F402" s="13">
        <v>11700.0</v>
      </c>
      <c r="G402" s="36">
        <v>12100.0</v>
      </c>
      <c r="H402" s="15">
        <f t="shared" si="37"/>
        <v>0.03418803419</v>
      </c>
      <c r="K402" s="16"/>
    </row>
    <row r="403" ht="14.25" customHeight="1">
      <c r="A403" s="8"/>
      <c r="B403" s="86"/>
      <c r="C403" s="11" t="s">
        <v>29</v>
      </c>
      <c r="D403" s="12" t="s">
        <v>30</v>
      </c>
      <c r="E403" s="65"/>
      <c r="F403" s="13">
        <v>21000.0</v>
      </c>
      <c r="G403" s="36">
        <v>22000.0</v>
      </c>
      <c r="H403" s="15">
        <f t="shared" si="37"/>
        <v>0.04761904762</v>
      </c>
      <c r="K403" s="16"/>
    </row>
    <row r="404" ht="14.25" customHeight="1">
      <c r="A404" s="8"/>
      <c r="B404" s="86"/>
      <c r="C404" s="11" t="s">
        <v>31</v>
      </c>
      <c r="D404" s="12" t="s">
        <v>32</v>
      </c>
      <c r="E404" s="35"/>
      <c r="F404" s="13">
        <v>56300.0</v>
      </c>
      <c r="G404" s="36">
        <v>58000.0</v>
      </c>
      <c r="H404" s="15">
        <f t="shared" si="37"/>
        <v>0.03019538188</v>
      </c>
      <c r="K404" s="16"/>
    </row>
    <row r="405" ht="14.25" customHeight="1">
      <c r="A405" s="8"/>
      <c r="B405" s="86"/>
      <c r="C405" s="11" t="s">
        <v>33</v>
      </c>
      <c r="D405" s="12" t="s">
        <v>34</v>
      </c>
      <c r="E405" s="37"/>
      <c r="F405" s="13">
        <v>104600.0</v>
      </c>
      <c r="G405" s="36">
        <v>110000.0</v>
      </c>
      <c r="H405" s="15">
        <f t="shared" si="37"/>
        <v>0.05162523901</v>
      </c>
      <c r="K405" s="16"/>
    </row>
    <row r="406" ht="14.25" customHeight="1">
      <c r="A406" s="8"/>
      <c r="B406" s="86"/>
      <c r="C406" s="11">
        <v>150.0</v>
      </c>
      <c r="D406" s="12" t="s">
        <v>36</v>
      </c>
      <c r="E406" s="37"/>
      <c r="F406" s="13">
        <v>5700.0</v>
      </c>
      <c r="G406" s="36">
        <v>6000.0</v>
      </c>
      <c r="H406" s="15">
        <f t="shared" si="37"/>
        <v>0.05263157895</v>
      </c>
      <c r="K406" s="16"/>
    </row>
    <row r="407" ht="14.25" customHeight="1">
      <c r="A407" s="8"/>
      <c r="B407" s="86"/>
      <c r="C407" s="11" t="s">
        <v>56</v>
      </c>
      <c r="D407" s="12" t="s">
        <v>57</v>
      </c>
      <c r="E407" s="37"/>
      <c r="F407" s="13">
        <v>1000.0</v>
      </c>
      <c r="G407" s="36">
        <v>1100.0</v>
      </c>
      <c r="H407" s="15">
        <f t="shared" si="37"/>
        <v>0.1</v>
      </c>
      <c r="K407" s="16"/>
    </row>
    <row r="408" ht="14.25" customHeight="1">
      <c r="A408" s="8"/>
      <c r="B408" s="86"/>
      <c r="C408" s="11" t="s">
        <v>37</v>
      </c>
      <c r="D408" s="12" t="s">
        <v>38</v>
      </c>
      <c r="E408" s="37"/>
      <c r="F408" s="13">
        <v>77600.0</v>
      </c>
      <c r="G408" s="36">
        <v>80000.0</v>
      </c>
      <c r="H408" s="15">
        <f t="shared" si="37"/>
        <v>0.03092783505</v>
      </c>
      <c r="K408" s="16"/>
    </row>
    <row r="409" ht="14.25" customHeight="1">
      <c r="A409" s="8"/>
      <c r="B409" s="86"/>
      <c r="C409" s="11" t="s">
        <v>39</v>
      </c>
      <c r="D409" s="12" t="s">
        <v>40</v>
      </c>
      <c r="E409" s="65"/>
      <c r="F409" s="13">
        <v>19400.0</v>
      </c>
      <c r="G409" s="36">
        <v>20000.0</v>
      </c>
      <c r="H409" s="15">
        <f t="shared" si="37"/>
        <v>0.03092783505</v>
      </c>
      <c r="K409" s="16"/>
    </row>
    <row r="410" ht="14.25" customHeight="1">
      <c r="A410" s="8"/>
      <c r="B410" s="86"/>
      <c r="C410" s="11" t="s">
        <v>41</v>
      </c>
      <c r="D410" s="12" t="s">
        <v>42</v>
      </c>
      <c r="E410" s="65"/>
      <c r="F410" s="13">
        <v>900.0</v>
      </c>
      <c r="G410" s="36">
        <v>950.0</v>
      </c>
      <c r="H410" s="15">
        <f t="shared" si="37"/>
        <v>0.05555555556</v>
      </c>
      <c r="K410" s="16"/>
    </row>
    <row r="411" ht="14.25" customHeight="1">
      <c r="A411" s="8"/>
      <c r="B411" s="86"/>
      <c r="C411" s="11" t="s">
        <v>44</v>
      </c>
      <c r="D411" s="12" t="s">
        <v>38</v>
      </c>
      <c r="E411" s="37"/>
      <c r="F411" s="13">
        <v>6800.0</v>
      </c>
      <c r="G411" s="36">
        <v>7100.0</v>
      </c>
      <c r="H411" s="15">
        <f t="shared" si="37"/>
        <v>0.04411764706</v>
      </c>
      <c r="K411" s="16"/>
    </row>
    <row r="412" ht="14.25" customHeight="1">
      <c r="A412" s="8"/>
      <c r="B412" s="38">
        <v>9201.0</v>
      </c>
      <c r="E412" s="39"/>
      <c r="F412" s="40">
        <f t="shared" ref="F412:G412" si="41">SUM(F399:F411)</f>
        <v>418100</v>
      </c>
      <c r="G412" s="40">
        <f t="shared" si="41"/>
        <v>434250</v>
      </c>
      <c r="H412" s="15">
        <f t="shared" si="37"/>
        <v>0.0386271227</v>
      </c>
      <c r="K412" s="16"/>
    </row>
    <row r="413" ht="14.25" customHeight="1">
      <c r="A413" s="8"/>
      <c r="B413" s="86"/>
      <c r="C413" s="45"/>
      <c r="D413" s="45"/>
      <c r="E413" s="35"/>
      <c r="F413" s="49"/>
      <c r="G413" s="49"/>
      <c r="H413" s="15" t="str">
        <f t="shared" si="37"/>
        <v/>
      </c>
      <c r="K413" s="16"/>
    </row>
    <row r="414" ht="14.25" customHeight="1">
      <c r="A414" s="8"/>
      <c r="B414" s="51">
        <v>9202.0</v>
      </c>
      <c r="C414" s="52"/>
      <c r="D414" s="53" t="s">
        <v>150</v>
      </c>
      <c r="E414" s="54"/>
      <c r="F414" s="53">
        <v>2023.0</v>
      </c>
      <c r="G414" s="55">
        <v>2024.0</v>
      </c>
      <c r="H414" s="15">
        <f t="shared" si="37"/>
        <v>0.0004943153732</v>
      </c>
      <c r="K414" s="16"/>
    </row>
    <row r="415" ht="14.25" customHeight="1">
      <c r="A415" s="8"/>
      <c r="B415" s="9"/>
      <c r="C415" s="11" t="s">
        <v>83</v>
      </c>
      <c r="D415" s="12" t="s">
        <v>84</v>
      </c>
      <c r="E415" s="37"/>
      <c r="F415" s="13">
        <v>21650.0</v>
      </c>
      <c r="G415" s="36">
        <v>22500.0</v>
      </c>
      <c r="H415" s="15">
        <f t="shared" si="37"/>
        <v>0.03926096998</v>
      </c>
      <c r="K415" s="16"/>
    </row>
    <row r="416" ht="14.25" customHeight="1">
      <c r="A416" s="8"/>
      <c r="B416" s="9"/>
      <c r="C416" s="11" t="s">
        <v>23</v>
      </c>
      <c r="D416" s="12" t="s">
        <v>24</v>
      </c>
      <c r="E416" s="65"/>
      <c r="F416" s="13">
        <v>14520.0</v>
      </c>
      <c r="G416" s="36">
        <v>15000.0</v>
      </c>
      <c r="H416" s="15">
        <f t="shared" si="37"/>
        <v>0.03305785124</v>
      </c>
      <c r="K416" s="16"/>
    </row>
    <row r="417" ht="14.25" customHeight="1">
      <c r="A417" s="8"/>
      <c r="B417" s="9"/>
      <c r="C417" s="11" t="s">
        <v>27</v>
      </c>
      <c r="D417" s="12" t="s">
        <v>28</v>
      </c>
      <c r="E417" s="65"/>
      <c r="F417" s="13">
        <v>11800.0</v>
      </c>
      <c r="G417" s="36">
        <v>12200.0</v>
      </c>
      <c r="H417" s="15">
        <f t="shared" si="37"/>
        <v>0.03389830508</v>
      </c>
      <c r="K417" s="16"/>
    </row>
    <row r="418" ht="14.25" customHeight="1">
      <c r="A418" s="8"/>
      <c r="B418" s="9"/>
      <c r="C418" s="11" t="s">
        <v>29</v>
      </c>
      <c r="D418" s="12" t="s">
        <v>30</v>
      </c>
      <c r="E418" s="65"/>
      <c r="F418" s="13">
        <v>3850.0</v>
      </c>
      <c r="G418" s="36">
        <v>4000.0</v>
      </c>
      <c r="H418" s="15">
        <f t="shared" si="37"/>
        <v>0.03896103896</v>
      </c>
      <c r="K418" s="16"/>
    </row>
    <row r="419" ht="14.25" customHeight="1">
      <c r="A419" s="8"/>
      <c r="B419" s="9"/>
      <c r="C419" s="11" t="s">
        <v>31</v>
      </c>
      <c r="D419" s="12" t="s">
        <v>32</v>
      </c>
      <c r="E419" s="37"/>
      <c r="F419" s="13">
        <v>20750.0</v>
      </c>
      <c r="G419" s="36">
        <v>21500.0</v>
      </c>
      <c r="H419" s="15">
        <f t="shared" si="37"/>
        <v>0.03614457831</v>
      </c>
      <c r="K419" s="16"/>
    </row>
    <row r="420" ht="14.25" customHeight="1">
      <c r="A420" s="8"/>
      <c r="B420" s="9"/>
      <c r="C420" s="11" t="s">
        <v>33</v>
      </c>
      <c r="D420" s="12" t="s">
        <v>34</v>
      </c>
      <c r="E420" s="37"/>
      <c r="F420" s="13">
        <v>33650.0</v>
      </c>
      <c r="G420" s="36">
        <v>35000.0</v>
      </c>
      <c r="H420" s="15">
        <f t="shared" si="37"/>
        <v>0.04011887073</v>
      </c>
      <c r="K420" s="16"/>
    </row>
    <row r="421" ht="14.25" customHeight="1">
      <c r="A421" s="8"/>
      <c r="B421" s="9"/>
      <c r="C421" s="11">
        <v>150.0</v>
      </c>
      <c r="D421" s="12" t="s">
        <v>36</v>
      </c>
      <c r="E421" s="65"/>
      <c r="F421" s="13">
        <v>4800.0</v>
      </c>
      <c r="G421" s="36">
        <v>5000.0</v>
      </c>
      <c r="H421" s="15">
        <f t="shared" si="37"/>
        <v>0.04166666667</v>
      </c>
      <c r="K421" s="16"/>
    </row>
    <row r="422" ht="14.25" customHeight="1">
      <c r="A422" s="8"/>
      <c r="B422" s="9"/>
      <c r="C422" s="11" t="s">
        <v>56</v>
      </c>
      <c r="D422" s="12" t="s">
        <v>57</v>
      </c>
      <c r="E422" s="65"/>
      <c r="F422" s="13">
        <v>1000.0</v>
      </c>
      <c r="G422" s="36">
        <v>1050.0</v>
      </c>
      <c r="H422" s="15">
        <f t="shared" si="37"/>
        <v>0.05</v>
      </c>
      <c r="K422" s="16"/>
    </row>
    <row r="423" ht="14.25" customHeight="1">
      <c r="A423" s="8"/>
      <c r="B423" s="9"/>
      <c r="C423" s="11" t="s">
        <v>37</v>
      </c>
      <c r="D423" s="12" t="s">
        <v>38</v>
      </c>
      <c r="E423" s="37"/>
      <c r="F423" s="13">
        <v>30400.0</v>
      </c>
      <c r="G423" s="36">
        <v>31500.0</v>
      </c>
      <c r="H423" s="15">
        <f t="shared" si="37"/>
        <v>0.03618421053</v>
      </c>
      <c r="K423" s="16"/>
    </row>
    <row r="424" ht="14.25" customHeight="1">
      <c r="A424" s="8"/>
      <c r="B424" s="38">
        <v>9202.0</v>
      </c>
      <c r="E424" s="39"/>
      <c r="F424" s="40">
        <f t="shared" ref="F424:G424" si="42">SUM(F415:F423)</f>
        <v>142420</v>
      </c>
      <c r="G424" s="40">
        <f t="shared" si="42"/>
        <v>147750</v>
      </c>
      <c r="H424" s="15">
        <f t="shared" si="37"/>
        <v>0.03742451903</v>
      </c>
      <c r="K424" s="16"/>
    </row>
    <row r="425" ht="14.25" customHeight="1">
      <c r="A425" s="8"/>
      <c r="B425" s="9"/>
      <c r="C425" s="3"/>
      <c r="D425" s="45"/>
      <c r="E425" s="35"/>
      <c r="F425" s="49"/>
      <c r="G425" s="49"/>
      <c r="H425" s="15" t="str">
        <f t="shared" si="37"/>
        <v/>
      </c>
      <c r="K425" s="16"/>
    </row>
    <row r="426" ht="14.25" customHeight="1">
      <c r="A426" s="8"/>
      <c r="B426" s="51">
        <v>9310.0</v>
      </c>
      <c r="C426" s="52"/>
      <c r="D426" s="53" t="s">
        <v>151</v>
      </c>
      <c r="E426" s="54"/>
      <c r="F426" s="53">
        <v>2023.0</v>
      </c>
      <c r="G426" s="55">
        <v>2024.0</v>
      </c>
      <c r="H426" s="15">
        <f t="shared" si="37"/>
        <v>0.0004943153732</v>
      </c>
      <c r="K426" s="16"/>
    </row>
    <row r="427" ht="14.25" customHeight="1">
      <c r="A427" s="8"/>
      <c r="B427" s="9"/>
      <c r="C427" s="11" t="s">
        <v>83</v>
      </c>
      <c r="D427" s="12" t="s">
        <v>84</v>
      </c>
      <c r="E427" s="37"/>
      <c r="F427" s="13">
        <v>68700.0</v>
      </c>
      <c r="G427" s="36">
        <v>87050.0</v>
      </c>
      <c r="H427" s="15">
        <f t="shared" si="37"/>
        <v>0.2671033479</v>
      </c>
      <c r="K427" s="16"/>
    </row>
    <row r="428" ht="14.25" customHeight="1">
      <c r="A428" s="8"/>
      <c r="B428" s="9"/>
      <c r="C428" s="11" t="s">
        <v>27</v>
      </c>
      <c r="D428" s="12" t="s">
        <v>28</v>
      </c>
      <c r="E428" s="8"/>
      <c r="F428" s="13">
        <f>36050+11800</f>
        <v>47850</v>
      </c>
      <c r="G428" s="36">
        <v>37500.0</v>
      </c>
      <c r="H428" s="15">
        <f t="shared" si="37"/>
        <v>-0.2163009404</v>
      </c>
      <c r="K428" s="16"/>
    </row>
    <row r="429" ht="14.25" customHeight="1">
      <c r="A429" s="8"/>
      <c r="B429" s="9"/>
      <c r="C429" s="11" t="s">
        <v>29</v>
      </c>
      <c r="D429" s="12" t="s">
        <v>30</v>
      </c>
      <c r="E429" s="65"/>
      <c r="F429" s="13">
        <v>18400.0</v>
      </c>
      <c r="G429" s="36">
        <v>19000.0</v>
      </c>
      <c r="H429" s="15">
        <f t="shared" si="37"/>
        <v>0.03260869565</v>
      </c>
      <c r="K429" s="16"/>
    </row>
    <row r="430" ht="14.25" customHeight="1">
      <c r="A430" s="8"/>
      <c r="B430" s="9"/>
      <c r="C430" s="11" t="s">
        <v>31</v>
      </c>
      <c r="D430" s="12" t="s">
        <v>32</v>
      </c>
      <c r="E430" s="65"/>
      <c r="F430" s="13">
        <f>47700+4900</f>
        <v>52600</v>
      </c>
      <c r="G430" s="36">
        <v>59500.0</v>
      </c>
      <c r="H430" s="15">
        <f t="shared" si="37"/>
        <v>0.1311787072</v>
      </c>
      <c r="K430" s="16"/>
    </row>
    <row r="431" ht="14.25" customHeight="1">
      <c r="A431" s="8"/>
      <c r="B431" s="9"/>
      <c r="C431" s="11" t="s">
        <v>33</v>
      </c>
      <c r="D431" s="12" t="s">
        <v>34</v>
      </c>
      <c r="E431" s="65"/>
      <c r="F431" s="13">
        <f>85200+7100</f>
        <v>92300</v>
      </c>
      <c r="G431" s="36">
        <v>103000.0</v>
      </c>
      <c r="H431" s="15">
        <f t="shared" si="37"/>
        <v>0.1159263272</v>
      </c>
      <c r="K431" s="16"/>
    </row>
    <row r="432" ht="14.25" customHeight="1">
      <c r="A432" s="8"/>
      <c r="B432" s="9"/>
      <c r="C432" s="11">
        <v>150.0</v>
      </c>
      <c r="D432" s="12" t="s">
        <v>36</v>
      </c>
      <c r="E432" s="65"/>
      <c r="F432" s="13">
        <f>4600+660</f>
        <v>5260</v>
      </c>
      <c r="G432" s="36">
        <v>5750.0</v>
      </c>
      <c r="H432" s="15">
        <f t="shared" si="37"/>
        <v>0.09315589354</v>
      </c>
      <c r="K432" s="16"/>
    </row>
    <row r="433" ht="14.25" customHeight="1">
      <c r="A433" s="8"/>
      <c r="B433" s="9"/>
      <c r="C433" s="11" t="s">
        <v>56</v>
      </c>
      <c r="D433" s="12" t="s">
        <v>57</v>
      </c>
      <c r="E433" s="65"/>
      <c r="F433" s="13">
        <v>500.0</v>
      </c>
      <c r="G433" s="36">
        <v>1050.0</v>
      </c>
      <c r="H433" s="15">
        <f t="shared" si="37"/>
        <v>1.1</v>
      </c>
      <c r="K433" s="16"/>
    </row>
    <row r="434" ht="14.25" customHeight="1">
      <c r="A434" s="8"/>
      <c r="B434" s="9"/>
      <c r="C434" s="11" t="s">
        <v>37</v>
      </c>
      <c r="D434" s="12" t="s">
        <v>38</v>
      </c>
      <c r="E434" s="65"/>
      <c r="F434" s="13">
        <v>74200.0</v>
      </c>
      <c r="G434" s="36">
        <v>80000.0</v>
      </c>
      <c r="H434" s="15">
        <f t="shared" si="37"/>
        <v>0.0781671159</v>
      </c>
      <c r="K434" s="16"/>
    </row>
    <row r="435" ht="14.25" customHeight="1">
      <c r="A435" s="8"/>
      <c r="B435" s="9"/>
      <c r="C435" s="11" t="s">
        <v>39</v>
      </c>
      <c r="D435" s="12" t="s">
        <v>40</v>
      </c>
      <c r="E435" s="37"/>
      <c r="F435" s="13">
        <v>17800.0</v>
      </c>
      <c r="G435" s="36">
        <v>18500.0</v>
      </c>
      <c r="H435" s="15">
        <f t="shared" si="37"/>
        <v>0.0393258427</v>
      </c>
      <c r="K435" s="16"/>
    </row>
    <row r="436" ht="14.25" customHeight="1">
      <c r="A436" s="8"/>
      <c r="B436" s="9"/>
      <c r="C436" s="11" t="s">
        <v>41</v>
      </c>
      <c r="D436" s="12" t="s">
        <v>42</v>
      </c>
      <c r="E436" s="8"/>
      <c r="F436" s="13">
        <v>5300.0</v>
      </c>
      <c r="G436" s="36">
        <v>5500.0</v>
      </c>
      <c r="H436" s="15">
        <f t="shared" si="37"/>
        <v>0.03773584906</v>
      </c>
      <c r="K436" s="16"/>
    </row>
    <row r="437" ht="14.25" customHeight="1">
      <c r="A437" s="8"/>
      <c r="B437" s="9"/>
      <c r="C437" s="11" t="s">
        <v>44</v>
      </c>
      <c r="D437" s="12" t="s">
        <v>38</v>
      </c>
      <c r="E437" s="65"/>
      <c r="F437" s="13">
        <v>6600.0</v>
      </c>
      <c r="G437" s="36">
        <v>6800.0</v>
      </c>
      <c r="H437" s="15">
        <f t="shared" si="37"/>
        <v>0.0303030303</v>
      </c>
      <c r="K437" s="16"/>
    </row>
    <row r="438" ht="14.25" customHeight="1">
      <c r="A438" s="8"/>
      <c r="B438" s="38">
        <v>9310.0</v>
      </c>
      <c r="E438" s="39"/>
      <c r="F438" s="40">
        <f t="shared" ref="F438:G438" si="43">SUM(F427:F437)</f>
        <v>389510</v>
      </c>
      <c r="G438" s="40">
        <f t="shared" si="43"/>
        <v>423650</v>
      </c>
      <c r="H438" s="15">
        <f t="shared" si="37"/>
        <v>0.08764858412</v>
      </c>
      <c r="K438" s="16"/>
    </row>
    <row r="439" ht="14.25" customHeight="1">
      <c r="A439" s="8"/>
      <c r="B439" s="9"/>
      <c r="C439" s="3"/>
      <c r="D439" s="45"/>
      <c r="E439" s="35"/>
      <c r="F439" s="49"/>
      <c r="G439" s="49"/>
      <c r="H439" s="15" t="str">
        <f t="shared" si="37"/>
        <v/>
      </c>
      <c r="K439" s="16"/>
    </row>
    <row r="440" ht="14.25" customHeight="1">
      <c r="A440" s="8"/>
      <c r="B440" s="51">
        <v>9320.0</v>
      </c>
      <c r="C440" s="52"/>
      <c r="D440" s="53" t="s">
        <v>152</v>
      </c>
      <c r="E440" s="54"/>
      <c r="F440" s="53">
        <v>2023.0</v>
      </c>
      <c r="G440" s="55">
        <v>2024.0</v>
      </c>
      <c r="H440" s="15">
        <f t="shared" si="37"/>
        <v>0.0004943153732</v>
      </c>
      <c r="K440" s="16"/>
    </row>
    <row r="441" ht="14.25" customHeight="1">
      <c r="A441" s="8"/>
      <c r="B441" s="9"/>
      <c r="C441" s="11" t="s">
        <v>83</v>
      </c>
      <c r="D441" s="12" t="s">
        <v>84</v>
      </c>
      <c r="E441" s="65"/>
      <c r="F441" s="13">
        <v>42700.0</v>
      </c>
      <c r="G441" s="36">
        <v>44000.0</v>
      </c>
      <c r="H441" s="15">
        <f t="shared" si="37"/>
        <v>0.03044496487</v>
      </c>
      <c r="K441" s="16"/>
    </row>
    <row r="442" ht="14.25" customHeight="1">
      <c r="A442" s="8"/>
      <c r="B442" s="9"/>
      <c r="C442" s="11" t="s">
        <v>54</v>
      </c>
      <c r="D442" s="12" t="s">
        <v>55</v>
      </c>
      <c r="E442" s="65"/>
      <c r="F442" s="13">
        <v>56000.0</v>
      </c>
      <c r="G442" s="36">
        <v>58000.0</v>
      </c>
      <c r="H442" s="15">
        <f t="shared" si="37"/>
        <v>0.03571428571</v>
      </c>
      <c r="K442" s="16"/>
    </row>
    <row r="443" ht="14.25" customHeight="1">
      <c r="A443" s="8"/>
      <c r="B443" s="9"/>
      <c r="C443" s="11" t="s">
        <v>23</v>
      </c>
      <c r="D443" s="12" t="s">
        <v>24</v>
      </c>
      <c r="E443" s="37"/>
      <c r="F443" s="13">
        <v>13500.0</v>
      </c>
      <c r="G443" s="36">
        <v>14000.0</v>
      </c>
      <c r="H443" s="15">
        <f t="shared" si="37"/>
        <v>0.03703703704</v>
      </c>
      <c r="K443" s="16"/>
    </row>
    <row r="444" ht="14.25" customHeight="1">
      <c r="A444" s="8"/>
      <c r="B444" s="9"/>
      <c r="C444" s="11" t="s">
        <v>27</v>
      </c>
      <c r="D444" s="12" t="s">
        <v>28</v>
      </c>
      <c r="E444" s="37"/>
      <c r="F444" s="13">
        <v>59300.0</v>
      </c>
      <c r="G444" s="36">
        <f>62000+4600</f>
        <v>66600</v>
      </c>
      <c r="H444" s="15">
        <f t="shared" si="37"/>
        <v>0.1231028668</v>
      </c>
      <c r="K444" s="16"/>
    </row>
    <row r="445" ht="14.25" customHeight="1">
      <c r="A445" s="8"/>
      <c r="B445" s="9"/>
      <c r="C445" s="11" t="s">
        <v>29</v>
      </c>
      <c r="D445" s="12" t="s">
        <v>30</v>
      </c>
      <c r="E445" s="37"/>
      <c r="F445" s="13">
        <v>16100.0</v>
      </c>
      <c r="G445" s="36">
        <v>17000.0</v>
      </c>
      <c r="H445" s="15">
        <f t="shared" si="37"/>
        <v>0.05590062112</v>
      </c>
      <c r="K445" s="16"/>
    </row>
    <row r="446" ht="14.25" customHeight="1">
      <c r="A446" s="8"/>
      <c r="B446" s="9"/>
      <c r="C446" s="11" t="s">
        <v>31</v>
      </c>
      <c r="D446" s="12" t="s">
        <v>32</v>
      </c>
      <c r="E446" s="8"/>
      <c r="F446" s="13">
        <v>71800.0</v>
      </c>
      <c r="G446" s="36">
        <f>74000+2020</f>
        <v>76020</v>
      </c>
      <c r="H446" s="15">
        <f t="shared" si="37"/>
        <v>0.05877437326</v>
      </c>
      <c r="K446" s="16"/>
    </row>
    <row r="447" ht="14.25" customHeight="1">
      <c r="A447" s="8"/>
      <c r="B447" s="9"/>
      <c r="C447" s="11" t="s">
        <v>33</v>
      </c>
      <c r="D447" s="12" t="s">
        <v>34</v>
      </c>
      <c r="E447" s="37"/>
      <c r="F447" s="13">
        <v>108400.0</v>
      </c>
      <c r="G447" s="36">
        <f>112000+2950</f>
        <v>114950</v>
      </c>
      <c r="H447" s="15">
        <f t="shared" si="37"/>
        <v>0.06042435424</v>
      </c>
      <c r="K447" s="16"/>
    </row>
    <row r="448" ht="14.25" customHeight="1">
      <c r="A448" s="8"/>
      <c r="B448" s="9"/>
      <c r="C448" s="11">
        <v>150.0</v>
      </c>
      <c r="D448" s="12" t="s">
        <v>36</v>
      </c>
      <c r="E448" s="37"/>
      <c r="F448" s="13">
        <v>8020.0</v>
      </c>
      <c r="G448" s="36">
        <f>12000+250</f>
        <v>12250</v>
      </c>
      <c r="H448" s="15">
        <f t="shared" si="37"/>
        <v>0.5274314214</v>
      </c>
      <c r="K448" s="16"/>
    </row>
    <row r="449" ht="14.25" customHeight="1">
      <c r="A449" s="8"/>
      <c r="B449" s="9"/>
      <c r="C449" s="11" t="s">
        <v>56</v>
      </c>
      <c r="D449" s="12" t="s">
        <v>57</v>
      </c>
      <c r="E449" s="37"/>
      <c r="F449" s="13">
        <v>3550.0</v>
      </c>
      <c r="G449" s="36">
        <v>10000.0</v>
      </c>
      <c r="H449" s="15">
        <f t="shared" si="37"/>
        <v>1.816901408</v>
      </c>
      <c r="K449" s="16"/>
    </row>
    <row r="450" ht="14.25" customHeight="1">
      <c r="A450" s="8"/>
      <c r="B450" s="9"/>
      <c r="C450" s="11" t="s">
        <v>37</v>
      </c>
      <c r="D450" s="12" t="s">
        <v>38</v>
      </c>
      <c r="E450" s="65"/>
      <c r="F450" s="13">
        <v>107400.0</v>
      </c>
      <c r="G450" s="36">
        <f>140000+3100</f>
        <v>143100</v>
      </c>
      <c r="H450" s="15">
        <f t="shared" si="37"/>
        <v>0.3324022346</v>
      </c>
      <c r="K450" s="16"/>
    </row>
    <row r="451" ht="14.25" customHeight="1">
      <c r="A451" s="8"/>
      <c r="B451" s="9"/>
      <c r="C451" s="11" t="s">
        <v>39</v>
      </c>
      <c r="D451" s="12" t="s">
        <v>40</v>
      </c>
      <c r="E451" s="65"/>
      <c r="F451" s="13">
        <v>111600.0</v>
      </c>
      <c r="G451" s="36">
        <v>115000.0</v>
      </c>
      <c r="H451" s="15">
        <f t="shared" si="37"/>
        <v>0.03046594982</v>
      </c>
      <c r="K451" s="16"/>
    </row>
    <row r="452" ht="14.25" customHeight="1">
      <c r="A452" s="8"/>
      <c r="B452" s="9"/>
      <c r="C452" s="11" t="s">
        <v>85</v>
      </c>
      <c r="D452" s="12" t="s">
        <v>86</v>
      </c>
      <c r="E452" s="65"/>
      <c r="F452" s="13">
        <f>3000+0</f>
        <v>3000</v>
      </c>
      <c r="G452" s="36">
        <v>10000.0</v>
      </c>
      <c r="H452" s="15">
        <f t="shared" si="37"/>
        <v>2.333333333</v>
      </c>
      <c r="K452" s="16"/>
    </row>
    <row r="453" ht="14.25" customHeight="1">
      <c r="A453" s="8"/>
      <c r="B453" s="9"/>
      <c r="C453" s="11" t="s">
        <v>41</v>
      </c>
      <c r="D453" s="12" t="s">
        <v>42</v>
      </c>
      <c r="E453" s="65"/>
      <c r="F453" s="13">
        <v>28100.0</v>
      </c>
      <c r="G453" s="36">
        <v>29000.0</v>
      </c>
      <c r="H453" s="15">
        <f t="shared" si="37"/>
        <v>0.03202846975</v>
      </c>
      <c r="K453" s="16"/>
    </row>
    <row r="454" ht="14.25" customHeight="1">
      <c r="A454" s="8"/>
      <c r="B454" s="9"/>
      <c r="C454" s="11" t="s">
        <v>44</v>
      </c>
      <c r="D454" s="12" t="s">
        <v>38</v>
      </c>
      <c r="E454" s="65"/>
      <c r="F454" s="13">
        <v>39300.0</v>
      </c>
      <c r="G454" s="36">
        <v>40500.0</v>
      </c>
      <c r="H454" s="15">
        <f t="shared" si="37"/>
        <v>0.03053435115</v>
      </c>
      <c r="K454" s="16"/>
    </row>
    <row r="455" ht="14.25" customHeight="1">
      <c r="A455" s="8"/>
      <c r="B455" s="38">
        <v>9320.0</v>
      </c>
      <c r="E455" s="39"/>
      <c r="F455" s="40">
        <f t="shared" ref="F455:G455" si="44">SUM(F441:F454)</f>
        <v>668770</v>
      </c>
      <c r="G455" s="40">
        <f t="shared" si="44"/>
        <v>750420</v>
      </c>
      <c r="H455" s="15">
        <f t="shared" si="37"/>
        <v>0.1220898067</v>
      </c>
      <c r="K455" s="16"/>
    </row>
    <row r="456" ht="14.25" customHeight="1">
      <c r="A456" s="8"/>
      <c r="B456" s="9"/>
      <c r="C456" s="45"/>
      <c r="D456" s="46"/>
      <c r="E456" s="37"/>
      <c r="F456" s="49"/>
      <c r="G456" s="49"/>
      <c r="H456" s="15" t="str">
        <f t="shared" si="37"/>
        <v/>
      </c>
      <c r="K456" s="16"/>
    </row>
    <row r="457" ht="14.25" customHeight="1">
      <c r="A457" s="8"/>
      <c r="B457" s="51">
        <v>9330.0</v>
      </c>
      <c r="C457" s="52"/>
      <c r="D457" s="53" t="s">
        <v>153</v>
      </c>
      <c r="E457" s="54"/>
      <c r="F457" s="53">
        <v>2023.0</v>
      </c>
      <c r="G457" s="55">
        <v>2024.0</v>
      </c>
      <c r="H457" s="15">
        <f t="shared" si="37"/>
        <v>0.0004943153732</v>
      </c>
      <c r="K457" s="16"/>
    </row>
    <row r="458" ht="14.25" customHeight="1">
      <c r="A458" s="8"/>
      <c r="B458" s="9"/>
      <c r="C458" s="11" t="s">
        <v>83</v>
      </c>
      <c r="D458" s="12" t="s">
        <v>84</v>
      </c>
      <c r="E458" s="37"/>
      <c r="F458" s="13">
        <v>43620.0</v>
      </c>
      <c r="G458" s="36">
        <v>45000.0</v>
      </c>
      <c r="H458" s="15">
        <f t="shared" si="37"/>
        <v>0.03163686382</v>
      </c>
      <c r="K458" s="16"/>
    </row>
    <row r="459" ht="14.25" customHeight="1">
      <c r="A459" s="8"/>
      <c r="B459" s="9"/>
      <c r="C459" s="11" t="s">
        <v>29</v>
      </c>
      <c r="D459" s="12" t="s">
        <v>30</v>
      </c>
      <c r="E459" s="37"/>
      <c r="F459" s="13">
        <v>600.0</v>
      </c>
      <c r="G459" s="36">
        <v>620.0</v>
      </c>
      <c r="H459" s="15">
        <f t="shared" si="37"/>
        <v>0.03333333333</v>
      </c>
      <c r="K459" s="16"/>
    </row>
    <row r="460" ht="14.25" customHeight="1">
      <c r="A460" s="8"/>
      <c r="B460" s="9"/>
      <c r="C460" s="11" t="s">
        <v>31</v>
      </c>
      <c r="D460" s="12" t="s">
        <v>32</v>
      </c>
      <c r="E460" s="65"/>
      <c r="F460" s="13">
        <v>21400.0</v>
      </c>
      <c r="G460" s="36">
        <v>22100.0</v>
      </c>
      <c r="H460" s="15">
        <f t="shared" si="37"/>
        <v>0.03271028037</v>
      </c>
      <c r="K460" s="16"/>
    </row>
    <row r="461" ht="14.25" customHeight="1">
      <c r="A461" s="8"/>
      <c r="B461" s="9"/>
      <c r="C461" s="11" t="s">
        <v>33</v>
      </c>
      <c r="D461" s="12" t="s">
        <v>34</v>
      </c>
      <c r="E461" s="65"/>
      <c r="F461" s="13">
        <v>35450.0</v>
      </c>
      <c r="G461" s="36">
        <v>37000.0</v>
      </c>
      <c r="H461" s="15">
        <f t="shared" si="37"/>
        <v>0.0437235543</v>
      </c>
      <c r="K461" s="16"/>
    </row>
    <row r="462" ht="14.25" customHeight="1">
      <c r="A462" s="8"/>
      <c r="B462" s="9"/>
      <c r="C462" s="11">
        <v>150.0</v>
      </c>
      <c r="D462" s="12" t="s">
        <v>36</v>
      </c>
      <c r="E462" s="37"/>
      <c r="F462" s="13">
        <v>1750.0</v>
      </c>
      <c r="G462" s="36">
        <v>1800.0</v>
      </c>
      <c r="H462" s="15">
        <f t="shared" si="37"/>
        <v>0.02857142857</v>
      </c>
      <c r="K462" s="16"/>
    </row>
    <row r="463" ht="14.25" customHeight="1">
      <c r="A463" s="8"/>
      <c r="B463" s="9"/>
      <c r="C463" s="11" t="s">
        <v>56</v>
      </c>
      <c r="D463" s="12" t="s">
        <v>57</v>
      </c>
      <c r="E463" s="37"/>
      <c r="F463" s="13">
        <v>200.0</v>
      </c>
      <c r="G463" s="36">
        <v>210.0</v>
      </c>
      <c r="H463" s="15">
        <f t="shared" si="37"/>
        <v>0.05</v>
      </c>
      <c r="K463" s="16"/>
    </row>
    <row r="464" ht="14.25" customHeight="1">
      <c r="A464" s="8"/>
      <c r="B464" s="9"/>
      <c r="C464" s="11" t="s">
        <v>37</v>
      </c>
      <c r="D464" s="12" t="s">
        <v>38</v>
      </c>
      <c r="E464" s="37"/>
      <c r="F464" s="13">
        <v>29000.0</v>
      </c>
      <c r="G464" s="36">
        <v>30000.0</v>
      </c>
      <c r="H464" s="15">
        <f t="shared" si="37"/>
        <v>0.03448275862</v>
      </c>
      <c r="K464" s="16"/>
    </row>
    <row r="465" ht="14.25" customHeight="1">
      <c r="A465" s="8"/>
      <c r="B465" s="9"/>
      <c r="C465" s="11" t="s">
        <v>39</v>
      </c>
      <c r="D465" s="12" t="s">
        <v>40</v>
      </c>
      <c r="E465" s="37"/>
      <c r="F465" s="13">
        <v>33800.0</v>
      </c>
      <c r="G465" s="36">
        <v>35000.0</v>
      </c>
      <c r="H465" s="15">
        <f t="shared" si="37"/>
        <v>0.03550295858</v>
      </c>
      <c r="K465" s="16"/>
    </row>
    <row r="466" ht="14.25" customHeight="1">
      <c r="A466" s="8"/>
      <c r="B466" s="9"/>
      <c r="C466" s="11" t="s">
        <v>41</v>
      </c>
      <c r="D466" s="12" t="s">
        <v>42</v>
      </c>
      <c r="E466" s="37"/>
      <c r="F466" s="13">
        <v>11100.0</v>
      </c>
      <c r="G466" s="36">
        <v>11500.0</v>
      </c>
      <c r="H466" s="15">
        <f t="shared" si="37"/>
        <v>0.03603603604</v>
      </c>
      <c r="K466" s="16"/>
    </row>
    <row r="467" ht="14.25" customHeight="1">
      <c r="A467" s="8"/>
      <c r="B467" s="9"/>
      <c r="C467" s="11" t="s">
        <v>44</v>
      </c>
      <c r="D467" s="12" t="s">
        <v>38</v>
      </c>
      <c r="E467" s="65"/>
      <c r="F467" s="13">
        <v>13200.0</v>
      </c>
      <c r="G467" s="36">
        <v>13800.0</v>
      </c>
      <c r="H467" s="15">
        <f t="shared" si="37"/>
        <v>0.04545454545</v>
      </c>
      <c r="K467" s="16"/>
    </row>
    <row r="468" ht="14.25" customHeight="1">
      <c r="A468" s="8"/>
      <c r="B468" s="38">
        <v>9330.0</v>
      </c>
      <c r="E468" s="39"/>
      <c r="F468" s="40">
        <f t="shared" ref="F468:G468" si="45">SUM(F458:F467)</f>
        <v>190120</v>
      </c>
      <c r="G468" s="40">
        <f t="shared" si="45"/>
        <v>197030</v>
      </c>
      <c r="H468" s="15">
        <f t="shared" si="37"/>
        <v>0.03634546602</v>
      </c>
      <c r="K468" s="16"/>
    </row>
    <row r="469" ht="14.25" customHeight="1">
      <c r="A469" s="8"/>
      <c r="B469" s="9"/>
      <c r="C469" s="45"/>
      <c r="D469" s="46"/>
      <c r="E469" s="37"/>
      <c r="F469" s="49"/>
      <c r="G469" s="49"/>
      <c r="H469" s="15" t="str">
        <f t="shared" si="37"/>
        <v/>
      </c>
      <c r="K469" s="16"/>
    </row>
    <row r="470" ht="14.25" customHeight="1">
      <c r="A470" s="8"/>
      <c r="B470" s="51">
        <v>9340.0</v>
      </c>
      <c r="C470" s="52"/>
      <c r="D470" s="53" t="s">
        <v>154</v>
      </c>
      <c r="E470" s="54"/>
      <c r="F470" s="53">
        <v>2023.0</v>
      </c>
      <c r="G470" s="55">
        <v>2024.0</v>
      </c>
      <c r="H470" s="15">
        <f t="shared" si="37"/>
        <v>0.0004943153732</v>
      </c>
      <c r="K470" s="16"/>
    </row>
    <row r="471" ht="14.25" customHeight="1">
      <c r="A471" s="8"/>
      <c r="B471" s="9"/>
      <c r="C471" s="11" t="s">
        <v>83</v>
      </c>
      <c r="D471" s="12" t="s">
        <v>84</v>
      </c>
      <c r="E471" s="37"/>
      <c r="F471" s="13">
        <v>24300.0</v>
      </c>
      <c r="G471" s="36">
        <v>25050.0</v>
      </c>
      <c r="H471" s="15">
        <f t="shared" si="37"/>
        <v>0.03086419753</v>
      </c>
      <c r="K471" s="16"/>
    </row>
    <row r="472" ht="14.25" customHeight="1">
      <c r="A472" s="8"/>
      <c r="B472" s="9"/>
      <c r="C472" s="11" t="s">
        <v>29</v>
      </c>
      <c r="D472" s="12" t="s">
        <v>30</v>
      </c>
      <c r="E472" s="65"/>
      <c r="F472" s="13">
        <v>7050.0</v>
      </c>
      <c r="G472" s="36">
        <v>7300.0</v>
      </c>
      <c r="H472" s="15">
        <f t="shared" si="37"/>
        <v>0.03546099291</v>
      </c>
      <c r="K472" s="16"/>
    </row>
    <row r="473" ht="14.25" customHeight="1">
      <c r="A473" s="8"/>
      <c r="B473" s="9"/>
      <c r="C473" s="11" t="s">
        <v>31</v>
      </c>
      <c r="D473" s="12" t="s">
        <v>32</v>
      </c>
      <c r="E473" s="65"/>
      <c r="F473" s="13">
        <v>13520.0</v>
      </c>
      <c r="G473" s="36">
        <v>14000.0</v>
      </c>
      <c r="H473" s="15">
        <f t="shared" si="37"/>
        <v>0.03550295858</v>
      </c>
      <c r="K473" s="16"/>
    </row>
    <row r="474" ht="14.25" customHeight="1">
      <c r="A474" s="8"/>
      <c r="B474" s="9"/>
      <c r="C474" s="11" t="s">
        <v>33</v>
      </c>
      <c r="D474" s="12" t="s">
        <v>34</v>
      </c>
      <c r="E474" s="65"/>
      <c r="F474" s="13">
        <v>25650.0</v>
      </c>
      <c r="G474" s="36">
        <v>26500.0</v>
      </c>
      <c r="H474" s="15">
        <f t="shared" si="37"/>
        <v>0.03313840156</v>
      </c>
      <c r="K474" s="16"/>
    </row>
    <row r="475" ht="14.25" customHeight="1">
      <c r="A475" s="8"/>
      <c r="B475" s="9"/>
      <c r="C475" s="11">
        <v>150.0</v>
      </c>
      <c r="D475" s="12" t="s">
        <v>36</v>
      </c>
      <c r="E475" s="65"/>
      <c r="F475" s="13">
        <v>870.0</v>
      </c>
      <c r="G475" s="36">
        <v>900.0</v>
      </c>
      <c r="H475" s="15">
        <f t="shared" si="37"/>
        <v>0.03448275862</v>
      </c>
      <c r="K475" s="16"/>
    </row>
    <row r="476" ht="14.25" customHeight="1">
      <c r="A476" s="8"/>
      <c r="B476" s="9"/>
      <c r="C476" s="76">
        <v>151.0</v>
      </c>
      <c r="D476" s="75" t="s">
        <v>155</v>
      </c>
      <c r="E476" s="65"/>
      <c r="F476" s="36">
        <v>0.01</v>
      </c>
      <c r="G476" s="36">
        <v>650.0</v>
      </c>
      <c r="H476" s="15">
        <f t="shared" si="37"/>
        <v>64999</v>
      </c>
      <c r="K476" s="16"/>
    </row>
    <row r="477" ht="14.25" customHeight="1">
      <c r="A477" s="8"/>
      <c r="B477" s="9"/>
      <c r="C477" s="11" t="s">
        <v>37</v>
      </c>
      <c r="D477" s="12" t="s">
        <v>38</v>
      </c>
      <c r="E477" s="65"/>
      <c r="F477" s="13">
        <v>13450.0</v>
      </c>
      <c r="G477" s="36">
        <v>14000.0</v>
      </c>
      <c r="H477" s="15">
        <f t="shared" si="37"/>
        <v>0.04089219331</v>
      </c>
      <c r="J477" s="14">
        <f>F483*0.03</f>
        <v>404006.6703</v>
      </c>
      <c r="K477" s="16"/>
    </row>
    <row r="478" ht="14.25" customHeight="1">
      <c r="A478" s="8"/>
      <c r="B478" s="9"/>
      <c r="C478" s="11" t="s">
        <v>39</v>
      </c>
      <c r="D478" s="12" t="s">
        <v>40</v>
      </c>
      <c r="E478" s="37"/>
      <c r="F478" s="13">
        <v>12500.0</v>
      </c>
      <c r="G478" s="36">
        <v>13000.0</v>
      </c>
      <c r="H478" s="15">
        <f t="shared" si="37"/>
        <v>0.04</v>
      </c>
      <c r="K478" s="16"/>
    </row>
    <row r="479" ht="14.25" customHeight="1">
      <c r="A479" s="8"/>
      <c r="B479" s="9"/>
      <c r="C479" s="11" t="s">
        <v>41</v>
      </c>
      <c r="D479" s="12" t="s">
        <v>42</v>
      </c>
      <c r="E479" s="65"/>
      <c r="F479" s="13">
        <v>5300.0</v>
      </c>
      <c r="G479" s="36">
        <v>5500.0</v>
      </c>
      <c r="H479" s="15">
        <f t="shared" si="37"/>
        <v>0.03773584906</v>
      </c>
      <c r="K479" s="16"/>
    </row>
    <row r="480" ht="14.25" customHeight="1">
      <c r="A480" s="8"/>
      <c r="B480" s="9"/>
      <c r="C480" s="11" t="s">
        <v>44</v>
      </c>
      <c r="D480" s="12" t="s">
        <v>38</v>
      </c>
      <c r="E480" s="65"/>
      <c r="F480" s="13">
        <v>5700.0</v>
      </c>
      <c r="G480" s="36">
        <v>5900.0</v>
      </c>
      <c r="H480" s="15">
        <f t="shared" si="37"/>
        <v>0.0350877193</v>
      </c>
      <c r="K480" s="16"/>
    </row>
    <row r="481" ht="14.25" customHeight="1">
      <c r="A481" s="8"/>
      <c r="B481" s="38">
        <v>9340.0</v>
      </c>
      <c r="E481" s="39"/>
      <c r="F481" s="40">
        <f t="shared" ref="F481:G481" si="46">SUM(F471:F480)</f>
        <v>108340.01</v>
      </c>
      <c r="G481" s="40">
        <f t="shared" si="46"/>
        <v>112800</v>
      </c>
      <c r="H481" s="15">
        <f t="shared" si="37"/>
        <v>0.04116660133</v>
      </c>
      <c r="K481" s="16"/>
    </row>
    <row r="482" ht="14.25" customHeight="1">
      <c r="A482" s="8"/>
      <c r="B482" s="74"/>
      <c r="C482" s="74"/>
      <c r="D482" s="87"/>
      <c r="E482" s="74"/>
      <c r="F482" s="88"/>
      <c r="G482" s="89"/>
      <c r="H482" s="90"/>
      <c r="K482" s="16"/>
    </row>
    <row r="483" ht="14.25" customHeight="1">
      <c r="A483" s="8"/>
      <c r="B483" s="9"/>
      <c r="C483" s="3"/>
      <c r="D483" s="38" t="s">
        <v>156</v>
      </c>
      <c r="E483" s="91"/>
      <c r="F483" s="92">
        <f>F481+F468+F455+F438+F424+F412+F396+F385+F372+F362+F346+F335+F318+F307+F297+F282+F269+F262+F247+F234+F227+F220+F204+F199+F181+F164+F155+F144+F131+G491+F103+F85+F68+F48+F38+F27+F16+F68+F62</f>
        <v>13466889.01</v>
      </c>
      <c r="G483" s="92">
        <f>SUM(G16,G27,G38,G48,G62,G68,G85,G103,G113,G131,G144,G155,G164,G181,G199,G204,G220,G227,G234,G247,G262,G269,G282,G297,G307,G318,G335,G346,G362,G372,G385,G396,G412,G424,G438,G455,G468,G481)</f>
        <v>14908290.5</v>
      </c>
      <c r="H483" s="15">
        <f>IFERROR(((G483-F483)/F483), "")</f>
        <v>0.1070329969</v>
      </c>
      <c r="I483" s="10">
        <f>G483-F483</f>
        <v>1441401.49</v>
      </c>
      <c r="J483" s="14" t="str">
        <f>I483-#REF!-L28-J385</f>
        <v>#REF!</v>
      </c>
      <c r="K483" s="16"/>
    </row>
    <row r="484" ht="14.25" customHeight="1">
      <c r="A484" s="8"/>
      <c r="B484" s="9"/>
      <c r="C484" s="3"/>
      <c r="D484" s="38"/>
      <c r="E484" s="91"/>
      <c r="F484" s="49"/>
      <c r="G484" s="49"/>
      <c r="H484" s="15"/>
      <c r="K484" s="16"/>
    </row>
    <row r="485" ht="14.25" customHeight="1">
      <c r="A485" s="8"/>
      <c r="B485" s="9"/>
      <c r="C485" s="3"/>
      <c r="D485" s="38"/>
      <c r="E485" s="91"/>
      <c r="F485" s="49"/>
      <c r="G485" s="49"/>
      <c r="H485" s="15"/>
      <c r="K485" s="16"/>
    </row>
    <row r="486" ht="14.25" customHeight="1">
      <c r="A486" s="8"/>
      <c r="B486" s="9"/>
      <c r="C486" s="3"/>
      <c r="D486" s="38"/>
      <c r="E486" s="91"/>
      <c r="F486" s="49"/>
      <c r="G486" s="49"/>
      <c r="H486" s="15"/>
      <c r="K486" s="16"/>
    </row>
    <row r="487" ht="14.25" customHeight="1">
      <c r="A487" s="8"/>
      <c r="B487" s="18" t="s">
        <v>16</v>
      </c>
      <c r="C487" s="19"/>
      <c r="D487" s="20" t="s">
        <v>157</v>
      </c>
      <c r="E487" s="21"/>
      <c r="F487" s="93"/>
      <c r="G487" s="93"/>
      <c r="H487" s="15" t="str">
        <f>IFERROR(((G487-F487)/F487), "")</f>
        <v/>
      </c>
    </row>
    <row r="488" ht="14.25" customHeight="1">
      <c r="A488" s="8"/>
      <c r="B488" s="23" t="s">
        <v>18</v>
      </c>
      <c r="C488" s="24" t="s">
        <v>19</v>
      </c>
      <c r="D488" s="25"/>
      <c r="E488" s="21"/>
      <c r="F488" s="26">
        <v>2023.0</v>
      </c>
      <c r="G488" s="94">
        <v>2024.0</v>
      </c>
      <c r="H488" s="15"/>
    </row>
    <row r="489" ht="14.25" customHeight="1">
      <c r="A489" s="8"/>
      <c r="B489" s="51">
        <v>1320.0</v>
      </c>
      <c r="C489" s="52"/>
      <c r="D489" s="53" t="s">
        <v>46</v>
      </c>
      <c r="E489" s="95"/>
      <c r="F489" s="53">
        <v>2023.0</v>
      </c>
      <c r="G489" s="55">
        <v>2024.0</v>
      </c>
      <c r="H489" s="15"/>
    </row>
    <row r="490" ht="14.25" customHeight="1">
      <c r="A490" s="8"/>
      <c r="B490" s="9"/>
      <c r="C490" s="3">
        <v>203.0</v>
      </c>
      <c r="D490" s="58" t="s">
        <v>158</v>
      </c>
      <c r="E490" s="37"/>
      <c r="F490" s="13">
        <v>500.0</v>
      </c>
      <c r="G490" s="13">
        <v>500.0</v>
      </c>
      <c r="H490" s="15">
        <f t="shared" ref="H490:H521" si="47">IFERROR(((G490-F490)/F490), "")</f>
        <v>0</v>
      </c>
    </row>
    <row r="491" ht="14.25" customHeight="1">
      <c r="A491" s="8"/>
      <c r="B491" s="9"/>
      <c r="C491" s="3">
        <v>212.0</v>
      </c>
      <c r="D491" s="58" t="s">
        <v>159</v>
      </c>
      <c r="E491" s="65"/>
      <c r="F491" s="13">
        <f>9200+13000</f>
        <v>22200</v>
      </c>
      <c r="G491" s="36">
        <v>46000.0</v>
      </c>
      <c r="H491" s="15">
        <f t="shared" si="47"/>
        <v>1.072072072</v>
      </c>
    </row>
    <row r="492" ht="14.25" customHeight="1">
      <c r="A492" s="8"/>
      <c r="B492" s="9"/>
      <c r="C492" s="3">
        <v>213.0</v>
      </c>
      <c r="D492" s="58" t="s">
        <v>160</v>
      </c>
      <c r="E492" s="65"/>
      <c r="F492" s="13">
        <v>5000.0</v>
      </c>
      <c r="G492" s="36">
        <v>6000.0</v>
      </c>
      <c r="H492" s="15">
        <f t="shared" si="47"/>
        <v>0.2</v>
      </c>
    </row>
    <row r="493" ht="14.25" customHeight="1">
      <c r="A493" s="8"/>
      <c r="B493" s="9"/>
      <c r="C493" s="3">
        <v>214.0</v>
      </c>
      <c r="D493" s="58" t="s">
        <v>161</v>
      </c>
      <c r="E493" s="65"/>
      <c r="F493" s="13">
        <v>5000.0</v>
      </c>
      <c r="G493" s="36">
        <v>6000.0</v>
      </c>
      <c r="H493" s="15">
        <f t="shared" si="47"/>
        <v>0.2</v>
      </c>
    </row>
    <row r="494" ht="14.25" customHeight="1">
      <c r="A494" s="8"/>
      <c r="B494" s="9"/>
      <c r="C494" s="3">
        <v>215.0</v>
      </c>
      <c r="D494" s="58" t="s">
        <v>162</v>
      </c>
      <c r="E494" s="65"/>
      <c r="F494" s="13">
        <v>400.0</v>
      </c>
      <c r="G494" s="36">
        <v>500.0</v>
      </c>
      <c r="H494" s="15">
        <f t="shared" si="47"/>
        <v>0.25</v>
      </c>
    </row>
    <row r="495" ht="14.25" customHeight="1">
      <c r="A495" s="8"/>
      <c r="B495" s="9"/>
      <c r="C495" s="3">
        <v>216.0</v>
      </c>
      <c r="D495" s="58" t="s">
        <v>163</v>
      </c>
      <c r="E495" s="65"/>
      <c r="F495" s="13">
        <v>7100.0</v>
      </c>
      <c r="G495" s="36">
        <v>8500.0</v>
      </c>
      <c r="H495" s="15">
        <f t="shared" si="47"/>
        <v>0.1971830986</v>
      </c>
    </row>
    <row r="496" ht="14.25" customHeight="1">
      <c r="A496" s="8"/>
      <c r="B496" s="9"/>
      <c r="C496" s="3" t="s">
        <v>164</v>
      </c>
      <c r="D496" s="46" t="s">
        <v>165</v>
      </c>
      <c r="E496" s="37"/>
      <c r="F496" s="13">
        <v>10000.0</v>
      </c>
      <c r="G496" s="13">
        <v>10000.0</v>
      </c>
      <c r="H496" s="15">
        <f t="shared" si="47"/>
        <v>0</v>
      </c>
    </row>
    <row r="497" ht="14.25" customHeight="1">
      <c r="A497" s="8"/>
      <c r="B497" s="9"/>
      <c r="C497" s="3" t="s">
        <v>166</v>
      </c>
      <c r="D497" s="58" t="s">
        <v>167</v>
      </c>
      <c r="E497" s="65"/>
      <c r="F497" s="13">
        <v>5100.0</v>
      </c>
      <c r="G497" s="36">
        <v>10000.0</v>
      </c>
      <c r="H497" s="15">
        <f t="shared" si="47"/>
        <v>0.9607843137</v>
      </c>
    </row>
    <row r="498" ht="14.25" customHeight="1">
      <c r="A498" s="8"/>
      <c r="B498" s="9"/>
      <c r="C498" s="3" t="s">
        <v>4</v>
      </c>
      <c r="D498" s="46" t="s">
        <v>168</v>
      </c>
      <c r="E498" s="37"/>
      <c r="F498" s="13">
        <v>20000.0</v>
      </c>
      <c r="G498" s="36">
        <v>0.0</v>
      </c>
      <c r="H498" s="15">
        <f t="shared" si="47"/>
        <v>-1</v>
      </c>
    </row>
    <row r="499" ht="14.25" customHeight="1">
      <c r="A499" s="8"/>
      <c r="B499" s="9"/>
      <c r="C499" s="3" t="s">
        <v>169</v>
      </c>
      <c r="D499" s="46" t="s">
        <v>170</v>
      </c>
      <c r="E499" s="37"/>
      <c r="F499" s="13">
        <v>5200.0</v>
      </c>
      <c r="G499" s="13">
        <v>5200.0</v>
      </c>
      <c r="H499" s="15">
        <f t="shared" si="47"/>
        <v>0</v>
      </c>
    </row>
    <row r="500" ht="14.25" customHeight="1">
      <c r="A500" s="8"/>
      <c r="B500" s="9"/>
      <c r="C500" s="3" t="s">
        <v>171</v>
      </c>
      <c r="D500" s="46" t="s">
        <v>172</v>
      </c>
      <c r="E500" s="37"/>
      <c r="F500" s="13">
        <v>8500.0</v>
      </c>
      <c r="G500" s="36">
        <v>20000.0</v>
      </c>
      <c r="H500" s="15">
        <f t="shared" si="47"/>
        <v>1.352941176</v>
      </c>
    </row>
    <row r="501" ht="14.25" customHeight="1">
      <c r="A501" s="8"/>
      <c r="B501" s="9"/>
      <c r="C501" s="3" t="s">
        <v>173</v>
      </c>
      <c r="D501" s="46" t="s">
        <v>174</v>
      </c>
      <c r="E501" s="37"/>
      <c r="F501" s="13">
        <v>8500.0</v>
      </c>
      <c r="G501" s="13">
        <v>8500.0</v>
      </c>
      <c r="H501" s="15">
        <f t="shared" si="47"/>
        <v>0</v>
      </c>
    </row>
    <row r="502" ht="14.25" customHeight="1">
      <c r="A502" s="8"/>
      <c r="B502" s="9"/>
      <c r="C502" s="3" t="s">
        <v>175</v>
      </c>
      <c r="D502" s="46" t="s">
        <v>176</v>
      </c>
      <c r="E502" s="37"/>
      <c r="F502" s="13">
        <v>3500.0</v>
      </c>
      <c r="G502" s="13">
        <v>3500.0</v>
      </c>
      <c r="H502" s="15">
        <f t="shared" si="47"/>
        <v>0</v>
      </c>
    </row>
    <row r="503" ht="14.25" customHeight="1">
      <c r="A503" s="8"/>
      <c r="B503" s="9"/>
      <c r="C503" s="3" t="s">
        <v>177</v>
      </c>
      <c r="D503" s="46" t="s">
        <v>178</v>
      </c>
      <c r="E503" s="8"/>
      <c r="F503" s="13">
        <v>37500.0</v>
      </c>
      <c r="G503" s="36">
        <v>0.0</v>
      </c>
      <c r="H503" s="15">
        <f t="shared" si="47"/>
        <v>-1</v>
      </c>
    </row>
    <row r="504" ht="14.25" customHeight="1">
      <c r="A504" s="8"/>
      <c r="B504" s="9"/>
      <c r="C504" s="3">
        <v>224.0</v>
      </c>
      <c r="D504" s="46" t="s">
        <v>179</v>
      </c>
      <c r="E504" s="37"/>
      <c r="F504" s="13">
        <v>2600.0</v>
      </c>
      <c r="G504" s="13">
        <v>2600.0</v>
      </c>
      <c r="H504" s="15">
        <f t="shared" si="47"/>
        <v>0</v>
      </c>
    </row>
    <row r="505" ht="14.25" customHeight="1">
      <c r="A505" s="8"/>
      <c r="B505" s="9"/>
      <c r="C505" s="3" t="s">
        <v>180</v>
      </c>
      <c r="D505" s="46" t="s">
        <v>181</v>
      </c>
      <c r="E505" s="8"/>
      <c r="F505" s="13">
        <v>100.0</v>
      </c>
      <c r="G505" s="13">
        <v>100.0</v>
      </c>
      <c r="H505" s="15">
        <f t="shared" si="47"/>
        <v>0</v>
      </c>
    </row>
    <row r="506" ht="14.25" customHeight="1">
      <c r="A506" s="8"/>
      <c r="B506" s="9"/>
      <c r="C506" s="3" t="s">
        <v>182</v>
      </c>
      <c r="D506" s="58" t="s">
        <v>183</v>
      </c>
      <c r="E506" s="65"/>
      <c r="F506" s="13">
        <v>100.0</v>
      </c>
      <c r="G506" s="36">
        <v>10000.0</v>
      </c>
      <c r="H506" s="15">
        <f t="shared" si="47"/>
        <v>99</v>
      </c>
    </row>
    <row r="507" ht="14.25" customHeight="1">
      <c r="A507" s="8"/>
      <c r="B507" s="9"/>
      <c r="C507" s="3" t="s">
        <v>184</v>
      </c>
      <c r="D507" s="58" t="s">
        <v>185</v>
      </c>
      <c r="E507" s="65"/>
      <c r="F507" s="13">
        <v>100.0</v>
      </c>
      <c r="G507" s="13">
        <v>100.0</v>
      </c>
      <c r="H507" s="15">
        <f t="shared" si="47"/>
        <v>0</v>
      </c>
    </row>
    <row r="508" ht="14.25" customHeight="1">
      <c r="A508" s="8"/>
      <c r="B508" s="9"/>
      <c r="C508" s="3" t="s">
        <v>186</v>
      </c>
      <c r="D508" s="58" t="s">
        <v>187</v>
      </c>
      <c r="E508" s="65"/>
      <c r="F508" s="13">
        <v>100.0</v>
      </c>
      <c r="G508" s="13">
        <v>100.0</v>
      </c>
      <c r="H508" s="15">
        <f t="shared" si="47"/>
        <v>0</v>
      </c>
    </row>
    <row r="509" ht="14.25" customHeight="1">
      <c r="A509" s="8"/>
      <c r="B509" s="9"/>
      <c r="C509" s="3" t="s">
        <v>188</v>
      </c>
      <c r="D509" s="58" t="s">
        <v>189</v>
      </c>
      <c r="E509" s="65"/>
      <c r="F509" s="13">
        <v>4500.0</v>
      </c>
      <c r="G509" s="13">
        <v>4500.0</v>
      </c>
      <c r="H509" s="15">
        <f t="shared" si="47"/>
        <v>0</v>
      </c>
    </row>
    <row r="510" ht="14.25" customHeight="1">
      <c r="A510" s="8"/>
      <c r="B510" s="9"/>
      <c r="C510" s="3" t="s">
        <v>190</v>
      </c>
      <c r="D510" s="58" t="s">
        <v>191</v>
      </c>
      <c r="E510" s="65"/>
      <c r="F510" s="13">
        <v>500.0</v>
      </c>
      <c r="G510" s="36">
        <v>22000.0</v>
      </c>
      <c r="H510" s="15">
        <f t="shared" si="47"/>
        <v>43</v>
      </c>
    </row>
    <row r="511" ht="14.25" customHeight="1">
      <c r="A511" s="8"/>
      <c r="B511" s="9"/>
      <c r="C511" s="3" t="s">
        <v>192</v>
      </c>
      <c r="D511" s="58" t="s">
        <v>193</v>
      </c>
      <c r="E511" s="65"/>
      <c r="F511" s="13">
        <v>9000.0</v>
      </c>
      <c r="G511" s="13">
        <v>9000.0</v>
      </c>
      <c r="H511" s="15">
        <f t="shared" si="47"/>
        <v>0</v>
      </c>
    </row>
    <row r="512" ht="14.25" customHeight="1">
      <c r="A512" s="8"/>
      <c r="B512" s="38">
        <v>1320.0</v>
      </c>
      <c r="E512" s="39"/>
      <c r="F512" s="40">
        <f t="shared" ref="F512:G512" si="48">SUM(F490:F511)</f>
        <v>155500</v>
      </c>
      <c r="G512" s="40">
        <f t="shared" si="48"/>
        <v>173100</v>
      </c>
      <c r="H512" s="15">
        <f t="shared" si="47"/>
        <v>0.1131832797</v>
      </c>
    </row>
    <row r="513" ht="14.25" customHeight="1">
      <c r="A513" s="8"/>
      <c r="B513" s="38"/>
      <c r="C513" s="12"/>
      <c r="D513" s="12"/>
      <c r="E513" s="70"/>
      <c r="F513" s="49"/>
      <c r="G513" s="49"/>
      <c r="H513" s="15" t="str">
        <f t="shared" si="47"/>
        <v/>
      </c>
    </row>
    <row r="514" ht="14.25" customHeight="1">
      <c r="A514" s="8"/>
      <c r="B514" s="51">
        <v>1330.0</v>
      </c>
      <c r="C514" s="52"/>
      <c r="D514" s="53" t="s">
        <v>194</v>
      </c>
      <c r="E514" s="54"/>
      <c r="F514" s="53">
        <v>2023.0</v>
      </c>
      <c r="G514" s="55">
        <v>2024.0</v>
      </c>
      <c r="H514" s="15">
        <f t="shared" si="47"/>
        <v>0.0004943153732</v>
      </c>
    </row>
    <row r="515" ht="14.25" customHeight="1">
      <c r="A515" s="8"/>
      <c r="B515" s="9"/>
      <c r="C515" s="3">
        <v>213.0</v>
      </c>
      <c r="D515" s="58" t="s">
        <v>160</v>
      </c>
      <c r="E515" s="35"/>
      <c r="F515" s="13">
        <v>34000.0</v>
      </c>
      <c r="G515" s="36">
        <v>0.0</v>
      </c>
      <c r="H515" s="15">
        <f t="shared" si="47"/>
        <v>-1</v>
      </c>
    </row>
    <row r="516" ht="14.25" customHeight="1">
      <c r="A516" s="8"/>
      <c r="B516" s="9"/>
      <c r="C516" s="3" t="s">
        <v>166</v>
      </c>
      <c r="D516" s="58" t="s">
        <v>167</v>
      </c>
      <c r="E516" s="35"/>
      <c r="F516" s="13">
        <v>3300.0</v>
      </c>
      <c r="G516" s="13">
        <v>3300.0</v>
      </c>
      <c r="H516" s="15">
        <f t="shared" si="47"/>
        <v>0</v>
      </c>
    </row>
    <row r="517" ht="14.25" customHeight="1">
      <c r="A517" s="8"/>
      <c r="B517" s="9"/>
      <c r="C517" s="3" t="s">
        <v>177</v>
      </c>
      <c r="D517" s="46" t="s">
        <v>178</v>
      </c>
      <c r="E517" s="8"/>
      <c r="F517" s="36">
        <v>0.0</v>
      </c>
      <c r="G517" s="36">
        <v>40000.0</v>
      </c>
      <c r="H517" s="15" t="str">
        <f t="shared" si="47"/>
        <v/>
      </c>
    </row>
    <row r="518" ht="14.25" customHeight="1">
      <c r="A518" s="8"/>
      <c r="B518" s="9"/>
      <c r="C518" s="3" t="s">
        <v>190</v>
      </c>
      <c r="D518" s="46" t="s">
        <v>195</v>
      </c>
      <c r="E518" s="37"/>
      <c r="F518" s="13">
        <f>465000+195000</f>
        <v>660000</v>
      </c>
      <c r="G518" s="36">
        <v>684000.0</v>
      </c>
      <c r="H518" s="15">
        <f t="shared" si="47"/>
        <v>0.03636363636</v>
      </c>
      <c r="I518" s="5" t="s">
        <v>196</v>
      </c>
    </row>
    <row r="519" ht="14.25" customHeight="1">
      <c r="A519" s="8"/>
      <c r="B519" s="38">
        <v>1330.0</v>
      </c>
      <c r="E519" s="39"/>
      <c r="F519" s="40">
        <f t="shared" ref="F519:G519" si="49">SUM(F515:F518)</f>
        <v>697300</v>
      </c>
      <c r="G519" s="40">
        <f t="shared" si="49"/>
        <v>727300</v>
      </c>
      <c r="H519" s="15">
        <f t="shared" si="47"/>
        <v>0.04302308906</v>
      </c>
    </row>
    <row r="520" ht="14.25" customHeight="1">
      <c r="A520" s="8"/>
      <c r="B520" s="9"/>
      <c r="C520" s="11"/>
      <c r="D520" s="12"/>
      <c r="E520" s="8"/>
      <c r="F520" s="13"/>
      <c r="G520" s="13"/>
      <c r="H520" s="15" t="str">
        <f t="shared" si="47"/>
        <v/>
      </c>
      <c r="K520" s="16"/>
    </row>
    <row r="521" ht="14.25" customHeight="1">
      <c r="A521" s="8"/>
      <c r="B521" s="51">
        <v>1350.0</v>
      </c>
      <c r="C521" s="52"/>
      <c r="D521" s="53" t="s">
        <v>197</v>
      </c>
      <c r="E521" s="54"/>
      <c r="F521" s="53">
        <v>2023.0</v>
      </c>
      <c r="G521" s="55">
        <v>2024.0</v>
      </c>
      <c r="H521" s="15">
        <f t="shared" si="47"/>
        <v>0.0004943153732</v>
      </c>
      <c r="K521" s="16"/>
    </row>
    <row r="522" ht="14.25" customHeight="1">
      <c r="A522" s="8"/>
      <c r="B522" s="9"/>
      <c r="C522" s="96">
        <v>203.0</v>
      </c>
      <c r="D522" s="97" t="s">
        <v>158</v>
      </c>
      <c r="E522" s="37"/>
      <c r="F522" s="36">
        <v>0.0</v>
      </c>
      <c r="G522" s="36">
        <v>24000.0</v>
      </c>
      <c r="H522" s="15"/>
      <c r="K522" s="16"/>
    </row>
    <row r="523" ht="14.25" customHeight="1">
      <c r="A523" s="8"/>
      <c r="B523" s="9"/>
      <c r="C523" s="3">
        <v>212.0</v>
      </c>
      <c r="D523" s="58" t="s">
        <v>159</v>
      </c>
      <c r="E523" s="37"/>
      <c r="F523" s="13">
        <v>2500.0</v>
      </c>
      <c r="G523" s="36">
        <v>6000.0</v>
      </c>
      <c r="H523" s="15">
        <f t="shared" ref="H523:H554" si="50">IFERROR(((G523-F523)/F523), "")</f>
        <v>1.4</v>
      </c>
      <c r="K523" s="16"/>
    </row>
    <row r="524" ht="14.25" customHeight="1">
      <c r="A524" s="8"/>
      <c r="B524" s="9"/>
      <c r="C524" s="3">
        <v>213.0</v>
      </c>
      <c r="D524" s="58" t="s">
        <v>160</v>
      </c>
      <c r="E524" s="37"/>
      <c r="F524" s="13">
        <v>6000.0</v>
      </c>
      <c r="G524" s="36">
        <v>3000.0</v>
      </c>
      <c r="H524" s="15">
        <f t="shared" si="50"/>
        <v>-0.5</v>
      </c>
      <c r="K524" s="16"/>
    </row>
    <row r="525" ht="14.25" customHeight="1">
      <c r="A525" s="8"/>
      <c r="B525" s="9"/>
      <c r="C525" s="3">
        <v>214.0</v>
      </c>
      <c r="D525" s="58" t="s">
        <v>161</v>
      </c>
      <c r="E525" s="65"/>
      <c r="F525" s="13">
        <v>6000.0</v>
      </c>
      <c r="G525" s="36">
        <v>5000.0</v>
      </c>
      <c r="H525" s="15">
        <f t="shared" si="50"/>
        <v>-0.1666666667</v>
      </c>
      <c r="K525" s="16"/>
    </row>
    <row r="526" ht="14.25" customHeight="1">
      <c r="A526" s="8"/>
      <c r="B526" s="9"/>
      <c r="C526" s="3" t="s">
        <v>164</v>
      </c>
      <c r="D526" s="46" t="s">
        <v>165</v>
      </c>
      <c r="E526" s="37"/>
      <c r="F526" s="13">
        <v>1420.0</v>
      </c>
      <c r="G526" s="36">
        <v>1000.0</v>
      </c>
      <c r="H526" s="15">
        <f t="shared" si="50"/>
        <v>-0.2957746479</v>
      </c>
      <c r="K526" s="16"/>
    </row>
    <row r="527" ht="14.25" customHeight="1">
      <c r="A527" s="8"/>
      <c r="B527" s="9"/>
      <c r="C527" s="3" t="s">
        <v>166</v>
      </c>
      <c r="D527" s="58" t="s">
        <v>167</v>
      </c>
      <c r="E527" s="37"/>
      <c r="F527" s="13">
        <v>1500.0</v>
      </c>
      <c r="G527" s="36">
        <v>2000.0</v>
      </c>
      <c r="H527" s="15">
        <f t="shared" si="50"/>
        <v>0.3333333333</v>
      </c>
      <c r="K527" s="16"/>
    </row>
    <row r="528" ht="14.25" customHeight="1">
      <c r="A528" s="8"/>
      <c r="B528" s="9"/>
      <c r="C528" s="3" t="s">
        <v>169</v>
      </c>
      <c r="D528" s="46" t="s">
        <v>170</v>
      </c>
      <c r="E528" s="37"/>
      <c r="F528" s="13">
        <v>4000.0</v>
      </c>
      <c r="G528" s="13">
        <v>4000.0</v>
      </c>
      <c r="H528" s="15">
        <f t="shared" si="50"/>
        <v>0</v>
      </c>
      <c r="K528" s="16"/>
    </row>
    <row r="529" ht="14.25" customHeight="1">
      <c r="A529" s="8"/>
      <c r="B529" s="9"/>
      <c r="C529" s="3" t="s">
        <v>171</v>
      </c>
      <c r="D529" s="58" t="s">
        <v>172</v>
      </c>
      <c r="E529" s="65"/>
      <c r="F529" s="13">
        <v>1000.0</v>
      </c>
      <c r="G529" s="36">
        <v>3000.0</v>
      </c>
      <c r="H529" s="15">
        <f t="shared" si="50"/>
        <v>2</v>
      </c>
      <c r="K529" s="16"/>
    </row>
    <row r="530" ht="14.25" customHeight="1">
      <c r="A530" s="8"/>
      <c r="B530" s="9"/>
      <c r="C530" s="3" t="s">
        <v>173</v>
      </c>
      <c r="D530" s="46" t="s">
        <v>174</v>
      </c>
      <c r="E530" s="37"/>
      <c r="F530" s="13">
        <v>1000.0</v>
      </c>
      <c r="G530" s="36">
        <v>300.0</v>
      </c>
      <c r="H530" s="15">
        <f t="shared" si="50"/>
        <v>-0.7</v>
      </c>
      <c r="K530" s="16"/>
    </row>
    <row r="531" ht="14.25" customHeight="1">
      <c r="A531" s="8"/>
      <c r="B531" s="9"/>
      <c r="C531" s="3" t="s">
        <v>175</v>
      </c>
      <c r="D531" s="46" t="s">
        <v>176</v>
      </c>
      <c r="E531" s="37"/>
      <c r="F531" s="13">
        <v>1000.0</v>
      </c>
      <c r="G531" s="36">
        <v>600.0</v>
      </c>
      <c r="H531" s="15">
        <f t="shared" si="50"/>
        <v>-0.4</v>
      </c>
      <c r="K531" s="16"/>
    </row>
    <row r="532" ht="14.25" customHeight="1">
      <c r="A532" s="8"/>
      <c r="B532" s="9"/>
      <c r="C532" s="3">
        <v>224.0</v>
      </c>
      <c r="D532" s="58" t="s">
        <v>179</v>
      </c>
      <c r="E532" s="65"/>
      <c r="F532" s="13">
        <v>2000.0</v>
      </c>
      <c r="G532" s="36">
        <v>6000.0</v>
      </c>
      <c r="H532" s="15">
        <f t="shared" si="50"/>
        <v>2</v>
      </c>
      <c r="K532" s="16"/>
    </row>
    <row r="533" ht="14.25" customHeight="1">
      <c r="A533" s="8"/>
      <c r="B533" s="9"/>
      <c r="C533" s="3" t="s">
        <v>182</v>
      </c>
      <c r="D533" s="58" t="s">
        <v>183</v>
      </c>
      <c r="E533" s="65"/>
      <c r="F533" s="13">
        <v>500.0</v>
      </c>
      <c r="G533" s="13">
        <v>500.0</v>
      </c>
      <c r="H533" s="15">
        <f t="shared" si="50"/>
        <v>0</v>
      </c>
      <c r="K533" s="16"/>
    </row>
    <row r="534" ht="14.25" customHeight="1">
      <c r="A534" s="8"/>
      <c r="B534" s="9"/>
      <c r="C534" s="3" t="s">
        <v>184</v>
      </c>
      <c r="D534" s="58" t="s">
        <v>185</v>
      </c>
      <c r="E534" s="65"/>
      <c r="F534" s="13">
        <v>100.0</v>
      </c>
      <c r="G534" s="13">
        <v>100.0</v>
      </c>
      <c r="H534" s="15">
        <f t="shared" si="50"/>
        <v>0</v>
      </c>
      <c r="K534" s="16"/>
    </row>
    <row r="535" ht="14.25" customHeight="1">
      <c r="A535" s="8"/>
      <c r="B535" s="9"/>
      <c r="C535" s="3" t="s">
        <v>188</v>
      </c>
      <c r="D535" s="58" t="s">
        <v>189</v>
      </c>
      <c r="E535" s="65"/>
      <c r="F535" s="13">
        <v>5700.0</v>
      </c>
      <c r="G535" s="13">
        <v>5700.0</v>
      </c>
      <c r="H535" s="15">
        <f t="shared" si="50"/>
        <v>0</v>
      </c>
      <c r="K535" s="16"/>
    </row>
    <row r="536" ht="14.25" customHeight="1">
      <c r="A536" s="8"/>
      <c r="B536" s="9"/>
      <c r="C536" s="3" t="s">
        <v>192</v>
      </c>
      <c r="D536" s="58" t="s">
        <v>193</v>
      </c>
      <c r="E536" s="65"/>
      <c r="F536" s="13">
        <v>100.0</v>
      </c>
      <c r="G536" s="13">
        <v>100.0</v>
      </c>
      <c r="H536" s="15">
        <f t="shared" si="50"/>
        <v>0</v>
      </c>
      <c r="K536" s="16"/>
    </row>
    <row r="537" ht="14.25" customHeight="1">
      <c r="A537" s="8"/>
      <c r="B537" s="38">
        <v>1350.0</v>
      </c>
      <c r="E537" s="39"/>
      <c r="F537" s="40">
        <f>SUM(F523:F536)</f>
        <v>32820</v>
      </c>
      <c r="G537" s="40">
        <f>SUM(G522:G536)</f>
        <v>61300</v>
      </c>
      <c r="H537" s="15">
        <f t="shared" si="50"/>
        <v>0.8677635588</v>
      </c>
      <c r="K537" s="16"/>
    </row>
    <row r="538" ht="14.25" customHeight="1">
      <c r="A538" s="8"/>
      <c r="B538" s="9"/>
      <c r="C538" s="11"/>
      <c r="D538" s="12"/>
      <c r="E538" s="8"/>
      <c r="F538" s="13"/>
      <c r="G538" s="13"/>
      <c r="H538" s="15" t="str">
        <f t="shared" si="50"/>
        <v/>
      </c>
      <c r="K538" s="16"/>
    </row>
    <row r="539" ht="14.25" customHeight="1">
      <c r="A539" s="8"/>
      <c r="B539" s="51">
        <v>1360.0</v>
      </c>
      <c r="C539" s="52"/>
      <c r="D539" s="53" t="s">
        <v>62</v>
      </c>
      <c r="E539" s="54"/>
      <c r="F539" s="53">
        <v>2023.0</v>
      </c>
      <c r="G539" s="55">
        <v>2024.0</v>
      </c>
      <c r="H539" s="15">
        <f t="shared" si="50"/>
        <v>0.0004943153732</v>
      </c>
      <c r="K539" s="16"/>
    </row>
    <row r="540" ht="14.25" customHeight="1">
      <c r="A540" s="8"/>
      <c r="B540" s="9"/>
      <c r="C540" s="3">
        <v>203.0</v>
      </c>
      <c r="D540" s="58" t="s">
        <v>158</v>
      </c>
      <c r="E540" s="37"/>
      <c r="F540" s="13">
        <v>300.0</v>
      </c>
      <c r="G540" s="13">
        <v>300.0</v>
      </c>
      <c r="H540" s="15">
        <f t="shared" si="50"/>
        <v>0</v>
      </c>
      <c r="K540" s="16"/>
    </row>
    <row r="541" ht="14.25" customHeight="1">
      <c r="A541" s="8"/>
      <c r="B541" s="9"/>
      <c r="C541" s="3">
        <v>212.0</v>
      </c>
      <c r="D541" s="58" t="s">
        <v>159</v>
      </c>
      <c r="E541" s="65"/>
      <c r="F541" s="13">
        <v>63000.0</v>
      </c>
      <c r="G541" s="36">
        <v>72000.0</v>
      </c>
      <c r="H541" s="15">
        <f t="shared" si="50"/>
        <v>0.1428571429</v>
      </c>
      <c r="K541" s="16"/>
    </row>
    <row r="542" ht="14.25" customHeight="1">
      <c r="A542" s="8"/>
      <c r="B542" s="9"/>
      <c r="C542" s="3">
        <v>213.0</v>
      </c>
      <c r="D542" s="58" t="s">
        <v>160</v>
      </c>
      <c r="E542" s="65"/>
      <c r="F542" s="13">
        <v>8500.0</v>
      </c>
      <c r="G542" s="36">
        <v>40000.0</v>
      </c>
      <c r="H542" s="15">
        <f t="shared" si="50"/>
        <v>3.705882353</v>
      </c>
      <c r="K542" s="16"/>
    </row>
    <row r="543" ht="14.25" customHeight="1">
      <c r="A543" s="8"/>
      <c r="B543" s="9"/>
      <c r="C543" s="3">
        <v>214.0</v>
      </c>
      <c r="D543" s="58" t="s">
        <v>161</v>
      </c>
      <c r="E543" s="65"/>
      <c r="F543" s="13">
        <v>30000.0</v>
      </c>
      <c r="G543" s="36">
        <v>20000.0</v>
      </c>
      <c r="H543" s="15">
        <f t="shared" si="50"/>
        <v>-0.3333333333</v>
      </c>
      <c r="K543" s="16"/>
    </row>
    <row r="544" ht="14.25" customHeight="1">
      <c r="A544" s="8"/>
      <c r="B544" s="9"/>
      <c r="C544" s="3" t="s">
        <v>164</v>
      </c>
      <c r="D544" s="58" t="s">
        <v>165</v>
      </c>
      <c r="E544" s="65"/>
      <c r="F544" s="13">
        <v>1500.0</v>
      </c>
      <c r="G544" s="13">
        <v>1500.0</v>
      </c>
      <c r="H544" s="15">
        <f t="shared" si="50"/>
        <v>0</v>
      </c>
      <c r="K544" s="16"/>
    </row>
    <row r="545" ht="14.25" customHeight="1">
      <c r="A545" s="8"/>
      <c r="B545" s="9"/>
      <c r="C545" s="3" t="s">
        <v>166</v>
      </c>
      <c r="D545" s="98" t="s">
        <v>198</v>
      </c>
      <c r="E545" s="65"/>
      <c r="F545" s="13">
        <v>8500.0</v>
      </c>
      <c r="G545" s="36">
        <v>14000.0</v>
      </c>
      <c r="H545" s="15">
        <f t="shared" si="50"/>
        <v>0.6470588235</v>
      </c>
      <c r="K545" s="16"/>
    </row>
    <row r="546" ht="14.25" customHeight="1">
      <c r="A546" s="8"/>
      <c r="B546" s="9"/>
      <c r="C546" s="3" t="s">
        <v>4</v>
      </c>
      <c r="D546" s="58" t="s">
        <v>168</v>
      </c>
      <c r="E546" s="65"/>
      <c r="F546" s="13">
        <v>11000.0</v>
      </c>
      <c r="G546" s="36">
        <v>12000.0</v>
      </c>
      <c r="H546" s="15">
        <f t="shared" si="50"/>
        <v>0.09090909091</v>
      </c>
      <c r="K546" s="16"/>
    </row>
    <row r="547" ht="14.25" customHeight="1">
      <c r="A547" s="8"/>
      <c r="B547" s="9"/>
      <c r="C547" s="3" t="s">
        <v>169</v>
      </c>
      <c r="D547" s="46" t="s">
        <v>170</v>
      </c>
      <c r="E547" s="37"/>
      <c r="F547" s="13">
        <v>11200.0</v>
      </c>
      <c r="G547" s="36">
        <v>12000.0</v>
      </c>
      <c r="H547" s="15">
        <f t="shared" si="50"/>
        <v>0.07142857143</v>
      </c>
      <c r="K547" s="16"/>
    </row>
    <row r="548" ht="14.25" customHeight="1">
      <c r="A548" s="8"/>
      <c r="B548" s="9"/>
      <c r="C548" s="3" t="s">
        <v>171</v>
      </c>
      <c r="D548" s="58" t="s">
        <v>172</v>
      </c>
      <c r="E548" s="65"/>
      <c r="F548" s="13">
        <v>7500.0</v>
      </c>
      <c r="G548" s="36">
        <v>22500.0</v>
      </c>
      <c r="H548" s="15">
        <f t="shared" si="50"/>
        <v>2</v>
      </c>
      <c r="K548" s="16"/>
    </row>
    <row r="549" ht="14.25" customHeight="1">
      <c r="A549" s="8"/>
      <c r="B549" s="9"/>
      <c r="C549" s="3" t="s">
        <v>173</v>
      </c>
      <c r="D549" s="58" t="s">
        <v>174</v>
      </c>
      <c r="E549" s="65"/>
      <c r="F549" s="13">
        <v>5900.0</v>
      </c>
      <c r="G549" s="36">
        <v>5000.0</v>
      </c>
      <c r="H549" s="15">
        <f t="shared" si="50"/>
        <v>-0.1525423729</v>
      </c>
      <c r="K549" s="16"/>
    </row>
    <row r="550" ht="14.25" customHeight="1">
      <c r="A550" s="8"/>
      <c r="B550" s="9"/>
      <c r="C550" s="3" t="s">
        <v>175</v>
      </c>
      <c r="D550" s="58" t="s">
        <v>176</v>
      </c>
      <c r="E550" s="65"/>
      <c r="F550" s="13">
        <v>2500.0</v>
      </c>
      <c r="G550" s="36">
        <v>2000.0</v>
      </c>
      <c r="H550" s="15">
        <f t="shared" si="50"/>
        <v>-0.2</v>
      </c>
      <c r="K550" s="16"/>
    </row>
    <row r="551" ht="14.25" customHeight="1">
      <c r="A551" s="8"/>
      <c r="B551" s="9"/>
      <c r="C551" s="3">
        <v>224.0</v>
      </c>
      <c r="D551" s="58" t="s">
        <v>179</v>
      </c>
      <c r="E551" s="65"/>
      <c r="F551" s="13">
        <v>13500.0</v>
      </c>
      <c r="G551" s="36">
        <v>15000.0</v>
      </c>
      <c r="H551" s="15">
        <f t="shared" si="50"/>
        <v>0.1111111111</v>
      </c>
      <c r="K551" s="16"/>
    </row>
    <row r="552" ht="14.25" customHeight="1">
      <c r="A552" s="8"/>
      <c r="B552" s="9"/>
      <c r="C552" s="3" t="s">
        <v>180</v>
      </c>
      <c r="D552" s="46" t="s">
        <v>181</v>
      </c>
      <c r="E552" s="65"/>
      <c r="F552" s="13">
        <v>100.0</v>
      </c>
      <c r="G552" s="13">
        <v>100.0</v>
      </c>
      <c r="H552" s="15">
        <f t="shared" si="50"/>
        <v>0</v>
      </c>
      <c r="K552" s="16"/>
    </row>
    <row r="553" ht="14.25" customHeight="1">
      <c r="A553" s="8"/>
      <c r="B553" s="9"/>
      <c r="C553" s="3" t="s">
        <v>182</v>
      </c>
      <c r="D553" s="58" t="s">
        <v>183</v>
      </c>
      <c r="E553" s="65"/>
      <c r="F553" s="13">
        <v>800.0</v>
      </c>
      <c r="G553" s="36">
        <v>1000.0</v>
      </c>
      <c r="H553" s="15">
        <f t="shared" si="50"/>
        <v>0.25</v>
      </c>
      <c r="K553" s="16"/>
    </row>
    <row r="554" ht="14.25" customHeight="1">
      <c r="A554" s="8"/>
      <c r="B554" s="9"/>
      <c r="C554" s="3" t="s">
        <v>188</v>
      </c>
      <c r="D554" s="58" t="s">
        <v>189</v>
      </c>
      <c r="E554" s="65"/>
      <c r="F554" s="13">
        <v>7700.0</v>
      </c>
      <c r="G554" s="36">
        <v>10000.0</v>
      </c>
      <c r="H554" s="15">
        <f t="shared" si="50"/>
        <v>0.2987012987</v>
      </c>
      <c r="K554" s="16"/>
    </row>
    <row r="555" ht="14.25" customHeight="1">
      <c r="A555" s="8"/>
      <c r="B555" s="9"/>
      <c r="C555" s="96" t="s">
        <v>190</v>
      </c>
      <c r="D555" s="97" t="s">
        <v>191</v>
      </c>
      <c r="E555" s="65"/>
      <c r="F555" s="36">
        <v>0.0</v>
      </c>
      <c r="G555" s="36">
        <v>1500.0</v>
      </c>
      <c r="H555" s="15"/>
      <c r="K555" s="16"/>
    </row>
    <row r="556" ht="14.25" customHeight="1">
      <c r="A556" s="8"/>
      <c r="B556" s="9"/>
      <c r="C556" s="3" t="s">
        <v>192</v>
      </c>
      <c r="D556" s="58" t="s">
        <v>193</v>
      </c>
      <c r="E556" s="65"/>
      <c r="F556" s="13">
        <v>2200.0</v>
      </c>
      <c r="G556" s="36">
        <v>2500.0</v>
      </c>
      <c r="H556" s="15">
        <f t="shared" ref="H556:H568" si="52">IFERROR(((G556-F556)/F556), "")</f>
        <v>0.1363636364</v>
      </c>
      <c r="K556" s="16"/>
    </row>
    <row r="557" ht="14.25" customHeight="1">
      <c r="A557" s="8"/>
      <c r="B557" s="38">
        <v>1360.0</v>
      </c>
      <c r="E557" s="39"/>
      <c r="F557" s="40">
        <f t="shared" ref="F557:G557" si="51">SUM(F540:F556)</f>
        <v>174200</v>
      </c>
      <c r="G557" s="40">
        <f t="shared" si="51"/>
        <v>231400</v>
      </c>
      <c r="H557" s="15">
        <f t="shared" si="52"/>
        <v>0.328358209</v>
      </c>
      <c r="K557" s="16"/>
    </row>
    <row r="558" ht="14.25" customHeight="1">
      <c r="A558" s="8"/>
      <c r="B558" s="9"/>
      <c r="C558" s="3"/>
      <c r="D558" s="45"/>
      <c r="E558" s="35"/>
      <c r="F558" s="49"/>
      <c r="G558" s="49"/>
      <c r="H558" s="15" t="str">
        <f t="shared" si="52"/>
        <v/>
      </c>
      <c r="K558" s="16"/>
    </row>
    <row r="559" ht="14.25" customHeight="1">
      <c r="A559" s="8"/>
      <c r="B559" s="51">
        <v>1500.0</v>
      </c>
      <c r="C559" s="52"/>
      <c r="D559" s="53" t="s">
        <v>80</v>
      </c>
      <c r="E559" s="54"/>
      <c r="F559" s="53">
        <v>2023.0</v>
      </c>
      <c r="G559" s="55">
        <v>2024.0</v>
      </c>
      <c r="H559" s="15">
        <f t="shared" si="52"/>
        <v>0.0004943153732</v>
      </c>
      <c r="K559" s="16"/>
    </row>
    <row r="560" ht="14.25" customHeight="1">
      <c r="A560" s="8"/>
      <c r="B560" s="9"/>
      <c r="C560" s="3">
        <v>203.0</v>
      </c>
      <c r="D560" s="58" t="s">
        <v>158</v>
      </c>
      <c r="E560" s="37"/>
      <c r="F560" s="13">
        <v>200.0</v>
      </c>
      <c r="G560" s="13">
        <v>200.0</v>
      </c>
      <c r="H560" s="15">
        <f t="shared" si="52"/>
        <v>0</v>
      </c>
      <c r="K560" s="16"/>
    </row>
    <row r="561" ht="14.25" customHeight="1">
      <c r="A561" s="8"/>
      <c r="B561" s="9"/>
      <c r="C561" s="3">
        <v>212.0</v>
      </c>
      <c r="D561" s="58" t="s">
        <v>159</v>
      </c>
      <c r="E561" s="65"/>
      <c r="F561" s="13">
        <v>58000.0</v>
      </c>
      <c r="G561" s="36">
        <v>73000.0</v>
      </c>
      <c r="H561" s="15">
        <f t="shared" si="52"/>
        <v>0.2586206897</v>
      </c>
      <c r="K561" s="16"/>
    </row>
    <row r="562" ht="14.25" customHeight="1">
      <c r="A562" s="8"/>
      <c r="B562" s="9"/>
      <c r="C562" s="3">
        <v>214.0</v>
      </c>
      <c r="D562" s="58" t="s">
        <v>161</v>
      </c>
      <c r="E562" s="65"/>
      <c r="F562" s="13">
        <v>2000.0</v>
      </c>
      <c r="G562" s="13">
        <v>2000.0</v>
      </c>
      <c r="H562" s="15">
        <f t="shared" si="52"/>
        <v>0</v>
      </c>
      <c r="K562" s="16"/>
    </row>
    <row r="563" ht="14.25" customHeight="1">
      <c r="A563" s="8"/>
      <c r="B563" s="9"/>
      <c r="C563" s="3">
        <v>216.0</v>
      </c>
      <c r="D563" s="58" t="s">
        <v>199</v>
      </c>
      <c r="E563" s="65"/>
      <c r="F563" s="13">
        <v>1600.0</v>
      </c>
      <c r="G563" s="13">
        <v>1600.0</v>
      </c>
      <c r="H563" s="15">
        <f t="shared" si="52"/>
        <v>0</v>
      </c>
      <c r="K563" s="16"/>
    </row>
    <row r="564" ht="14.25" customHeight="1">
      <c r="A564" s="8"/>
      <c r="B564" s="9"/>
      <c r="C564" s="3" t="s">
        <v>164</v>
      </c>
      <c r="D564" s="58" t="s">
        <v>165</v>
      </c>
      <c r="E564" s="65"/>
      <c r="F564" s="13">
        <v>10000.0</v>
      </c>
      <c r="G564" s="13">
        <v>10000.0</v>
      </c>
      <c r="H564" s="15">
        <f t="shared" si="52"/>
        <v>0</v>
      </c>
      <c r="K564" s="16"/>
    </row>
    <row r="565" ht="14.25" customHeight="1">
      <c r="A565" s="8"/>
      <c r="B565" s="9"/>
      <c r="C565" s="3" t="s">
        <v>200</v>
      </c>
      <c r="D565" s="58" t="s">
        <v>201</v>
      </c>
      <c r="E565" s="65"/>
      <c r="F565" s="13">
        <v>800.0</v>
      </c>
      <c r="G565" s="13">
        <v>800.0</v>
      </c>
      <c r="H565" s="15">
        <f t="shared" si="52"/>
        <v>0</v>
      </c>
      <c r="K565" s="16"/>
    </row>
    <row r="566" ht="14.25" customHeight="1">
      <c r="A566" s="8"/>
      <c r="B566" s="9"/>
      <c r="C566" s="3" t="s">
        <v>166</v>
      </c>
      <c r="D566" s="58" t="s">
        <v>167</v>
      </c>
      <c r="E566" s="65"/>
      <c r="F566" s="13">
        <v>5100.0</v>
      </c>
      <c r="G566" s="13">
        <v>5100.0</v>
      </c>
      <c r="H566" s="15">
        <f t="shared" si="52"/>
        <v>0</v>
      </c>
      <c r="K566" s="16"/>
    </row>
    <row r="567" ht="14.25" customHeight="1">
      <c r="A567" s="8"/>
      <c r="B567" s="9"/>
      <c r="C567" s="3" t="s">
        <v>4</v>
      </c>
      <c r="D567" s="58" t="s">
        <v>202</v>
      </c>
      <c r="E567" s="65"/>
      <c r="F567" s="13">
        <v>16500.0</v>
      </c>
      <c r="G567" s="13">
        <v>16500.0</v>
      </c>
      <c r="H567" s="15">
        <f t="shared" si="52"/>
        <v>0</v>
      </c>
      <c r="K567" s="16"/>
    </row>
    <row r="568" ht="14.25" customHeight="1">
      <c r="A568" s="8"/>
      <c r="B568" s="9"/>
      <c r="C568" s="3" t="s">
        <v>169</v>
      </c>
      <c r="D568" s="46" t="s">
        <v>170</v>
      </c>
      <c r="E568" s="37"/>
      <c r="F568" s="13">
        <v>2000.0</v>
      </c>
      <c r="G568" s="13">
        <v>2000.0</v>
      </c>
      <c r="H568" s="15">
        <f t="shared" si="52"/>
        <v>0</v>
      </c>
      <c r="K568" s="16"/>
    </row>
    <row r="569" ht="14.25" customHeight="1">
      <c r="A569" s="8"/>
      <c r="B569" s="9"/>
      <c r="C569" s="96" t="s">
        <v>171</v>
      </c>
      <c r="D569" s="97" t="s">
        <v>172</v>
      </c>
      <c r="E569" s="65"/>
      <c r="F569" s="36">
        <v>0.0</v>
      </c>
      <c r="G569" s="36">
        <v>2100.0</v>
      </c>
      <c r="H569" s="15"/>
      <c r="K569" s="16"/>
    </row>
    <row r="570" ht="14.25" customHeight="1">
      <c r="A570" s="8"/>
      <c r="B570" s="9"/>
      <c r="C570" s="3" t="s">
        <v>173</v>
      </c>
      <c r="D570" s="58" t="s">
        <v>174</v>
      </c>
      <c r="E570" s="65"/>
      <c r="F570" s="13">
        <v>2100.0</v>
      </c>
      <c r="G570" s="13">
        <v>2100.0</v>
      </c>
      <c r="H570" s="15">
        <f t="shared" ref="H570:H581" si="53">IFERROR(((G570-F570)/F570), "")</f>
        <v>0</v>
      </c>
      <c r="K570" s="16"/>
    </row>
    <row r="571" ht="14.25" customHeight="1">
      <c r="A571" s="8"/>
      <c r="B571" s="9"/>
      <c r="C571" s="3" t="s">
        <v>175</v>
      </c>
      <c r="D571" s="58" t="s">
        <v>176</v>
      </c>
      <c r="E571" s="65"/>
      <c r="F571" s="13">
        <v>4500.0</v>
      </c>
      <c r="G571" s="13">
        <v>4500.0</v>
      </c>
      <c r="H571" s="15">
        <f t="shared" si="53"/>
        <v>0</v>
      </c>
      <c r="K571" s="16"/>
    </row>
    <row r="572" ht="14.25" customHeight="1">
      <c r="A572" s="8"/>
      <c r="B572" s="9"/>
      <c r="C572" s="3">
        <v>224.0</v>
      </c>
      <c r="D572" s="58" t="s">
        <v>179</v>
      </c>
      <c r="E572" s="65"/>
      <c r="F572" s="13">
        <v>1300.0</v>
      </c>
      <c r="G572" s="13">
        <v>1300.0</v>
      </c>
      <c r="H572" s="15">
        <f t="shared" si="53"/>
        <v>0</v>
      </c>
      <c r="K572" s="16"/>
    </row>
    <row r="573" ht="14.25" customHeight="1">
      <c r="A573" s="8"/>
      <c r="B573" s="9"/>
      <c r="C573" s="3" t="s">
        <v>180</v>
      </c>
      <c r="D573" s="46" t="s">
        <v>181</v>
      </c>
      <c r="E573" s="65"/>
      <c r="F573" s="13">
        <v>200.0</v>
      </c>
      <c r="G573" s="13">
        <v>200.0</v>
      </c>
      <c r="H573" s="15">
        <f t="shared" si="53"/>
        <v>0</v>
      </c>
      <c r="K573" s="16"/>
    </row>
    <row r="574" ht="14.25" customHeight="1">
      <c r="A574" s="8"/>
      <c r="B574" s="38">
        <v>1500.0</v>
      </c>
      <c r="E574" s="8"/>
      <c r="F574" s="40">
        <f t="shared" ref="F574:G574" si="54">SUM(F560:F573)</f>
        <v>104300</v>
      </c>
      <c r="G574" s="40">
        <f t="shared" si="54"/>
        <v>121400</v>
      </c>
      <c r="H574" s="15">
        <f t="shared" si="53"/>
        <v>0.1639501438</v>
      </c>
      <c r="K574" s="16"/>
    </row>
    <row r="575" ht="14.25" customHeight="1">
      <c r="A575" s="8"/>
      <c r="B575" s="9"/>
      <c r="C575" s="11"/>
      <c r="D575" s="12"/>
      <c r="E575" s="8"/>
      <c r="F575" s="13"/>
      <c r="G575" s="13"/>
      <c r="H575" s="15" t="str">
        <f t="shared" si="53"/>
        <v/>
      </c>
      <c r="K575" s="16"/>
    </row>
    <row r="576" ht="14.25" customHeight="1">
      <c r="A576" s="8"/>
      <c r="B576" s="51">
        <v>1510.0</v>
      </c>
      <c r="C576" s="52"/>
      <c r="D576" s="53" t="s">
        <v>82</v>
      </c>
      <c r="E576" s="54"/>
      <c r="F576" s="53">
        <v>2023.0</v>
      </c>
      <c r="G576" s="55">
        <v>2024.0</v>
      </c>
      <c r="H576" s="15">
        <f t="shared" si="53"/>
        <v>0.0004943153732</v>
      </c>
      <c r="K576" s="16"/>
    </row>
    <row r="577" ht="14.25" customHeight="1">
      <c r="A577" s="8"/>
      <c r="B577" s="9"/>
      <c r="C577" s="3" t="s">
        <v>184</v>
      </c>
      <c r="D577" s="58" t="s">
        <v>185</v>
      </c>
      <c r="E577" s="65"/>
      <c r="F577" s="13">
        <v>3000.0</v>
      </c>
      <c r="G577" s="13">
        <v>3000.0</v>
      </c>
      <c r="H577" s="15">
        <f t="shared" si="53"/>
        <v>0</v>
      </c>
      <c r="K577" s="16"/>
    </row>
    <row r="578" ht="14.25" customHeight="1">
      <c r="A578" s="8"/>
      <c r="B578" s="9"/>
      <c r="C578" s="3" t="s">
        <v>186</v>
      </c>
      <c r="D578" s="58" t="s">
        <v>187</v>
      </c>
      <c r="E578" s="65"/>
      <c r="F578" s="13">
        <v>400.0</v>
      </c>
      <c r="G578" s="13">
        <v>400.0</v>
      </c>
      <c r="H578" s="15">
        <f t="shared" si="53"/>
        <v>0</v>
      </c>
      <c r="K578" s="16"/>
    </row>
    <row r="579" ht="14.25" customHeight="1">
      <c r="A579" s="8"/>
      <c r="B579" s="9"/>
      <c r="C579" s="3" t="s">
        <v>188</v>
      </c>
      <c r="D579" s="58" t="s">
        <v>189</v>
      </c>
      <c r="E579" s="65"/>
      <c r="F579" s="13">
        <v>5000.0</v>
      </c>
      <c r="G579" s="13">
        <v>5000.0</v>
      </c>
      <c r="H579" s="15">
        <f t="shared" si="53"/>
        <v>0</v>
      </c>
      <c r="K579" s="16"/>
    </row>
    <row r="580" ht="14.25" customHeight="1">
      <c r="A580" s="8"/>
      <c r="B580" s="9"/>
      <c r="C580" s="3" t="s">
        <v>203</v>
      </c>
      <c r="D580" s="58" t="s">
        <v>204</v>
      </c>
      <c r="E580" s="65"/>
      <c r="F580" s="13">
        <v>100.0</v>
      </c>
      <c r="G580" s="36">
        <v>2200.0</v>
      </c>
      <c r="H580" s="15">
        <f t="shared" si="53"/>
        <v>21</v>
      </c>
      <c r="K580" s="16"/>
    </row>
    <row r="581" ht="14.25" customHeight="1">
      <c r="A581" s="8"/>
      <c r="B581" s="9"/>
      <c r="C581" s="3" t="s">
        <v>192</v>
      </c>
      <c r="D581" s="58" t="s">
        <v>193</v>
      </c>
      <c r="E581" s="65"/>
      <c r="F581" s="13">
        <v>1000.0</v>
      </c>
      <c r="G581" s="36">
        <v>1500.0</v>
      </c>
      <c r="H581" s="15">
        <f t="shared" si="53"/>
        <v>0.5</v>
      </c>
      <c r="K581" s="16"/>
    </row>
    <row r="582" ht="14.25" customHeight="1">
      <c r="A582" s="8"/>
      <c r="B582" s="9"/>
      <c r="C582" s="96">
        <v>231.0</v>
      </c>
      <c r="D582" s="97" t="s">
        <v>205</v>
      </c>
      <c r="E582" s="65"/>
      <c r="F582" s="13"/>
      <c r="G582" s="36">
        <v>1000.0</v>
      </c>
      <c r="H582" s="15"/>
      <c r="K582" s="16"/>
    </row>
    <row r="583" ht="14.25" customHeight="1">
      <c r="A583" s="8"/>
      <c r="B583" s="38">
        <v>1510.0</v>
      </c>
      <c r="E583" s="39"/>
      <c r="F583" s="40">
        <f>SUM(F577:F581)</f>
        <v>9500</v>
      </c>
      <c r="G583" s="40">
        <f>SUM(G577:G582)</f>
        <v>13100</v>
      </c>
      <c r="H583" s="15">
        <f t="shared" ref="H583:H587" si="55">IFERROR(((G583-F583)/F583), "")</f>
        <v>0.3789473684</v>
      </c>
      <c r="K583" s="16"/>
    </row>
    <row r="584" ht="14.25" customHeight="1">
      <c r="A584" s="8"/>
      <c r="B584" s="9"/>
      <c r="C584" s="11"/>
      <c r="D584" s="12"/>
      <c r="E584" s="8"/>
      <c r="F584" s="13"/>
      <c r="G584" s="13"/>
      <c r="H584" s="15" t="str">
        <f t="shared" si="55"/>
        <v/>
      </c>
      <c r="K584" s="16"/>
    </row>
    <row r="585" ht="14.25" customHeight="1">
      <c r="A585" s="8"/>
      <c r="B585" s="51">
        <v>1522.0</v>
      </c>
      <c r="C585" s="52"/>
      <c r="D585" s="53" t="s">
        <v>206</v>
      </c>
      <c r="E585" s="54"/>
      <c r="F585" s="53">
        <v>2023.0</v>
      </c>
      <c r="G585" s="55">
        <v>2024.0</v>
      </c>
      <c r="H585" s="15">
        <f t="shared" si="55"/>
        <v>0.0004943153732</v>
      </c>
      <c r="K585" s="16"/>
    </row>
    <row r="586" ht="14.25" customHeight="1">
      <c r="A586" s="8"/>
      <c r="B586" s="9"/>
      <c r="C586" s="3">
        <v>208.0</v>
      </c>
      <c r="D586" s="58" t="s">
        <v>207</v>
      </c>
      <c r="E586" s="37"/>
      <c r="F586" s="13">
        <v>10000.0</v>
      </c>
      <c r="G586" s="13">
        <v>10000.0</v>
      </c>
      <c r="H586" s="15">
        <f t="shared" si="55"/>
        <v>0</v>
      </c>
      <c r="K586" s="16"/>
    </row>
    <row r="587" ht="14.25" customHeight="1">
      <c r="A587" s="8"/>
      <c r="B587" s="9"/>
      <c r="C587" s="3" t="s">
        <v>203</v>
      </c>
      <c r="D587" s="58" t="s">
        <v>204</v>
      </c>
      <c r="E587" s="65"/>
      <c r="F587" s="13">
        <v>15000.0</v>
      </c>
      <c r="G587" s="13">
        <v>15000.0</v>
      </c>
      <c r="H587" s="15">
        <f t="shared" si="55"/>
        <v>0</v>
      </c>
      <c r="K587" s="16"/>
    </row>
    <row r="588" ht="14.25" customHeight="1">
      <c r="A588" s="99"/>
      <c r="B588" s="99"/>
      <c r="C588" s="100" t="s">
        <v>188</v>
      </c>
      <c r="D588" s="101" t="s">
        <v>189</v>
      </c>
      <c r="E588" s="102"/>
      <c r="F588" s="103"/>
      <c r="G588" s="104">
        <v>20000.0</v>
      </c>
      <c r="H588" s="105"/>
      <c r="I588" s="106"/>
      <c r="J588" s="107" t="s">
        <v>208</v>
      </c>
      <c r="K588" s="108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</row>
    <row r="589" ht="14.25" customHeight="1">
      <c r="A589" s="8"/>
      <c r="B589" s="38">
        <v>1522.0</v>
      </c>
      <c r="E589" s="39"/>
      <c r="F589" s="40">
        <f>SUM(F586:F587)</f>
        <v>25000</v>
      </c>
      <c r="G589" s="40">
        <f>SUM(G586:G588)</f>
        <v>45000</v>
      </c>
      <c r="H589" s="15">
        <f t="shared" ref="H589:H609" si="56">IFERROR(((G589-F589)/F589), "")</f>
        <v>0.8</v>
      </c>
      <c r="K589" s="16"/>
    </row>
    <row r="590" ht="14.25" customHeight="1">
      <c r="A590" s="8"/>
      <c r="B590" s="9"/>
      <c r="C590" s="11"/>
      <c r="D590" s="12"/>
      <c r="E590" s="8"/>
      <c r="F590" s="13"/>
      <c r="G590" s="13"/>
      <c r="H590" s="15" t="str">
        <f t="shared" si="56"/>
        <v/>
      </c>
      <c r="K590" s="16"/>
    </row>
    <row r="591" ht="14.25" customHeight="1">
      <c r="A591" s="8"/>
      <c r="B591" s="51">
        <v>1530.0</v>
      </c>
      <c r="C591" s="52"/>
      <c r="D591" s="53" t="s">
        <v>88</v>
      </c>
      <c r="E591" s="54"/>
      <c r="F591" s="53">
        <v>2023.0</v>
      </c>
      <c r="G591" s="55">
        <v>2024.0</v>
      </c>
      <c r="H591" s="15">
        <f t="shared" si="56"/>
        <v>0.0004943153732</v>
      </c>
      <c r="K591" s="16"/>
    </row>
    <row r="592" ht="14.25" customHeight="1">
      <c r="A592" s="8"/>
      <c r="B592" s="9"/>
      <c r="C592" s="3">
        <v>203.0</v>
      </c>
      <c r="D592" s="58" t="s">
        <v>158</v>
      </c>
      <c r="E592" s="65"/>
      <c r="F592" s="13">
        <v>2000.0</v>
      </c>
      <c r="G592" s="13">
        <v>2000.0</v>
      </c>
      <c r="H592" s="15">
        <f t="shared" si="56"/>
        <v>0</v>
      </c>
      <c r="K592" s="16"/>
    </row>
    <row r="593" ht="14.25" customHeight="1">
      <c r="A593" s="8"/>
      <c r="B593" s="9"/>
      <c r="C593" s="3">
        <v>204.0</v>
      </c>
      <c r="D593" s="46" t="s">
        <v>209</v>
      </c>
      <c r="E593" s="37"/>
      <c r="F593" s="13">
        <v>5300.0</v>
      </c>
      <c r="G593" s="13">
        <v>5300.0</v>
      </c>
      <c r="H593" s="15">
        <f t="shared" si="56"/>
        <v>0</v>
      </c>
      <c r="K593" s="16"/>
    </row>
    <row r="594" ht="14.25" customHeight="1">
      <c r="A594" s="8"/>
      <c r="B594" s="9"/>
      <c r="C594" s="3">
        <v>210.0</v>
      </c>
      <c r="D594" s="58" t="s">
        <v>210</v>
      </c>
      <c r="E594" s="65"/>
      <c r="F594" s="13">
        <v>11000.0</v>
      </c>
      <c r="G594" s="36">
        <v>511000.0</v>
      </c>
      <c r="H594" s="15">
        <f t="shared" si="56"/>
        <v>45.45454545</v>
      </c>
      <c r="K594" s="16"/>
    </row>
    <row r="595" ht="14.25" customHeight="1">
      <c r="A595" s="8"/>
      <c r="B595" s="9"/>
      <c r="C595" s="3">
        <v>212.0</v>
      </c>
      <c r="D595" s="58" t="s">
        <v>159</v>
      </c>
      <c r="E595" s="65"/>
      <c r="F595" s="13">
        <v>7000.0</v>
      </c>
      <c r="G595" s="13">
        <v>7000.0</v>
      </c>
      <c r="H595" s="15">
        <f t="shared" si="56"/>
        <v>0</v>
      </c>
      <c r="K595" s="16"/>
    </row>
    <row r="596" ht="14.25" customHeight="1">
      <c r="A596" s="8"/>
      <c r="B596" s="9"/>
      <c r="C596" s="3">
        <v>213.0</v>
      </c>
      <c r="D596" s="58" t="s">
        <v>160</v>
      </c>
      <c r="E596" s="65"/>
      <c r="F596" s="13">
        <v>1000.0</v>
      </c>
      <c r="G596" s="13">
        <v>1000.0</v>
      </c>
      <c r="H596" s="15">
        <f t="shared" si="56"/>
        <v>0</v>
      </c>
      <c r="K596" s="16"/>
    </row>
    <row r="597" ht="14.25" customHeight="1">
      <c r="A597" s="8"/>
      <c r="B597" s="9"/>
      <c r="C597" s="3">
        <v>214.0</v>
      </c>
      <c r="D597" s="58" t="s">
        <v>161</v>
      </c>
      <c r="E597" s="65"/>
      <c r="F597" s="13">
        <v>5000.0</v>
      </c>
      <c r="G597" s="13">
        <v>5000.0</v>
      </c>
      <c r="H597" s="15">
        <f t="shared" si="56"/>
        <v>0</v>
      </c>
      <c r="K597" s="16"/>
    </row>
    <row r="598" ht="14.25" customHeight="1">
      <c r="A598" s="8"/>
      <c r="B598" s="9"/>
      <c r="C598" s="3" t="s">
        <v>166</v>
      </c>
      <c r="D598" s="58" t="s">
        <v>167</v>
      </c>
      <c r="E598" s="65"/>
      <c r="F598" s="13">
        <v>7000.0</v>
      </c>
      <c r="G598" s="13">
        <v>7000.0</v>
      </c>
      <c r="H598" s="15">
        <f t="shared" si="56"/>
        <v>0</v>
      </c>
      <c r="K598" s="16"/>
    </row>
    <row r="599" ht="14.25" customHeight="1">
      <c r="A599" s="8"/>
      <c r="B599" s="9"/>
      <c r="C599" s="3" t="s">
        <v>169</v>
      </c>
      <c r="D599" s="46" t="s">
        <v>170</v>
      </c>
      <c r="E599" s="37"/>
      <c r="F599" s="13">
        <v>8000.0</v>
      </c>
      <c r="G599" s="13">
        <v>8000.0</v>
      </c>
      <c r="H599" s="15">
        <f t="shared" si="56"/>
        <v>0</v>
      </c>
      <c r="K599" s="16"/>
    </row>
    <row r="600" ht="14.25" customHeight="1">
      <c r="A600" s="8"/>
      <c r="B600" s="9"/>
      <c r="C600" s="3" t="s">
        <v>171</v>
      </c>
      <c r="D600" s="46" t="s">
        <v>172</v>
      </c>
      <c r="E600" s="37"/>
      <c r="F600" s="13">
        <v>3800.0</v>
      </c>
      <c r="G600" s="36">
        <v>6000.0</v>
      </c>
      <c r="H600" s="15">
        <f t="shared" si="56"/>
        <v>0.5789473684</v>
      </c>
      <c r="K600" s="16"/>
    </row>
    <row r="601" ht="14.25" customHeight="1">
      <c r="A601" s="8"/>
      <c r="B601" s="9"/>
      <c r="C601" s="3" t="s">
        <v>173</v>
      </c>
      <c r="D601" s="46" t="s">
        <v>174</v>
      </c>
      <c r="E601" s="37"/>
      <c r="F601" s="13">
        <v>25000.0</v>
      </c>
      <c r="G601" s="13">
        <v>25000.0</v>
      </c>
      <c r="H601" s="15">
        <f t="shared" si="56"/>
        <v>0</v>
      </c>
      <c r="K601" s="16"/>
    </row>
    <row r="602" ht="14.25" customHeight="1">
      <c r="A602" s="8"/>
      <c r="B602" s="9"/>
      <c r="C602" s="3" t="s">
        <v>175</v>
      </c>
      <c r="D602" s="46" t="s">
        <v>176</v>
      </c>
      <c r="E602" s="37"/>
      <c r="F602" s="13">
        <v>1700.0</v>
      </c>
      <c r="G602" s="13">
        <v>1700.0</v>
      </c>
      <c r="H602" s="15">
        <f t="shared" si="56"/>
        <v>0</v>
      </c>
      <c r="K602" s="16"/>
    </row>
    <row r="603" ht="14.25" customHeight="1">
      <c r="A603" s="8"/>
      <c r="B603" s="9"/>
      <c r="C603" s="3">
        <v>223.0</v>
      </c>
      <c r="D603" s="46" t="s">
        <v>211</v>
      </c>
      <c r="E603" s="37"/>
      <c r="F603" s="13">
        <v>300.0</v>
      </c>
      <c r="G603" s="13">
        <v>300.0</v>
      </c>
      <c r="H603" s="15">
        <f t="shared" si="56"/>
        <v>0</v>
      </c>
      <c r="K603" s="16"/>
    </row>
    <row r="604" ht="14.25" customHeight="1">
      <c r="A604" s="8"/>
      <c r="B604" s="9"/>
      <c r="C604" s="3">
        <v>224.0</v>
      </c>
      <c r="D604" s="46" t="s">
        <v>179</v>
      </c>
      <c r="E604" s="37"/>
      <c r="F604" s="13">
        <v>5000.0</v>
      </c>
      <c r="G604" s="13">
        <v>5000.0</v>
      </c>
      <c r="H604" s="15">
        <f t="shared" si="56"/>
        <v>0</v>
      </c>
      <c r="K604" s="16"/>
    </row>
    <row r="605" ht="14.25" customHeight="1">
      <c r="A605" s="8"/>
      <c r="B605" s="9"/>
      <c r="C605" s="3" t="s">
        <v>180</v>
      </c>
      <c r="D605" s="46" t="s">
        <v>181</v>
      </c>
      <c r="E605" s="37"/>
      <c r="F605" s="13">
        <v>100.0</v>
      </c>
      <c r="G605" s="13">
        <v>100.0</v>
      </c>
      <c r="H605" s="15">
        <f t="shared" si="56"/>
        <v>0</v>
      </c>
      <c r="K605" s="16"/>
    </row>
    <row r="606" ht="14.25" customHeight="1">
      <c r="A606" s="8"/>
      <c r="B606" s="9"/>
      <c r="C606" s="3" t="s">
        <v>184</v>
      </c>
      <c r="D606" s="58" t="s">
        <v>185</v>
      </c>
      <c r="E606" s="37"/>
      <c r="F606" s="13">
        <v>100.0</v>
      </c>
      <c r="G606" s="13">
        <v>100.0</v>
      </c>
      <c r="H606" s="15">
        <f t="shared" si="56"/>
        <v>0</v>
      </c>
      <c r="K606" s="16"/>
    </row>
    <row r="607" ht="14.25" customHeight="1">
      <c r="A607" s="8"/>
      <c r="B607" s="9"/>
      <c r="C607" s="3" t="s">
        <v>188</v>
      </c>
      <c r="D607" s="58" t="s">
        <v>189</v>
      </c>
      <c r="E607" s="37"/>
      <c r="F607" s="13">
        <v>1300.0</v>
      </c>
      <c r="G607" s="13">
        <v>1300.0</v>
      </c>
      <c r="H607" s="15">
        <f t="shared" si="56"/>
        <v>0</v>
      </c>
      <c r="K607" s="16"/>
    </row>
    <row r="608" ht="14.25" customHeight="1">
      <c r="A608" s="8"/>
      <c r="B608" s="9"/>
      <c r="C608" s="3" t="s">
        <v>203</v>
      </c>
      <c r="D608" s="58" t="s">
        <v>204</v>
      </c>
      <c r="E608" s="37"/>
      <c r="F608" s="13">
        <v>200.0</v>
      </c>
      <c r="G608" s="13">
        <v>200.0</v>
      </c>
      <c r="H608" s="15">
        <f t="shared" si="56"/>
        <v>0</v>
      </c>
      <c r="K608" s="16"/>
    </row>
    <row r="609" ht="14.25" customHeight="1">
      <c r="A609" s="8"/>
      <c r="B609" s="9"/>
      <c r="C609" s="3" t="s">
        <v>190</v>
      </c>
      <c r="D609" s="46" t="s">
        <v>191</v>
      </c>
      <c r="E609" s="37"/>
      <c r="F609" s="13">
        <v>500.0</v>
      </c>
      <c r="G609" s="36">
        <v>500.0</v>
      </c>
      <c r="H609" s="15">
        <f t="shared" si="56"/>
        <v>0</v>
      </c>
      <c r="K609" s="16"/>
    </row>
    <row r="610" ht="14.25" customHeight="1">
      <c r="A610" s="8"/>
      <c r="B610" s="9"/>
      <c r="C610" s="96" t="s">
        <v>192</v>
      </c>
      <c r="D610" s="109" t="s">
        <v>193</v>
      </c>
      <c r="E610" s="37"/>
      <c r="F610" s="13"/>
      <c r="G610" s="36">
        <v>200.0</v>
      </c>
      <c r="H610" s="15"/>
      <c r="K610" s="16"/>
    </row>
    <row r="611" ht="14.25" customHeight="1">
      <c r="A611" s="8"/>
      <c r="B611" s="9"/>
      <c r="C611" s="96" t="s">
        <v>212</v>
      </c>
      <c r="D611" s="109" t="s">
        <v>213</v>
      </c>
      <c r="E611" s="37"/>
      <c r="F611" s="13"/>
      <c r="G611" s="36">
        <v>200.0</v>
      </c>
      <c r="H611" s="15"/>
      <c r="K611" s="16"/>
    </row>
    <row r="612" ht="14.25" customHeight="1">
      <c r="A612" s="8"/>
      <c r="B612" s="38">
        <v>1530.0</v>
      </c>
      <c r="E612" s="39"/>
      <c r="F612" s="40">
        <f>SUM(F592:F609)</f>
        <v>84300</v>
      </c>
      <c r="G612" s="40">
        <f>SUM(G592:G611)</f>
        <v>586900</v>
      </c>
      <c r="H612" s="15">
        <f t="shared" ref="H612:H644" si="57">IFERROR(((G612-F612)/F612), "")</f>
        <v>5.962040332</v>
      </c>
      <c r="K612" s="16"/>
    </row>
    <row r="613" ht="14.25" customHeight="1">
      <c r="A613" s="8"/>
      <c r="B613" s="9"/>
      <c r="C613" s="11"/>
      <c r="D613" s="12"/>
      <c r="E613" s="8"/>
      <c r="F613" s="13"/>
      <c r="G613" s="13"/>
      <c r="H613" s="15" t="str">
        <f t="shared" si="57"/>
        <v/>
      </c>
      <c r="K613" s="16"/>
    </row>
    <row r="614" ht="14.25" customHeight="1">
      <c r="A614" s="8"/>
      <c r="B614" s="51">
        <v>1600.0</v>
      </c>
      <c r="C614" s="52"/>
      <c r="D614" s="53" t="s">
        <v>214</v>
      </c>
      <c r="E614" s="54"/>
      <c r="F614" s="53">
        <v>2023.0</v>
      </c>
      <c r="G614" s="55">
        <v>2024.0</v>
      </c>
      <c r="H614" s="15">
        <f t="shared" si="57"/>
        <v>0.0004943153732</v>
      </c>
      <c r="K614" s="16"/>
    </row>
    <row r="615" ht="14.25" customHeight="1">
      <c r="A615" s="8"/>
      <c r="B615" s="9"/>
      <c r="C615" s="3">
        <v>203.0</v>
      </c>
      <c r="D615" s="46" t="s">
        <v>215</v>
      </c>
      <c r="E615" s="37"/>
      <c r="F615" s="13">
        <v>100.0</v>
      </c>
      <c r="G615" s="13">
        <v>100.0</v>
      </c>
      <c r="H615" s="15">
        <f t="shared" si="57"/>
        <v>0</v>
      </c>
      <c r="K615" s="16"/>
    </row>
    <row r="616" ht="14.25" customHeight="1">
      <c r="A616" s="8"/>
      <c r="B616" s="9"/>
      <c r="C616" s="3">
        <v>213.0</v>
      </c>
      <c r="D616" s="58" t="s">
        <v>160</v>
      </c>
      <c r="E616" s="37"/>
      <c r="F616" s="13">
        <v>181000.0</v>
      </c>
      <c r="G616" s="36">
        <v>192000.0</v>
      </c>
      <c r="H616" s="15">
        <f t="shared" si="57"/>
        <v>0.06077348066</v>
      </c>
      <c r="K616" s="16"/>
    </row>
    <row r="617" ht="14.25" customHeight="1">
      <c r="A617" s="8"/>
      <c r="B617" s="9"/>
      <c r="C617" s="3" t="s">
        <v>173</v>
      </c>
      <c r="D617" s="46" t="s">
        <v>174</v>
      </c>
      <c r="E617" s="37"/>
      <c r="F617" s="13">
        <v>5000.0</v>
      </c>
      <c r="G617" s="13">
        <v>5000.0</v>
      </c>
      <c r="H617" s="15">
        <f t="shared" si="57"/>
        <v>0</v>
      </c>
      <c r="K617" s="16"/>
    </row>
    <row r="618" ht="14.25" customHeight="1">
      <c r="A618" s="8"/>
      <c r="B618" s="9"/>
      <c r="C618" s="3" t="s">
        <v>216</v>
      </c>
      <c r="D618" s="46" t="s">
        <v>217</v>
      </c>
      <c r="E618" s="37"/>
      <c r="F618" s="13">
        <v>100.0</v>
      </c>
      <c r="G618" s="13">
        <v>100.0</v>
      </c>
      <c r="H618" s="15">
        <f t="shared" si="57"/>
        <v>0</v>
      </c>
      <c r="K618" s="16"/>
    </row>
    <row r="619" ht="14.25" customHeight="1">
      <c r="A619" s="8"/>
      <c r="B619" s="9"/>
      <c r="C619" s="3" t="s">
        <v>180</v>
      </c>
      <c r="D619" s="46" t="s">
        <v>181</v>
      </c>
      <c r="E619" s="8"/>
      <c r="F619" s="13">
        <v>100.0</v>
      </c>
      <c r="G619" s="13">
        <v>100.0</v>
      </c>
      <c r="H619" s="15">
        <f t="shared" si="57"/>
        <v>0</v>
      </c>
      <c r="K619" s="16"/>
    </row>
    <row r="620" ht="14.25" customHeight="1">
      <c r="A620" s="8"/>
      <c r="B620" s="9"/>
      <c r="C620" s="3" t="s">
        <v>203</v>
      </c>
      <c r="D620" s="58" t="s">
        <v>204</v>
      </c>
      <c r="E620" s="37"/>
      <c r="F620" s="13">
        <v>100.0</v>
      </c>
      <c r="G620" s="13">
        <v>100.0</v>
      </c>
      <c r="H620" s="15">
        <f t="shared" si="57"/>
        <v>0</v>
      </c>
      <c r="K620" s="16"/>
    </row>
    <row r="621" ht="14.25" customHeight="1">
      <c r="A621" s="8"/>
      <c r="B621" s="9"/>
      <c r="C621" s="3" t="s">
        <v>190</v>
      </c>
      <c r="D621" s="58" t="s">
        <v>195</v>
      </c>
      <c r="E621" s="65"/>
      <c r="F621" s="13">
        <v>100.0</v>
      </c>
      <c r="G621" s="13">
        <v>100.0</v>
      </c>
      <c r="H621" s="15">
        <f t="shared" si="57"/>
        <v>0</v>
      </c>
      <c r="K621" s="16"/>
    </row>
    <row r="622" ht="14.25" customHeight="1">
      <c r="A622" s="8"/>
      <c r="B622" s="9"/>
      <c r="C622" s="3">
        <v>233.0</v>
      </c>
      <c r="D622" s="58" t="s">
        <v>218</v>
      </c>
      <c r="E622" s="65"/>
      <c r="F622" s="13">
        <v>100.0</v>
      </c>
      <c r="G622" s="13">
        <v>100.0</v>
      </c>
      <c r="H622" s="15">
        <f t="shared" si="57"/>
        <v>0</v>
      </c>
      <c r="K622" s="16"/>
    </row>
    <row r="623" ht="14.25" customHeight="1">
      <c r="A623" s="8"/>
      <c r="B623" s="38">
        <v>1600.0</v>
      </c>
      <c r="E623" s="39"/>
      <c r="F623" s="40">
        <f t="shared" ref="F623:G623" si="58">SUM(F615:F622)</f>
        <v>186600</v>
      </c>
      <c r="G623" s="40">
        <f t="shared" si="58"/>
        <v>197600</v>
      </c>
      <c r="H623" s="15">
        <f t="shared" si="57"/>
        <v>0.05894962487</v>
      </c>
      <c r="K623" s="16"/>
    </row>
    <row r="624" ht="14.25" customHeight="1">
      <c r="A624" s="8"/>
      <c r="B624" s="9"/>
      <c r="C624" s="3"/>
      <c r="D624" s="45"/>
      <c r="E624" s="35"/>
      <c r="F624" s="49"/>
      <c r="G624" s="49"/>
      <c r="H624" s="15" t="str">
        <f t="shared" si="57"/>
        <v/>
      </c>
      <c r="K624" s="16"/>
    </row>
    <row r="625" ht="14.25" customHeight="1">
      <c r="A625" s="8"/>
      <c r="B625" s="51">
        <v>1610.0</v>
      </c>
      <c r="C625" s="52"/>
      <c r="D625" s="53" t="s">
        <v>219</v>
      </c>
      <c r="E625" s="54"/>
      <c r="F625" s="53">
        <v>2023.0</v>
      </c>
      <c r="G625" s="55">
        <v>2024.0</v>
      </c>
      <c r="H625" s="15">
        <f t="shared" si="57"/>
        <v>0.0004943153732</v>
      </c>
      <c r="K625" s="16"/>
    </row>
    <row r="626" ht="14.25" customHeight="1">
      <c r="A626" s="8"/>
      <c r="B626" s="9"/>
      <c r="C626" s="3">
        <v>203.0</v>
      </c>
      <c r="D626" s="46" t="s">
        <v>215</v>
      </c>
      <c r="E626" s="37"/>
      <c r="F626" s="13">
        <v>4500.0</v>
      </c>
      <c r="G626" s="13">
        <v>4500.0</v>
      </c>
      <c r="H626" s="15">
        <f t="shared" si="57"/>
        <v>0</v>
      </c>
      <c r="K626" s="16"/>
    </row>
    <row r="627" ht="14.25" customHeight="1">
      <c r="A627" s="8"/>
      <c r="B627" s="9"/>
      <c r="C627" s="3">
        <v>210.0</v>
      </c>
      <c r="D627" s="58" t="s">
        <v>220</v>
      </c>
      <c r="E627" s="65"/>
      <c r="F627" s="13">
        <v>18000.0</v>
      </c>
      <c r="G627" s="13">
        <v>18000.0</v>
      </c>
      <c r="H627" s="15">
        <f t="shared" si="57"/>
        <v>0</v>
      </c>
      <c r="K627" s="16"/>
    </row>
    <row r="628" ht="14.25" customHeight="1">
      <c r="A628" s="8"/>
      <c r="B628" s="9"/>
      <c r="C628" s="3">
        <v>212.0</v>
      </c>
      <c r="D628" s="58" t="s">
        <v>159</v>
      </c>
      <c r="E628" s="65"/>
      <c r="F628" s="13">
        <v>5700.0</v>
      </c>
      <c r="G628" s="13">
        <v>5700.0</v>
      </c>
      <c r="H628" s="15">
        <f t="shared" si="57"/>
        <v>0</v>
      </c>
      <c r="K628" s="16"/>
    </row>
    <row r="629" ht="14.25" customHeight="1">
      <c r="A629" s="8"/>
      <c r="B629" s="9"/>
      <c r="C629" s="3">
        <v>213.0</v>
      </c>
      <c r="D629" s="58" t="s">
        <v>160</v>
      </c>
      <c r="E629" s="65"/>
      <c r="F629" s="13">
        <v>4000.0</v>
      </c>
      <c r="G629" s="13">
        <v>4000.0</v>
      </c>
      <c r="H629" s="15">
        <f t="shared" si="57"/>
        <v>0</v>
      </c>
      <c r="K629" s="16"/>
    </row>
    <row r="630" ht="14.25" customHeight="1">
      <c r="A630" s="8"/>
      <c r="B630" s="9"/>
      <c r="C630" s="3">
        <v>214.0</v>
      </c>
      <c r="D630" s="58" t="s">
        <v>161</v>
      </c>
      <c r="E630" s="65"/>
      <c r="F630" s="13">
        <v>4200.0</v>
      </c>
      <c r="G630" s="13">
        <v>4200.0</v>
      </c>
      <c r="H630" s="15">
        <f t="shared" si="57"/>
        <v>0</v>
      </c>
      <c r="K630" s="16"/>
    </row>
    <row r="631" ht="14.25" customHeight="1">
      <c r="A631" s="8"/>
      <c r="B631" s="9"/>
      <c r="C631" s="3" t="s">
        <v>164</v>
      </c>
      <c r="D631" s="46" t="s">
        <v>165</v>
      </c>
      <c r="E631" s="37"/>
      <c r="F631" s="13">
        <v>1000.0</v>
      </c>
      <c r="G631" s="13">
        <v>1000.0</v>
      </c>
      <c r="H631" s="15">
        <f t="shared" si="57"/>
        <v>0</v>
      </c>
      <c r="K631" s="16"/>
    </row>
    <row r="632" ht="14.25" customHeight="1">
      <c r="A632" s="8"/>
      <c r="B632" s="9"/>
      <c r="C632" s="3" t="s">
        <v>200</v>
      </c>
      <c r="D632" s="58" t="s">
        <v>201</v>
      </c>
      <c r="E632" s="65"/>
      <c r="F632" s="13">
        <v>200.0</v>
      </c>
      <c r="G632" s="13">
        <v>200.0</v>
      </c>
      <c r="H632" s="15">
        <f t="shared" si="57"/>
        <v>0</v>
      </c>
      <c r="K632" s="16"/>
    </row>
    <row r="633" ht="14.25" customHeight="1">
      <c r="A633" s="8"/>
      <c r="B633" s="9"/>
      <c r="C633" s="3" t="s">
        <v>166</v>
      </c>
      <c r="D633" s="58" t="s">
        <v>167</v>
      </c>
      <c r="E633" s="65"/>
      <c r="F633" s="13">
        <v>160000.0</v>
      </c>
      <c r="G633" s="13">
        <v>160000.0</v>
      </c>
      <c r="H633" s="15">
        <f t="shared" si="57"/>
        <v>0</v>
      </c>
      <c r="K633" s="16"/>
    </row>
    <row r="634" ht="14.25" customHeight="1">
      <c r="A634" s="8"/>
      <c r="B634" s="9"/>
      <c r="C634" s="3" t="s">
        <v>169</v>
      </c>
      <c r="D634" s="46" t="s">
        <v>170</v>
      </c>
      <c r="E634" s="37"/>
      <c r="F634" s="13">
        <v>5500.0</v>
      </c>
      <c r="G634" s="13">
        <v>5500.0</v>
      </c>
      <c r="H634" s="15">
        <f t="shared" si="57"/>
        <v>0</v>
      </c>
      <c r="K634" s="16"/>
    </row>
    <row r="635" ht="14.25" customHeight="1">
      <c r="A635" s="8"/>
      <c r="B635" s="9"/>
      <c r="C635" s="3" t="s">
        <v>171</v>
      </c>
      <c r="D635" s="46" t="s">
        <v>172</v>
      </c>
      <c r="E635" s="37"/>
      <c r="F635" s="13">
        <v>2200.0</v>
      </c>
      <c r="G635" s="13">
        <v>2200.0</v>
      </c>
      <c r="H635" s="15">
        <f t="shared" si="57"/>
        <v>0</v>
      </c>
      <c r="K635" s="16"/>
    </row>
    <row r="636" ht="14.25" customHeight="1">
      <c r="A636" s="8"/>
      <c r="B636" s="9"/>
      <c r="C636" s="3" t="s">
        <v>173</v>
      </c>
      <c r="D636" s="46" t="s">
        <v>174</v>
      </c>
      <c r="E636" s="37"/>
      <c r="F636" s="13">
        <v>35000.0</v>
      </c>
      <c r="G636" s="36">
        <v>15000.0</v>
      </c>
      <c r="H636" s="15">
        <f t="shared" si="57"/>
        <v>-0.5714285714</v>
      </c>
      <c r="K636" s="16"/>
    </row>
    <row r="637" ht="14.25" customHeight="1">
      <c r="A637" s="8"/>
      <c r="B637" s="9"/>
      <c r="C637" s="3" t="s">
        <v>175</v>
      </c>
      <c r="D637" s="46" t="s">
        <v>176</v>
      </c>
      <c r="E637" s="37"/>
      <c r="F637" s="13">
        <v>3000.0</v>
      </c>
      <c r="G637" s="13">
        <v>3000.0</v>
      </c>
      <c r="H637" s="15">
        <f t="shared" si="57"/>
        <v>0</v>
      </c>
      <c r="K637" s="16"/>
    </row>
    <row r="638" ht="14.25" customHeight="1">
      <c r="A638" s="8"/>
      <c r="B638" s="9"/>
      <c r="C638" s="3" t="s">
        <v>177</v>
      </c>
      <c r="D638" s="46" t="s">
        <v>178</v>
      </c>
      <c r="E638" s="8"/>
      <c r="F638" s="13">
        <v>500.0</v>
      </c>
      <c r="G638" s="13">
        <v>500.0</v>
      </c>
      <c r="H638" s="15">
        <f t="shared" si="57"/>
        <v>0</v>
      </c>
      <c r="K638" s="16"/>
    </row>
    <row r="639" ht="14.25" customHeight="1">
      <c r="A639" s="8"/>
      <c r="B639" s="9"/>
      <c r="C639" s="3">
        <v>223.0</v>
      </c>
      <c r="D639" s="46" t="s">
        <v>211</v>
      </c>
      <c r="E639" s="37"/>
      <c r="F639" s="13">
        <v>300.0</v>
      </c>
      <c r="G639" s="13">
        <v>300.0</v>
      </c>
      <c r="H639" s="15">
        <f t="shared" si="57"/>
        <v>0</v>
      </c>
      <c r="K639" s="16"/>
    </row>
    <row r="640" ht="14.25" customHeight="1">
      <c r="A640" s="8"/>
      <c r="B640" s="9"/>
      <c r="C640" s="3">
        <v>224.0</v>
      </c>
      <c r="D640" s="46" t="s">
        <v>179</v>
      </c>
      <c r="E640" s="37"/>
      <c r="F640" s="13">
        <v>3700.0</v>
      </c>
      <c r="G640" s="13">
        <v>3700.0</v>
      </c>
      <c r="H640" s="15">
        <f t="shared" si="57"/>
        <v>0</v>
      </c>
      <c r="K640" s="16"/>
    </row>
    <row r="641" ht="14.25" customHeight="1">
      <c r="A641" s="8"/>
      <c r="B641" s="9"/>
      <c r="C641" s="3" t="s">
        <v>221</v>
      </c>
      <c r="D641" s="46" t="s">
        <v>222</v>
      </c>
      <c r="E641" s="37"/>
      <c r="F641" s="13">
        <v>800.0</v>
      </c>
      <c r="G641" s="13">
        <v>800.0</v>
      </c>
      <c r="H641" s="15">
        <f t="shared" si="57"/>
        <v>0</v>
      </c>
      <c r="K641" s="16"/>
    </row>
    <row r="642" ht="14.25" customHeight="1">
      <c r="A642" s="8"/>
      <c r="B642" s="9"/>
      <c r="C642" s="3" t="s">
        <v>180</v>
      </c>
      <c r="D642" s="46" t="s">
        <v>181</v>
      </c>
      <c r="E642" s="37"/>
      <c r="F642" s="13">
        <v>2000.0</v>
      </c>
      <c r="G642" s="13">
        <v>2000.0</v>
      </c>
      <c r="H642" s="15">
        <f t="shared" si="57"/>
        <v>0</v>
      </c>
      <c r="K642" s="16"/>
    </row>
    <row r="643" ht="14.25" customHeight="1">
      <c r="A643" s="8"/>
      <c r="B643" s="9"/>
      <c r="C643" s="3" t="s">
        <v>188</v>
      </c>
      <c r="D643" s="58" t="s">
        <v>189</v>
      </c>
      <c r="E643" s="37"/>
      <c r="F643" s="13">
        <v>1000.0</v>
      </c>
      <c r="G643" s="13">
        <v>1000.0</v>
      </c>
      <c r="H643" s="15">
        <f t="shared" si="57"/>
        <v>0</v>
      </c>
      <c r="K643" s="16"/>
    </row>
    <row r="644" ht="14.25" customHeight="1">
      <c r="A644" s="8"/>
      <c r="B644" s="9"/>
      <c r="C644" s="3" t="s">
        <v>203</v>
      </c>
      <c r="D644" s="58" t="s">
        <v>204</v>
      </c>
      <c r="E644" s="37"/>
      <c r="F644" s="13">
        <v>28500.0</v>
      </c>
      <c r="G644" s="13">
        <v>28500.0</v>
      </c>
      <c r="H644" s="15">
        <f t="shared" si="57"/>
        <v>0</v>
      </c>
      <c r="K644" s="16"/>
    </row>
    <row r="645" ht="14.25" customHeight="1">
      <c r="A645" s="8"/>
      <c r="B645" s="9"/>
      <c r="C645" s="3" t="s">
        <v>190</v>
      </c>
      <c r="D645" s="58" t="s">
        <v>191</v>
      </c>
      <c r="E645" s="37"/>
      <c r="F645" s="36">
        <v>0.0</v>
      </c>
      <c r="G645" s="36">
        <v>0.0</v>
      </c>
      <c r="H645" s="15"/>
      <c r="K645" s="16"/>
    </row>
    <row r="646" ht="14.25" customHeight="1">
      <c r="A646" s="8"/>
      <c r="B646" s="38">
        <v>1610.0</v>
      </c>
      <c r="E646" s="39"/>
      <c r="F646" s="40">
        <f t="shared" ref="F646:G646" si="59">SUM(F626:F645)</f>
        <v>280100</v>
      </c>
      <c r="G646" s="40">
        <f t="shared" si="59"/>
        <v>260100</v>
      </c>
      <c r="H646" s="15">
        <f t="shared" ref="H646:H693" si="60">IFERROR(((G646-F646)/F646), "")</f>
        <v>-0.07140307033</v>
      </c>
      <c r="K646" s="16"/>
    </row>
    <row r="647" ht="14.25" customHeight="1">
      <c r="A647" s="8"/>
      <c r="B647" s="9"/>
      <c r="C647" s="3"/>
      <c r="D647" s="45"/>
      <c r="E647" s="35"/>
      <c r="F647" s="49"/>
      <c r="G647" s="49"/>
      <c r="H647" s="15" t="str">
        <f t="shared" si="60"/>
        <v/>
      </c>
      <c r="K647" s="16"/>
    </row>
    <row r="648" ht="14.25" customHeight="1">
      <c r="A648" s="8"/>
      <c r="B648" s="51">
        <v>1621.0</v>
      </c>
      <c r="C648" s="52"/>
      <c r="D648" s="53" t="s">
        <v>223</v>
      </c>
      <c r="E648" s="54"/>
      <c r="F648" s="53">
        <v>2023.0</v>
      </c>
      <c r="G648" s="55">
        <v>2024.0</v>
      </c>
      <c r="H648" s="15">
        <f t="shared" si="60"/>
        <v>0.0004943153732</v>
      </c>
      <c r="K648" s="16"/>
    </row>
    <row r="649" ht="14.25" customHeight="1">
      <c r="A649" s="8"/>
      <c r="B649" s="9"/>
      <c r="C649" s="3" t="s">
        <v>224</v>
      </c>
      <c r="D649" s="58" t="s">
        <v>225</v>
      </c>
      <c r="E649" s="37"/>
      <c r="F649" s="13">
        <v>1590000.0</v>
      </c>
      <c r="G649" s="13">
        <v>1590000.0</v>
      </c>
      <c r="H649" s="15">
        <f t="shared" si="60"/>
        <v>0</v>
      </c>
      <c r="K649" s="16"/>
    </row>
    <row r="650" ht="14.25" customHeight="1">
      <c r="A650" s="8"/>
      <c r="B650" s="38">
        <v>1621.0</v>
      </c>
      <c r="E650" s="39"/>
      <c r="F650" s="40">
        <f t="shared" ref="F650:G650" si="61">SUM(F649)</f>
        <v>1590000</v>
      </c>
      <c r="G650" s="40">
        <f t="shared" si="61"/>
        <v>1590000</v>
      </c>
      <c r="H650" s="15">
        <f t="shared" si="60"/>
        <v>0</v>
      </c>
      <c r="K650" s="16"/>
    </row>
    <row r="651" ht="14.25" customHeight="1">
      <c r="A651" s="8"/>
      <c r="B651" s="9"/>
      <c r="C651" s="3"/>
      <c r="D651" s="45"/>
      <c r="E651" s="35"/>
      <c r="F651" s="49"/>
      <c r="G651" s="49"/>
      <c r="H651" s="15" t="str">
        <f t="shared" si="60"/>
        <v/>
      </c>
      <c r="K651" s="16"/>
    </row>
    <row r="652" ht="14.25" customHeight="1">
      <c r="A652" s="8"/>
      <c r="B652" s="51">
        <v>1623.0</v>
      </c>
      <c r="C652" s="52"/>
      <c r="D652" s="53" t="s">
        <v>226</v>
      </c>
      <c r="E652" s="54"/>
      <c r="F652" s="53">
        <v>2023.0</v>
      </c>
      <c r="G652" s="55">
        <v>2024.0</v>
      </c>
      <c r="H652" s="15">
        <f t="shared" si="60"/>
        <v>0.0004943153732</v>
      </c>
      <c r="K652" s="16"/>
    </row>
    <row r="653" ht="14.25" customHeight="1">
      <c r="A653" s="8"/>
      <c r="B653" s="9"/>
      <c r="C653" s="3">
        <v>213.0</v>
      </c>
      <c r="D653" s="58" t="s">
        <v>160</v>
      </c>
      <c r="E653" s="65"/>
      <c r="F653" s="13">
        <v>565000.0</v>
      </c>
      <c r="G653" s="36">
        <v>608000.0</v>
      </c>
      <c r="H653" s="15">
        <f t="shared" si="60"/>
        <v>0.07610619469</v>
      </c>
      <c r="K653" s="16"/>
    </row>
    <row r="654" ht="14.25" customHeight="1">
      <c r="A654" s="8"/>
      <c r="B654" s="9"/>
      <c r="C654" s="3" t="s">
        <v>166</v>
      </c>
      <c r="D654" s="58" t="s">
        <v>167</v>
      </c>
      <c r="E654" s="65"/>
      <c r="F654" s="13">
        <v>140000.0</v>
      </c>
      <c r="G654" s="36">
        <v>130000.0</v>
      </c>
      <c r="H654" s="15">
        <f t="shared" si="60"/>
        <v>-0.07142857143</v>
      </c>
      <c r="K654" s="16"/>
    </row>
    <row r="655" ht="14.25" customHeight="1">
      <c r="A655" s="8"/>
      <c r="B655" s="9"/>
      <c r="C655" s="3" t="s">
        <v>221</v>
      </c>
      <c r="D655" s="46" t="s">
        <v>222</v>
      </c>
      <c r="E655" s="37"/>
      <c r="F655" s="13">
        <v>63000.0</v>
      </c>
      <c r="G655" s="36">
        <v>70000.0</v>
      </c>
      <c r="H655" s="15">
        <f t="shared" si="60"/>
        <v>0.1111111111</v>
      </c>
      <c r="K655" s="16"/>
    </row>
    <row r="656" ht="14.25" customHeight="1">
      <c r="A656" s="8"/>
      <c r="B656" s="9"/>
      <c r="C656" s="3" t="s">
        <v>180</v>
      </c>
      <c r="D656" s="46" t="s">
        <v>181</v>
      </c>
      <c r="E656" s="37"/>
      <c r="F656" s="13">
        <v>10000.0</v>
      </c>
      <c r="G656" s="36">
        <v>0.0</v>
      </c>
      <c r="H656" s="15">
        <f t="shared" si="60"/>
        <v>-1</v>
      </c>
      <c r="K656" s="16"/>
    </row>
    <row r="657" ht="14.25" customHeight="1">
      <c r="A657" s="8"/>
      <c r="B657" s="38">
        <v>1623.0</v>
      </c>
      <c r="E657" s="39"/>
      <c r="F657" s="40">
        <f t="shared" ref="F657:G657" si="62">SUM(F653:F656)</f>
        <v>778000</v>
      </c>
      <c r="G657" s="40">
        <f t="shared" si="62"/>
        <v>808000</v>
      </c>
      <c r="H657" s="15">
        <f t="shared" si="60"/>
        <v>0.03856041131</v>
      </c>
      <c r="K657" s="16"/>
    </row>
    <row r="658" ht="14.25" customHeight="1">
      <c r="A658" s="8"/>
      <c r="B658" s="9"/>
      <c r="C658" s="11"/>
      <c r="D658" s="12"/>
      <c r="E658" s="8"/>
      <c r="F658" s="12"/>
      <c r="G658" s="12"/>
      <c r="H658" s="15" t="str">
        <f t="shared" si="60"/>
        <v/>
      </c>
      <c r="K658" s="16"/>
    </row>
    <row r="659" ht="14.25" customHeight="1">
      <c r="A659" s="8"/>
      <c r="B659" s="51">
        <v>1630.0</v>
      </c>
      <c r="C659" s="52"/>
      <c r="D659" s="53" t="s">
        <v>227</v>
      </c>
      <c r="E659" s="54"/>
      <c r="F659" s="53">
        <v>2023.0</v>
      </c>
      <c r="G659" s="55">
        <v>2024.0</v>
      </c>
      <c r="H659" s="15">
        <f t="shared" si="60"/>
        <v>0.0004943153732</v>
      </c>
      <c r="K659" s="16"/>
    </row>
    <row r="660" ht="14.25" customHeight="1">
      <c r="A660" s="8"/>
      <c r="B660" s="9"/>
      <c r="C660" s="3" t="s">
        <v>224</v>
      </c>
      <c r="D660" s="58" t="s">
        <v>225</v>
      </c>
      <c r="E660" s="37"/>
      <c r="F660" s="13">
        <v>1940000.0</v>
      </c>
      <c r="G660" s="36">
        <v>2040000.0</v>
      </c>
      <c r="H660" s="15">
        <f t="shared" si="60"/>
        <v>0.05154639175</v>
      </c>
      <c r="K660" s="16"/>
    </row>
    <row r="661" ht="14.25" customHeight="1">
      <c r="A661" s="8"/>
      <c r="B661" s="38">
        <v>1630.0</v>
      </c>
      <c r="E661" s="39"/>
      <c r="F661" s="40">
        <f t="shared" ref="F661:G661" si="63">SUM(F660)</f>
        <v>1940000</v>
      </c>
      <c r="G661" s="40">
        <f t="shared" si="63"/>
        <v>2040000</v>
      </c>
      <c r="H661" s="15">
        <f t="shared" si="60"/>
        <v>0.05154639175</v>
      </c>
      <c r="K661" s="16"/>
    </row>
    <row r="662" ht="14.25" customHeight="1">
      <c r="A662" s="8"/>
      <c r="B662" s="9"/>
      <c r="C662" s="11"/>
      <c r="D662" s="12"/>
      <c r="E662" s="8"/>
      <c r="F662" s="13"/>
      <c r="G662" s="13"/>
      <c r="H662" s="15" t="str">
        <f t="shared" si="60"/>
        <v/>
      </c>
      <c r="K662" s="16"/>
    </row>
    <row r="663" ht="14.25" customHeight="1">
      <c r="A663" s="8"/>
      <c r="B663" s="51">
        <v>1640.0</v>
      </c>
      <c r="C663" s="52"/>
      <c r="D663" s="53" t="s">
        <v>94</v>
      </c>
      <c r="E663" s="54"/>
      <c r="F663" s="53">
        <v>2023.0</v>
      </c>
      <c r="G663" s="55">
        <v>2024.0</v>
      </c>
      <c r="H663" s="15">
        <f t="shared" si="60"/>
        <v>0.0004943153732</v>
      </c>
      <c r="K663" s="16"/>
    </row>
    <row r="664" ht="14.25" customHeight="1">
      <c r="A664" s="8"/>
      <c r="B664" s="9"/>
      <c r="C664" s="3">
        <v>203.0</v>
      </c>
      <c r="D664" s="46" t="s">
        <v>215</v>
      </c>
      <c r="E664" s="37"/>
      <c r="F664" s="13">
        <v>500.0</v>
      </c>
      <c r="G664" s="13">
        <v>500.0</v>
      </c>
      <c r="H664" s="15">
        <f t="shared" si="60"/>
        <v>0</v>
      </c>
      <c r="K664" s="16"/>
    </row>
    <row r="665" ht="14.25" customHeight="1">
      <c r="A665" s="8"/>
      <c r="B665" s="9"/>
      <c r="C665" s="3">
        <v>212.0</v>
      </c>
      <c r="D665" s="58" t="s">
        <v>159</v>
      </c>
      <c r="E665" s="65"/>
      <c r="F665" s="13">
        <v>6000.0</v>
      </c>
      <c r="G665" s="36">
        <v>7000.0</v>
      </c>
      <c r="H665" s="15">
        <f t="shared" si="60"/>
        <v>0.1666666667</v>
      </c>
      <c r="K665" s="16"/>
    </row>
    <row r="666" ht="14.25" customHeight="1">
      <c r="A666" s="8"/>
      <c r="B666" s="9"/>
      <c r="C666" s="3">
        <v>213.0</v>
      </c>
      <c r="D666" s="58" t="s">
        <v>160</v>
      </c>
      <c r="E666" s="65"/>
      <c r="F666" s="13">
        <v>2000.0</v>
      </c>
      <c r="G666" s="13">
        <v>2000.0</v>
      </c>
      <c r="H666" s="15">
        <f t="shared" si="60"/>
        <v>0</v>
      </c>
      <c r="K666" s="16"/>
    </row>
    <row r="667" ht="14.25" customHeight="1">
      <c r="A667" s="8"/>
      <c r="B667" s="9"/>
      <c r="C667" s="3" t="s">
        <v>166</v>
      </c>
      <c r="D667" s="58" t="s">
        <v>167</v>
      </c>
      <c r="E667" s="65"/>
      <c r="F667" s="13">
        <v>3500.0</v>
      </c>
      <c r="G667" s="36">
        <v>12000.0</v>
      </c>
      <c r="H667" s="15">
        <f t="shared" si="60"/>
        <v>2.428571429</v>
      </c>
      <c r="K667" s="16"/>
    </row>
    <row r="668" ht="14.25" customHeight="1">
      <c r="A668" s="8"/>
      <c r="B668" s="9"/>
      <c r="C668" s="3" t="s">
        <v>169</v>
      </c>
      <c r="D668" s="46" t="s">
        <v>170</v>
      </c>
      <c r="E668" s="65"/>
      <c r="F668" s="13">
        <v>50.0</v>
      </c>
      <c r="G668" s="13">
        <v>50.0</v>
      </c>
      <c r="H668" s="15">
        <f t="shared" si="60"/>
        <v>0</v>
      </c>
      <c r="K668" s="16"/>
    </row>
    <row r="669" ht="14.25" customHeight="1">
      <c r="A669" s="8"/>
      <c r="B669" s="9"/>
      <c r="C669" s="3" t="s">
        <v>171</v>
      </c>
      <c r="D669" s="46" t="s">
        <v>172</v>
      </c>
      <c r="E669" s="37"/>
      <c r="F669" s="13">
        <v>500.0</v>
      </c>
      <c r="G669" s="13">
        <v>500.0</v>
      </c>
      <c r="H669" s="15">
        <f t="shared" si="60"/>
        <v>0</v>
      </c>
      <c r="K669" s="16"/>
    </row>
    <row r="670" ht="14.25" customHeight="1">
      <c r="A670" s="8"/>
      <c r="B670" s="9"/>
      <c r="C670" s="3" t="s">
        <v>173</v>
      </c>
      <c r="D670" s="58" t="s">
        <v>174</v>
      </c>
      <c r="E670" s="65"/>
      <c r="F670" s="13">
        <v>5500.0</v>
      </c>
      <c r="G670" s="36">
        <v>3000.0</v>
      </c>
      <c r="H670" s="15">
        <f t="shared" si="60"/>
        <v>-0.4545454545</v>
      </c>
      <c r="K670" s="16"/>
    </row>
    <row r="671" ht="14.25" customHeight="1">
      <c r="A671" s="8"/>
      <c r="B671" s="9"/>
      <c r="C671" s="3" t="s">
        <v>175</v>
      </c>
      <c r="D671" s="46" t="s">
        <v>176</v>
      </c>
      <c r="E671" s="37"/>
      <c r="F671" s="13">
        <v>200.0</v>
      </c>
      <c r="G671" s="13">
        <v>200.0</v>
      </c>
      <c r="H671" s="15">
        <f t="shared" si="60"/>
        <v>0</v>
      </c>
      <c r="K671" s="16"/>
    </row>
    <row r="672" ht="14.25" customHeight="1">
      <c r="A672" s="8"/>
      <c r="B672" s="9"/>
      <c r="C672" s="3" t="s">
        <v>180</v>
      </c>
      <c r="D672" s="46" t="s">
        <v>181</v>
      </c>
      <c r="E672" s="37"/>
      <c r="F672" s="13">
        <v>100.0</v>
      </c>
      <c r="G672" s="13">
        <v>100.0</v>
      </c>
      <c r="H672" s="15">
        <f t="shared" si="60"/>
        <v>0</v>
      </c>
      <c r="K672" s="16"/>
    </row>
    <row r="673" ht="14.25" customHeight="1">
      <c r="A673" s="8"/>
      <c r="B673" s="9"/>
      <c r="C673" s="3" t="s">
        <v>188</v>
      </c>
      <c r="D673" s="58" t="s">
        <v>189</v>
      </c>
      <c r="E673" s="37"/>
      <c r="F673" s="13">
        <v>100.0</v>
      </c>
      <c r="G673" s="13">
        <v>100.0</v>
      </c>
      <c r="H673" s="15">
        <f t="shared" si="60"/>
        <v>0</v>
      </c>
      <c r="K673" s="16"/>
    </row>
    <row r="674" ht="14.25" customHeight="1">
      <c r="A674" s="8"/>
      <c r="B674" s="9"/>
      <c r="C674" s="3" t="s">
        <v>190</v>
      </c>
      <c r="D674" s="58" t="s">
        <v>195</v>
      </c>
      <c r="E674" s="37"/>
      <c r="F674" s="13">
        <v>800.0</v>
      </c>
      <c r="G674" s="13">
        <v>800.0</v>
      </c>
      <c r="H674" s="15">
        <f t="shared" si="60"/>
        <v>0</v>
      </c>
      <c r="K674" s="16"/>
    </row>
    <row r="675" ht="14.25" customHeight="1">
      <c r="A675" s="8"/>
      <c r="B675" s="38">
        <v>1640.0</v>
      </c>
      <c r="E675" s="39"/>
      <c r="F675" s="40">
        <f t="shared" ref="F675:G675" si="64">SUM(F664:F674)</f>
        <v>19250</v>
      </c>
      <c r="G675" s="40">
        <f t="shared" si="64"/>
        <v>26250</v>
      </c>
      <c r="H675" s="15">
        <f t="shared" si="60"/>
        <v>0.3636363636</v>
      </c>
      <c r="K675" s="16"/>
    </row>
    <row r="676" ht="14.25" customHeight="1">
      <c r="A676" s="8"/>
      <c r="B676" s="9"/>
      <c r="C676" s="11"/>
      <c r="D676" s="12"/>
      <c r="E676" s="8"/>
      <c r="F676" s="13"/>
      <c r="G676" s="13"/>
      <c r="H676" s="15" t="str">
        <f t="shared" si="60"/>
        <v/>
      </c>
      <c r="K676" s="16"/>
    </row>
    <row r="677" ht="14.25" customHeight="1">
      <c r="A677" s="8"/>
      <c r="B677" s="51">
        <v>1650.0</v>
      </c>
      <c r="C677" s="52"/>
      <c r="D677" s="53" t="s">
        <v>97</v>
      </c>
      <c r="E677" s="54"/>
      <c r="F677" s="53">
        <v>2023.0</v>
      </c>
      <c r="G677" s="55">
        <v>2024.0</v>
      </c>
      <c r="H677" s="15">
        <f t="shared" si="60"/>
        <v>0.0004943153732</v>
      </c>
      <c r="K677" s="16"/>
    </row>
    <row r="678" ht="14.25" customHeight="1">
      <c r="A678" s="8"/>
      <c r="B678" s="9"/>
      <c r="C678" s="3">
        <v>204.0</v>
      </c>
      <c r="D678" s="46" t="s">
        <v>209</v>
      </c>
      <c r="E678" s="37"/>
      <c r="F678" s="13">
        <v>1000.0</v>
      </c>
      <c r="G678" s="36">
        <v>500.0</v>
      </c>
      <c r="H678" s="15">
        <f t="shared" si="60"/>
        <v>-0.5</v>
      </c>
      <c r="K678" s="16"/>
    </row>
    <row r="679" ht="14.25" customHeight="1">
      <c r="A679" s="8"/>
      <c r="B679" s="9"/>
      <c r="C679" s="3">
        <v>210.0</v>
      </c>
      <c r="D679" s="58" t="s">
        <v>220</v>
      </c>
      <c r="E679" s="65"/>
      <c r="F679" s="13">
        <v>5000.0</v>
      </c>
      <c r="G679" s="36">
        <v>10000.0</v>
      </c>
      <c r="H679" s="15">
        <f t="shared" si="60"/>
        <v>1</v>
      </c>
      <c r="K679" s="16"/>
    </row>
    <row r="680" ht="14.25" customHeight="1">
      <c r="A680" s="8"/>
      <c r="B680" s="9"/>
      <c r="C680" s="3">
        <v>212.0</v>
      </c>
      <c r="D680" s="58" t="s">
        <v>159</v>
      </c>
      <c r="E680" s="65"/>
      <c r="F680" s="13">
        <v>800.0</v>
      </c>
      <c r="G680" s="36">
        <v>0.0</v>
      </c>
      <c r="H680" s="15">
        <f t="shared" si="60"/>
        <v>-1</v>
      </c>
      <c r="K680" s="16"/>
    </row>
    <row r="681" ht="14.25" customHeight="1">
      <c r="A681" s="8"/>
      <c r="B681" s="9"/>
      <c r="C681" s="3">
        <v>213.0</v>
      </c>
      <c r="D681" s="58" t="s">
        <v>160</v>
      </c>
      <c r="E681" s="65"/>
      <c r="F681" s="13">
        <v>3000.0</v>
      </c>
      <c r="G681" s="13">
        <v>3000.0</v>
      </c>
      <c r="H681" s="15">
        <f t="shared" si="60"/>
        <v>0</v>
      </c>
      <c r="K681" s="16"/>
    </row>
    <row r="682" ht="14.25" customHeight="1">
      <c r="A682" s="8"/>
      <c r="B682" s="9"/>
      <c r="C682" s="3">
        <v>214.0</v>
      </c>
      <c r="D682" s="58" t="s">
        <v>161</v>
      </c>
      <c r="E682" s="65"/>
      <c r="F682" s="13">
        <v>10000.0</v>
      </c>
      <c r="G682" s="36">
        <v>8000.0</v>
      </c>
      <c r="H682" s="15">
        <f t="shared" si="60"/>
        <v>-0.2</v>
      </c>
      <c r="K682" s="16"/>
    </row>
    <row r="683" ht="14.25" customHeight="1">
      <c r="A683" s="8"/>
      <c r="B683" s="9"/>
      <c r="C683" s="3" t="s">
        <v>164</v>
      </c>
      <c r="D683" s="58" t="s">
        <v>165</v>
      </c>
      <c r="E683" s="65"/>
      <c r="F683" s="13">
        <v>400.0</v>
      </c>
      <c r="G683" s="36">
        <v>500.0</v>
      </c>
      <c r="H683" s="15">
        <f t="shared" si="60"/>
        <v>0.25</v>
      </c>
      <c r="K683" s="16"/>
    </row>
    <row r="684" ht="14.25" customHeight="1">
      <c r="A684" s="8"/>
      <c r="B684" s="9"/>
      <c r="C684" s="3" t="s">
        <v>228</v>
      </c>
      <c r="D684" s="58" t="s">
        <v>229</v>
      </c>
      <c r="E684" s="65"/>
      <c r="F684" s="13">
        <v>500.0</v>
      </c>
      <c r="G684" s="13">
        <v>500.0</v>
      </c>
      <c r="H684" s="15">
        <f t="shared" si="60"/>
        <v>0</v>
      </c>
      <c r="K684" s="16"/>
    </row>
    <row r="685" ht="14.25" customHeight="1">
      <c r="A685" s="8"/>
      <c r="B685" s="9"/>
      <c r="C685" s="3" t="s">
        <v>166</v>
      </c>
      <c r="D685" s="58" t="s">
        <v>167</v>
      </c>
      <c r="E685" s="65"/>
      <c r="F685" s="13">
        <v>360000.0</v>
      </c>
      <c r="G685" s="36">
        <v>360000.0</v>
      </c>
      <c r="H685" s="15">
        <f t="shared" si="60"/>
        <v>0</v>
      </c>
      <c r="K685" s="16"/>
    </row>
    <row r="686" ht="14.25" customHeight="1">
      <c r="A686" s="8"/>
      <c r="B686" s="9"/>
      <c r="C686" s="3" t="s">
        <v>169</v>
      </c>
      <c r="D686" s="46" t="s">
        <v>170</v>
      </c>
      <c r="E686" s="37"/>
      <c r="F686" s="13">
        <v>3500.0</v>
      </c>
      <c r="G686" s="13">
        <v>3500.0</v>
      </c>
      <c r="H686" s="15">
        <f t="shared" si="60"/>
        <v>0</v>
      </c>
      <c r="K686" s="16"/>
    </row>
    <row r="687" ht="14.25" customHeight="1">
      <c r="A687" s="8"/>
      <c r="B687" s="9"/>
      <c r="C687" s="3" t="s">
        <v>171</v>
      </c>
      <c r="D687" s="58" t="s">
        <v>172</v>
      </c>
      <c r="E687" s="65"/>
      <c r="F687" s="13">
        <v>3100.0</v>
      </c>
      <c r="G687" s="36">
        <v>2000.0</v>
      </c>
      <c r="H687" s="15">
        <f t="shared" si="60"/>
        <v>-0.3548387097</v>
      </c>
      <c r="K687" s="16"/>
    </row>
    <row r="688" ht="14.25" customHeight="1">
      <c r="A688" s="8"/>
      <c r="B688" s="9"/>
      <c r="C688" s="96" t="s">
        <v>230</v>
      </c>
      <c r="D688" s="109" t="s">
        <v>231</v>
      </c>
      <c r="E688" s="37"/>
      <c r="F688" s="36">
        <v>0.0</v>
      </c>
      <c r="G688" s="36">
        <v>15000.0</v>
      </c>
      <c r="H688" s="15" t="str">
        <f t="shared" si="60"/>
        <v/>
      </c>
      <c r="K688" s="16"/>
    </row>
    <row r="689" ht="14.25" customHeight="1">
      <c r="A689" s="8"/>
      <c r="B689" s="9"/>
      <c r="C689" s="3" t="s">
        <v>173</v>
      </c>
      <c r="D689" s="46" t="s">
        <v>232</v>
      </c>
      <c r="E689" s="37"/>
      <c r="F689" s="13">
        <v>58000.0</v>
      </c>
      <c r="G689" s="36">
        <v>40000.0</v>
      </c>
      <c r="H689" s="15">
        <f t="shared" si="60"/>
        <v>-0.3103448276</v>
      </c>
      <c r="K689" s="16"/>
    </row>
    <row r="690" ht="14.25" customHeight="1">
      <c r="A690" s="8"/>
      <c r="B690" s="9"/>
      <c r="C690" s="3" t="s">
        <v>175</v>
      </c>
      <c r="D690" s="58" t="s">
        <v>176</v>
      </c>
      <c r="E690" s="65"/>
      <c r="F690" s="13">
        <v>1000.0</v>
      </c>
      <c r="G690" s="13">
        <v>1000.0</v>
      </c>
      <c r="H690" s="15">
        <f t="shared" si="60"/>
        <v>0</v>
      </c>
      <c r="K690" s="16"/>
    </row>
    <row r="691" ht="14.25" customHeight="1">
      <c r="A691" s="8"/>
      <c r="B691" s="9"/>
      <c r="C691" s="3">
        <v>224.0</v>
      </c>
      <c r="D691" s="46" t="s">
        <v>179</v>
      </c>
      <c r="E691" s="37"/>
      <c r="F691" s="13">
        <v>3500.0</v>
      </c>
      <c r="G691" s="13">
        <v>3500.0</v>
      </c>
      <c r="H691" s="15">
        <f t="shared" si="60"/>
        <v>0</v>
      </c>
      <c r="K691" s="16"/>
    </row>
    <row r="692" ht="14.25" customHeight="1">
      <c r="A692" s="8"/>
      <c r="B692" s="9"/>
      <c r="C692" s="3" t="s">
        <v>180</v>
      </c>
      <c r="D692" s="46" t="s">
        <v>181</v>
      </c>
      <c r="E692" s="37"/>
      <c r="F692" s="13">
        <v>200.0</v>
      </c>
      <c r="G692" s="13">
        <v>200.0</v>
      </c>
      <c r="H692" s="15">
        <f t="shared" si="60"/>
        <v>0</v>
      </c>
      <c r="K692" s="16"/>
    </row>
    <row r="693" ht="14.25" customHeight="1">
      <c r="A693" s="8"/>
      <c r="B693" s="9"/>
      <c r="C693" s="3" t="s">
        <v>188</v>
      </c>
      <c r="D693" s="58" t="s">
        <v>189</v>
      </c>
      <c r="E693" s="65"/>
      <c r="F693" s="13">
        <v>700.0</v>
      </c>
      <c r="G693" s="13">
        <v>700.0</v>
      </c>
      <c r="H693" s="15">
        <f t="shared" si="60"/>
        <v>0</v>
      </c>
      <c r="K693" s="16"/>
    </row>
    <row r="694" ht="14.25" customHeight="1">
      <c r="A694" s="8"/>
      <c r="B694" s="9"/>
      <c r="C694" s="96" t="s">
        <v>203</v>
      </c>
      <c r="D694" s="97" t="s">
        <v>204</v>
      </c>
      <c r="E694" s="65"/>
      <c r="F694" s="36">
        <v>0.0</v>
      </c>
      <c r="G694" s="36">
        <v>20000.0</v>
      </c>
      <c r="H694" s="15"/>
      <c r="K694" s="16"/>
    </row>
    <row r="695" ht="14.25" customHeight="1">
      <c r="A695" s="8"/>
      <c r="B695" s="9"/>
      <c r="C695" s="3" t="s">
        <v>190</v>
      </c>
      <c r="D695" s="58" t="s">
        <v>191</v>
      </c>
      <c r="E695" s="65"/>
      <c r="F695" s="13">
        <v>1000.0</v>
      </c>
      <c r="G695" s="36">
        <v>12000.0</v>
      </c>
      <c r="H695" s="15">
        <f t="shared" ref="H695:H696" si="66">IFERROR(((G695-F695)/F695), "")</f>
        <v>11</v>
      </c>
      <c r="K695" s="16"/>
    </row>
    <row r="696" ht="14.25" customHeight="1">
      <c r="A696" s="8"/>
      <c r="B696" s="38">
        <v>1650.0</v>
      </c>
      <c r="E696" s="39"/>
      <c r="F696" s="40">
        <f t="shared" ref="F696:G696" si="65">SUM(F678:F695)</f>
        <v>451700</v>
      </c>
      <c r="G696" s="40">
        <f t="shared" si="65"/>
        <v>480400</v>
      </c>
      <c r="H696" s="15">
        <f t="shared" si="66"/>
        <v>0.06353774629</v>
      </c>
      <c r="K696" s="16"/>
    </row>
    <row r="697" ht="14.25" customHeight="1">
      <c r="A697" s="8"/>
      <c r="B697" s="9"/>
      <c r="C697" s="11"/>
      <c r="D697" s="12"/>
      <c r="E697" s="8"/>
      <c r="F697" s="13"/>
      <c r="G697" s="13"/>
      <c r="H697" s="15"/>
      <c r="K697" s="16"/>
    </row>
    <row r="698" ht="14.25" customHeight="1">
      <c r="A698" s="8"/>
      <c r="B698" s="51">
        <v>1700.0</v>
      </c>
      <c r="C698" s="52"/>
      <c r="D698" s="53" t="s">
        <v>233</v>
      </c>
      <c r="E698" s="54"/>
      <c r="F698" s="53">
        <v>2023.0</v>
      </c>
      <c r="G698" s="55">
        <v>2024.0</v>
      </c>
      <c r="H698" s="15"/>
      <c r="K698" s="16"/>
    </row>
    <row r="699" ht="14.25" customHeight="1">
      <c r="A699" s="8"/>
      <c r="B699" s="9"/>
      <c r="C699" s="3">
        <v>203.0</v>
      </c>
      <c r="D699" s="46" t="s">
        <v>215</v>
      </c>
      <c r="E699" s="37"/>
      <c r="F699" s="13">
        <v>1000.0</v>
      </c>
      <c r="G699" s="13">
        <v>1000.0</v>
      </c>
      <c r="H699" s="15">
        <f t="shared" ref="H699:H701" si="67">IFERROR(((G699-F699)/F699), "")</f>
        <v>0</v>
      </c>
      <c r="K699" s="16"/>
    </row>
    <row r="700" ht="14.25" customHeight="1">
      <c r="A700" s="8"/>
      <c r="B700" s="9"/>
      <c r="C700" s="3">
        <v>210.0</v>
      </c>
      <c r="D700" s="58" t="s">
        <v>220</v>
      </c>
      <c r="E700" s="65"/>
      <c r="F700" s="13">
        <v>1000.0</v>
      </c>
      <c r="G700" s="13">
        <v>1000.0</v>
      </c>
      <c r="H700" s="15">
        <f t="shared" si="67"/>
        <v>0</v>
      </c>
      <c r="K700" s="16"/>
    </row>
    <row r="701" ht="14.25" customHeight="1">
      <c r="A701" s="8"/>
      <c r="B701" s="9"/>
      <c r="C701" s="3">
        <v>212.0</v>
      </c>
      <c r="D701" s="58" t="s">
        <v>159</v>
      </c>
      <c r="E701" s="65"/>
      <c r="F701" s="13">
        <v>2150.0</v>
      </c>
      <c r="G701" s="13">
        <v>2150.0</v>
      </c>
      <c r="H701" s="15">
        <f t="shared" si="67"/>
        <v>0</v>
      </c>
      <c r="K701" s="16"/>
    </row>
    <row r="702" ht="14.25" customHeight="1">
      <c r="A702" s="8"/>
      <c r="B702" s="9"/>
      <c r="C702" s="96">
        <v>213.0</v>
      </c>
      <c r="D702" s="58" t="s">
        <v>160</v>
      </c>
      <c r="E702" s="65"/>
      <c r="F702" s="13"/>
      <c r="G702" s="36">
        <v>1300.0</v>
      </c>
      <c r="H702" s="15"/>
      <c r="K702" s="16"/>
    </row>
    <row r="703" ht="14.25" customHeight="1">
      <c r="A703" s="8"/>
      <c r="B703" s="9"/>
      <c r="C703" s="3" t="s">
        <v>164</v>
      </c>
      <c r="D703" s="58" t="s">
        <v>165</v>
      </c>
      <c r="E703" s="65"/>
      <c r="F703" s="13">
        <v>1800.0</v>
      </c>
      <c r="G703" s="13">
        <v>1800.0</v>
      </c>
      <c r="H703" s="15">
        <f t="shared" ref="H703:H705" si="68">IFERROR(((G703-F703)/F703), "")</f>
        <v>0</v>
      </c>
      <c r="K703" s="16"/>
    </row>
    <row r="704" ht="14.25" customHeight="1">
      <c r="A704" s="8"/>
      <c r="B704" s="9"/>
      <c r="C704" s="3" t="s">
        <v>166</v>
      </c>
      <c r="D704" s="58" t="s">
        <v>234</v>
      </c>
      <c r="E704" s="65"/>
      <c r="F704" s="13">
        <v>5000.0</v>
      </c>
      <c r="G704" s="13">
        <v>5000.0</v>
      </c>
      <c r="H704" s="15">
        <f t="shared" si="68"/>
        <v>0</v>
      </c>
      <c r="K704" s="16"/>
    </row>
    <row r="705" ht="14.25" customHeight="1">
      <c r="A705" s="8"/>
      <c r="B705" s="9"/>
      <c r="C705" s="3" t="s">
        <v>169</v>
      </c>
      <c r="D705" s="58" t="s">
        <v>170</v>
      </c>
      <c r="E705" s="65"/>
      <c r="F705" s="13">
        <v>1000.0</v>
      </c>
      <c r="G705" s="13">
        <v>1000.0</v>
      </c>
      <c r="H705" s="15">
        <f t="shared" si="68"/>
        <v>0</v>
      </c>
      <c r="K705" s="16"/>
    </row>
    <row r="706" ht="14.25" customHeight="1">
      <c r="A706" s="8"/>
      <c r="B706" s="9"/>
      <c r="C706" s="96" t="s">
        <v>171</v>
      </c>
      <c r="D706" s="58" t="s">
        <v>172</v>
      </c>
      <c r="E706" s="65"/>
      <c r="F706" s="13"/>
      <c r="G706" s="36">
        <v>2200.0</v>
      </c>
      <c r="H706" s="15"/>
      <c r="K706" s="16"/>
    </row>
    <row r="707" ht="14.25" customHeight="1">
      <c r="A707" s="8"/>
      <c r="B707" s="9"/>
      <c r="C707" s="3" t="s">
        <v>173</v>
      </c>
      <c r="D707" s="58" t="s">
        <v>174</v>
      </c>
      <c r="E707" s="65"/>
      <c r="F707" s="13">
        <v>1000.0</v>
      </c>
      <c r="G707" s="13">
        <v>1000.0</v>
      </c>
      <c r="H707" s="15">
        <f t="shared" ref="H707:H812" si="69">IFERROR(((G707-F707)/F707), "")</f>
        <v>0</v>
      </c>
      <c r="K707" s="16"/>
    </row>
    <row r="708" ht="14.25" customHeight="1">
      <c r="A708" s="8"/>
      <c r="B708" s="9"/>
      <c r="C708" s="3" t="s">
        <v>175</v>
      </c>
      <c r="D708" s="58" t="s">
        <v>176</v>
      </c>
      <c r="E708" s="65"/>
      <c r="F708" s="13">
        <v>1000.0</v>
      </c>
      <c r="G708" s="13">
        <v>1000.0</v>
      </c>
      <c r="H708" s="15">
        <f t="shared" si="69"/>
        <v>0</v>
      </c>
      <c r="K708" s="16"/>
    </row>
    <row r="709" ht="14.25" customHeight="1">
      <c r="A709" s="8"/>
      <c r="B709" s="9"/>
      <c r="C709" s="3" t="s">
        <v>180</v>
      </c>
      <c r="D709" s="46" t="s">
        <v>181</v>
      </c>
      <c r="E709" s="65"/>
      <c r="F709" s="13">
        <v>900.0</v>
      </c>
      <c r="G709" s="13">
        <v>900.0</v>
      </c>
      <c r="H709" s="15">
        <f t="shared" si="69"/>
        <v>0</v>
      </c>
      <c r="K709" s="16"/>
    </row>
    <row r="710" ht="14.25" customHeight="1">
      <c r="A710" s="8"/>
      <c r="B710" s="9"/>
      <c r="C710" s="3" t="s">
        <v>184</v>
      </c>
      <c r="D710" s="58" t="s">
        <v>185</v>
      </c>
      <c r="E710" s="65"/>
      <c r="F710" s="13">
        <v>8500.0</v>
      </c>
      <c r="G710" s="13">
        <v>8500.0</v>
      </c>
      <c r="H710" s="15">
        <f t="shared" si="69"/>
        <v>0</v>
      </c>
      <c r="K710" s="16"/>
    </row>
    <row r="711" ht="14.25" customHeight="1">
      <c r="A711" s="8"/>
      <c r="B711" s="9"/>
      <c r="C711" s="3" t="s">
        <v>188</v>
      </c>
      <c r="D711" s="58" t="s">
        <v>189</v>
      </c>
      <c r="E711" s="65"/>
      <c r="F711" s="13">
        <v>1000.0</v>
      </c>
      <c r="G711" s="36">
        <v>50000.0</v>
      </c>
      <c r="H711" s="15">
        <f t="shared" si="69"/>
        <v>49</v>
      </c>
      <c r="K711" s="16"/>
    </row>
    <row r="712" ht="14.25" customHeight="1">
      <c r="A712" s="8"/>
      <c r="B712" s="9"/>
      <c r="C712" s="3" t="s">
        <v>190</v>
      </c>
      <c r="D712" s="58" t="s">
        <v>191</v>
      </c>
      <c r="E712" s="8"/>
      <c r="F712" s="13">
        <v>0.0</v>
      </c>
      <c r="G712" s="36">
        <v>10000.0</v>
      </c>
      <c r="H712" s="15" t="str">
        <f t="shared" si="69"/>
        <v/>
      </c>
      <c r="K712" s="16"/>
    </row>
    <row r="713" ht="14.25" customHeight="1">
      <c r="A713" s="8"/>
      <c r="B713" s="9"/>
      <c r="C713" s="3" t="s">
        <v>192</v>
      </c>
      <c r="D713" s="58" t="s">
        <v>193</v>
      </c>
      <c r="E713" s="65"/>
      <c r="F713" s="13">
        <v>100.0</v>
      </c>
      <c r="G713" s="13">
        <v>100.0</v>
      </c>
      <c r="H713" s="15">
        <f t="shared" si="69"/>
        <v>0</v>
      </c>
      <c r="K713" s="16"/>
    </row>
    <row r="714" ht="14.25" customHeight="1">
      <c r="A714" s="8"/>
      <c r="B714" s="38">
        <v>1700.0</v>
      </c>
      <c r="E714" s="39"/>
      <c r="F714" s="40">
        <f t="shared" ref="F714:G714" si="70">SUM(F699:F713)</f>
        <v>24450</v>
      </c>
      <c r="G714" s="40">
        <f t="shared" si="70"/>
        <v>86950</v>
      </c>
      <c r="H714" s="15">
        <f t="shared" si="69"/>
        <v>2.556237219</v>
      </c>
      <c r="K714" s="16"/>
    </row>
    <row r="715" ht="14.25" customHeight="1">
      <c r="A715" s="8"/>
      <c r="B715" s="38"/>
      <c r="C715" s="12"/>
      <c r="D715" s="12"/>
      <c r="E715" s="70"/>
      <c r="F715" s="49"/>
      <c r="G715" s="49"/>
      <c r="H715" s="15" t="str">
        <f t="shared" si="69"/>
        <v/>
      </c>
      <c r="K715" s="16"/>
    </row>
    <row r="716" ht="14.25" customHeight="1">
      <c r="A716" s="8"/>
      <c r="B716" s="51">
        <v>1710.0</v>
      </c>
      <c r="C716" s="52"/>
      <c r="D716" s="53" t="s">
        <v>99</v>
      </c>
      <c r="E716" s="54"/>
      <c r="F716" s="53">
        <v>2023.0</v>
      </c>
      <c r="G716" s="55">
        <v>2024.0</v>
      </c>
      <c r="H716" s="15">
        <f t="shared" si="69"/>
        <v>0.0004943153732</v>
      </c>
      <c r="K716" s="16"/>
    </row>
    <row r="717" ht="14.25" customHeight="1">
      <c r="A717" s="8"/>
      <c r="B717" s="9"/>
      <c r="C717" s="3">
        <v>203.0</v>
      </c>
      <c r="D717" s="46" t="s">
        <v>215</v>
      </c>
      <c r="E717" s="37"/>
      <c r="F717" s="13">
        <v>1000.0</v>
      </c>
      <c r="G717" s="13">
        <v>1000.0</v>
      </c>
      <c r="H717" s="15">
        <f t="shared" si="69"/>
        <v>0</v>
      </c>
      <c r="K717" s="16"/>
    </row>
    <row r="718" ht="14.25" customHeight="1">
      <c r="A718" s="8"/>
      <c r="B718" s="9"/>
      <c r="C718" s="3" t="s">
        <v>166</v>
      </c>
      <c r="D718" s="58" t="s">
        <v>234</v>
      </c>
      <c r="E718" s="65"/>
      <c r="F718" s="13">
        <v>21000.0</v>
      </c>
      <c r="G718" s="13">
        <v>21000.0</v>
      </c>
      <c r="H718" s="15">
        <f t="shared" si="69"/>
        <v>0</v>
      </c>
      <c r="K718" s="16"/>
    </row>
    <row r="719" ht="14.25" customHeight="1">
      <c r="A719" s="8"/>
      <c r="B719" s="9"/>
      <c r="C719" s="3" t="s">
        <v>235</v>
      </c>
      <c r="D719" s="58" t="s">
        <v>236</v>
      </c>
      <c r="E719" s="65"/>
      <c r="F719" s="13">
        <v>40000.0</v>
      </c>
      <c r="G719" s="36">
        <v>40000.0</v>
      </c>
      <c r="H719" s="15">
        <f t="shared" si="69"/>
        <v>0</v>
      </c>
      <c r="K719" s="16"/>
    </row>
    <row r="720" ht="14.25" customHeight="1">
      <c r="A720" s="8"/>
      <c r="B720" s="9"/>
      <c r="C720" s="3" t="s">
        <v>190</v>
      </c>
      <c r="D720" s="58" t="s">
        <v>191</v>
      </c>
      <c r="E720" s="65"/>
      <c r="F720" s="13">
        <v>1450000.0</v>
      </c>
      <c r="G720" s="36">
        <v>1500000.0</v>
      </c>
      <c r="H720" s="15">
        <f t="shared" si="69"/>
        <v>0.03448275862</v>
      </c>
      <c r="I720" s="5" t="s">
        <v>237</v>
      </c>
      <c r="K720" s="16"/>
    </row>
    <row r="721" ht="14.25" customHeight="1">
      <c r="A721" s="8"/>
      <c r="B721" s="38">
        <v>1710.0</v>
      </c>
      <c r="E721" s="39"/>
      <c r="F721" s="40">
        <f t="shared" ref="F721:G721" si="71">SUM(F717:F720)</f>
        <v>1512000</v>
      </c>
      <c r="G721" s="40">
        <f t="shared" si="71"/>
        <v>1562000</v>
      </c>
      <c r="H721" s="15">
        <f t="shared" si="69"/>
        <v>0.03306878307</v>
      </c>
      <c r="K721" s="16"/>
    </row>
    <row r="722" ht="14.25" customHeight="1">
      <c r="A722" s="8"/>
      <c r="B722" s="9"/>
      <c r="C722" s="11"/>
      <c r="D722" s="12"/>
      <c r="E722" s="8"/>
      <c r="F722" s="13"/>
      <c r="G722" s="13"/>
      <c r="H722" s="15" t="str">
        <f t="shared" si="69"/>
        <v/>
      </c>
      <c r="K722" s="16"/>
    </row>
    <row r="723" ht="14.25" customHeight="1">
      <c r="A723" s="8"/>
      <c r="B723" s="51">
        <v>1721.0</v>
      </c>
      <c r="C723" s="52"/>
      <c r="D723" s="53" t="s">
        <v>238</v>
      </c>
      <c r="E723" s="54"/>
      <c r="F723" s="53">
        <v>2023.0</v>
      </c>
      <c r="G723" s="55">
        <v>2024.0</v>
      </c>
      <c r="H723" s="15">
        <f t="shared" si="69"/>
        <v>0.0004943153732</v>
      </c>
      <c r="K723" s="16"/>
    </row>
    <row r="724" ht="14.25" customHeight="1">
      <c r="A724" s="8"/>
      <c r="B724" s="9"/>
      <c r="C724" s="3" t="s">
        <v>203</v>
      </c>
      <c r="D724" s="58" t="s">
        <v>239</v>
      </c>
      <c r="E724" s="8"/>
      <c r="F724" s="13">
        <v>64500.0</v>
      </c>
      <c r="G724" s="36">
        <v>33100.0</v>
      </c>
      <c r="H724" s="15">
        <f t="shared" si="69"/>
        <v>-0.4868217054</v>
      </c>
      <c r="K724" s="16"/>
    </row>
    <row r="725" ht="14.25" customHeight="1">
      <c r="A725" s="8"/>
      <c r="B725" s="38">
        <v>1721.0</v>
      </c>
      <c r="E725" s="39"/>
      <c r="F725" s="40">
        <f t="shared" ref="F725:G725" si="72">SUM(F724)</f>
        <v>64500</v>
      </c>
      <c r="G725" s="40">
        <f t="shared" si="72"/>
        <v>33100</v>
      </c>
      <c r="H725" s="15">
        <f t="shared" si="69"/>
        <v>-0.4868217054</v>
      </c>
      <c r="K725" s="16"/>
    </row>
    <row r="726" ht="14.25" customHeight="1">
      <c r="A726" s="8"/>
      <c r="B726" s="9"/>
      <c r="C726" s="11"/>
      <c r="D726" s="12"/>
      <c r="E726" s="8"/>
      <c r="F726" s="13"/>
      <c r="G726" s="13"/>
      <c r="H726" s="15" t="str">
        <f t="shared" si="69"/>
        <v/>
      </c>
      <c r="K726" s="16"/>
    </row>
    <row r="727" ht="14.25" customHeight="1">
      <c r="A727" s="8"/>
      <c r="B727" s="51">
        <v>2310.0</v>
      </c>
      <c r="C727" s="52"/>
      <c r="D727" s="53" t="s">
        <v>113</v>
      </c>
      <c r="E727" s="54"/>
      <c r="F727" s="53">
        <v>2023.0</v>
      </c>
      <c r="G727" s="55">
        <v>2024.0</v>
      </c>
      <c r="H727" s="15">
        <f t="shared" si="69"/>
        <v>0.0004943153732</v>
      </c>
      <c r="K727" s="16"/>
    </row>
    <row r="728" ht="14.25" customHeight="1">
      <c r="A728" s="8"/>
      <c r="B728" s="9"/>
      <c r="C728" s="3">
        <v>203.0</v>
      </c>
      <c r="D728" s="46" t="s">
        <v>215</v>
      </c>
      <c r="E728" s="65"/>
      <c r="F728" s="13">
        <v>500.0</v>
      </c>
      <c r="G728" s="13">
        <v>500.0</v>
      </c>
      <c r="H728" s="15">
        <f t="shared" si="69"/>
        <v>0</v>
      </c>
      <c r="K728" s="16"/>
    </row>
    <row r="729" ht="14.25" customHeight="1">
      <c r="A729" s="8"/>
      <c r="B729" s="9"/>
      <c r="C729" s="3">
        <v>212.0</v>
      </c>
      <c r="D729" s="58" t="s">
        <v>159</v>
      </c>
      <c r="E729" s="65"/>
      <c r="F729" s="13">
        <v>53300.0</v>
      </c>
      <c r="G729" s="36">
        <v>72000.0</v>
      </c>
      <c r="H729" s="15">
        <f t="shared" si="69"/>
        <v>0.3508442777</v>
      </c>
      <c r="K729" s="16"/>
    </row>
    <row r="730" ht="14.25" customHeight="1">
      <c r="A730" s="8"/>
      <c r="B730" s="9"/>
      <c r="C730" s="3">
        <v>213.0</v>
      </c>
      <c r="D730" s="58" t="s">
        <v>160</v>
      </c>
      <c r="E730" s="65"/>
      <c r="F730" s="13">
        <v>500.0</v>
      </c>
      <c r="G730" s="13">
        <v>500.0</v>
      </c>
      <c r="H730" s="15">
        <f t="shared" si="69"/>
        <v>0</v>
      </c>
      <c r="K730" s="16"/>
    </row>
    <row r="731" ht="14.25" customHeight="1">
      <c r="A731" s="8"/>
      <c r="B731" s="9"/>
      <c r="C731" s="3">
        <v>215.0</v>
      </c>
      <c r="D731" s="58" t="s">
        <v>162</v>
      </c>
      <c r="E731" s="65"/>
      <c r="F731" s="13">
        <v>500.0</v>
      </c>
      <c r="G731" s="13">
        <v>500.0</v>
      </c>
      <c r="H731" s="15">
        <f t="shared" si="69"/>
        <v>0</v>
      </c>
      <c r="K731" s="16"/>
    </row>
    <row r="732" ht="14.25" customHeight="1">
      <c r="A732" s="8"/>
      <c r="B732" s="9"/>
      <c r="C732" s="3" t="s">
        <v>164</v>
      </c>
      <c r="D732" s="58" t="s">
        <v>165</v>
      </c>
      <c r="E732" s="65"/>
      <c r="F732" s="13">
        <v>5000.0</v>
      </c>
      <c r="G732" s="13">
        <v>5000.0</v>
      </c>
      <c r="H732" s="15">
        <f t="shared" si="69"/>
        <v>0</v>
      </c>
      <c r="K732" s="16"/>
    </row>
    <row r="733" ht="14.25" customHeight="1">
      <c r="A733" s="8"/>
      <c r="B733" s="9"/>
      <c r="C733" s="3" t="s">
        <v>200</v>
      </c>
      <c r="D733" s="58" t="s">
        <v>201</v>
      </c>
      <c r="E733" s="65"/>
      <c r="F733" s="13">
        <v>1000.0</v>
      </c>
      <c r="G733" s="13">
        <v>1000.0</v>
      </c>
      <c r="H733" s="15">
        <f t="shared" si="69"/>
        <v>0</v>
      </c>
      <c r="K733" s="16"/>
    </row>
    <row r="734" ht="14.25" customHeight="1">
      <c r="A734" s="8"/>
      <c r="B734" s="9"/>
      <c r="C734" s="3" t="s">
        <v>228</v>
      </c>
      <c r="D734" s="58" t="s">
        <v>229</v>
      </c>
      <c r="E734" s="8"/>
      <c r="F734" s="13">
        <v>500.0</v>
      </c>
      <c r="G734" s="13">
        <v>500.0</v>
      </c>
      <c r="H734" s="15">
        <f t="shared" si="69"/>
        <v>0</v>
      </c>
      <c r="K734" s="16"/>
    </row>
    <row r="735" ht="14.25" customHeight="1">
      <c r="A735" s="8"/>
      <c r="B735" s="9"/>
      <c r="C735" s="3" t="s">
        <v>166</v>
      </c>
      <c r="D735" s="58" t="s">
        <v>198</v>
      </c>
      <c r="E735" s="65"/>
      <c r="F735" s="13">
        <v>12000.0</v>
      </c>
      <c r="G735" s="13">
        <v>12000.0</v>
      </c>
      <c r="H735" s="15">
        <f t="shared" si="69"/>
        <v>0</v>
      </c>
      <c r="K735" s="16"/>
    </row>
    <row r="736" ht="14.25" customHeight="1">
      <c r="A736" s="8"/>
      <c r="B736" s="9"/>
      <c r="C736" s="3" t="s">
        <v>4</v>
      </c>
      <c r="D736" s="58" t="s">
        <v>168</v>
      </c>
      <c r="E736" s="65"/>
      <c r="F736" s="13">
        <v>40000.0</v>
      </c>
      <c r="G736" s="13">
        <v>40000.0</v>
      </c>
      <c r="H736" s="15">
        <f t="shared" si="69"/>
        <v>0</v>
      </c>
      <c r="K736" s="16"/>
    </row>
    <row r="737" ht="14.25" customHeight="1">
      <c r="A737" s="8"/>
      <c r="B737" s="9"/>
      <c r="C737" s="3" t="s">
        <v>173</v>
      </c>
      <c r="D737" s="58" t="s">
        <v>174</v>
      </c>
      <c r="E737" s="65"/>
      <c r="F737" s="13">
        <v>3500.0</v>
      </c>
      <c r="G737" s="13">
        <v>3500.0</v>
      </c>
      <c r="H737" s="15">
        <f t="shared" si="69"/>
        <v>0</v>
      </c>
      <c r="K737" s="16"/>
    </row>
    <row r="738" ht="14.25" customHeight="1">
      <c r="A738" s="8"/>
      <c r="B738" s="9"/>
      <c r="C738" s="3" t="s">
        <v>175</v>
      </c>
      <c r="D738" s="58" t="s">
        <v>176</v>
      </c>
      <c r="E738" s="65"/>
      <c r="F738" s="13">
        <v>8000.0</v>
      </c>
      <c r="G738" s="13">
        <v>8000.0</v>
      </c>
      <c r="H738" s="15">
        <f t="shared" si="69"/>
        <v>0</v>
      </c>
      <c r="K738" s="16"/>
    </row>
    <row r="739" ht="14.25" customHeight="1">
      <c r="A739" s="8"/>
      <c r="B739" s="9"/>
      <c r="C739" s="3" t="s">
        <v>180</v>
      </c>
      <c r="D739" s="46" t="s">
        <v>181</v>
      </c>
      <c r="E739" s="65"/>
      <c r="F739" s="13">
        <v>200.0</v>
      </c>
      <c r="G739" s="13">
        <v>200.0</v>
      </c>
      <c r="H739" s="15">
        <f t="shared" si="69"/>
        <v>0</v>
      </c>
      <c r="K739" s="16"/>
    </row>
    <row r="740" ht="14.25" customHeight="1">
      <c r="A740" s="8"/>
      <c r="B740" s="9"/>
      <c r="C740" s="3" t="s">
        <v>184</v>
      </c>
      <c r="D740" s="58" t="s">
        <v>185</v>
      </c>
      <c r="E740" s="65"/>
      <c r="F740" s="13">
        <v>5000.0</v>
      </c>
      <c r="G740" s="13">
        <v>5000.0</v>
      </c>
      <c r="H740" s="15">
        <f t="shared" si="69"/>
        <v>0</v>
      </c>
      <c r="K740" s="16"/>
    </row>
    <row r="741" ht="14.25" customHeight="1">
      <c r="A741" s="8"/>
      <c r="B741" s="9"/>
      <c r="C741" s="3" t="s">
        <v>188</v>
      </c>
      <c r="D741" s="58" t="s">
        <v>189</v>
      </c>
      <c r="E741" s="65"/>
      <c r="F741" s="13">
        <v>1500.0</v>
      </c>
      <c r="G741" s="13">
        <v>1500.0</v>
      </c>
      <c r="H741" s="15">
        <f t="shared" si="69"/>
        <v>0</v>
      </c>
      <c r="K741" s="16"/>
    </row>
    <row r="742" ht="14.25" customHeight="1">
      <c r="A742" s="8"/>
      <c r="B742" s="9"/>
      <c r="C742" s="3" t="s">
        <v>192</v>
      </c>
      <c r="D742" s="58" t="s">
        <v>193</v>
      </c>
      <c r="E742" s="65"/>
      <c r="F742" s="13">
        <v>1000.0</v>
      </c>
      <c r="G742" s="13">
        <v>1000.0</v>
      </c>
      <c r="H742" s="15">
        <f t="shared" si="69"/>
        <v>0</v>
      </c>
      <c r="K742" s="16"/>
    </row>
    <row r="743" ht="14.25" customHeight="1">
      <c r="A743" s="8"/>
      <c r="B743" s="38">
        <v>2310.0</v>
      </c>
      <c r="E743" s="39"/>
      <c r="F743" s="40">
        <f t="shared" ref="F743:G743" si="73">SUM(F728:F742)</f>
        <v>132500</v>
      </c>
      <c r="G743" s="40">
        <f t="shared" si="73"/>
        <v>151200</v>
      </c>
      <c r="H743" s="15">
        <f t="shared" si="69"/>
        <v>0.1411320755</v>
      </c>
      <c r="K743" s="16"/>
    </row>
    <row r="744" ht="14.25" customHeight="1">
      <c r="A744" s="8"/>
      <c r="B744" s="9"/>
      <c r="C744" s="11"/>
      <c r="D744" s="45"/>
      <c r="E744" s="8"/>
      <c r="F744" s="49"/>
      <c r="G744" s="49"/>
      <c r="H744" s="15" t="str">
        <f t="shared" si="69"/>
        <v/>
      </c>
      <c r="K744" s="16"/>
    </row>
    <row r="745" ht="14.25" customHeight="1">
      <c r="A745" s="8"/>
      <c r="B745" s="51">
        <v>2311.0</v>
      </c>
      <c r="C745" s="52"/>
      <c r="D745" s="53" t="s">
        <v>114</v>
      </c>
      <c r="E745" s="54"/>
      <c r="F745" s="53">
        <v>2023.0</v>
      </c>
      <c r="G745" s="55">
        <v>2024.0</v>
      </c>
      <c r="H745" s="15">
        <f t="shared" si="69"/>
        <v>0.0004943153732</v>
      </c>
      <c r="K745" s="16"/>
    </row>
    <row r="746" ht="14.25" customHeight="1">
      <c r="A746" s="8"/>
      <c r="B746" s="9"/>
      <c r="C746" s="3" t="s">
        <v>200</v>
      </c>
      <c r="D746" s="58" t="s">
        <v>201</v>
      </c>
      <c r="E746" s="65"/>
      <c r="F746" s="13">
        <v>800.0</v>
      </c>
      <c r="G746" s="13">
        <v>800.0</v>
      </c>
      <c r="H746" s="15">
        <f t="shared" si="69"/>
        <v>0</v>
      </c>
      <c r="K746" s="16"/>
    </row>
    <row r="747" ht="14.25" customHeight="1">
      <c r="A747" s="8"/>
      <c r="B747" s="9"/>
      <c r="C747" s="3" t="s">
        <v>184</v>
      </c>
      <c r="D747" s="58" t="s">
        <v>185</v>
      </c>
      <c r="E747" s="8"/>
      <c r="F747" s="13">
        <v>13000.0</v>
      </c>
      <c r="G747" s="13">
        <v>13000.0</v>
      </c>
      <c r="H747" s="15">
        <f t="shared" si="69"/>
        <v>0</v>
      </c>
      <c r="K747" s="16"/>
    </row>
    <row r="748" ht="14.25" customHeight="1">
      <c r="A748" s="8"/>
      <c r="B748" s="9"/>
      <c r="C748" s="3" t="s">
        <v>240</v>
      </c>
      <c r="D748" s="46" t="s">
        <v>241</v>
      </c>
      <c r="E748" s="37"/>
      <c r="F748" s="13">
        <v>37500.0</v>
      </c>
      <c r="G748" s="13">
        <v>37500.0</v>
      </c>
      <c r="H748" s="15">
        <f t="shared" si="69"/>
        <v>0</v>
      </c>
      <c r="K748" s="16"/>
    </row>
    <row r="749" ht="14.25" customHeight="1">
      <c r="A749" s="8"/>
      <c r="B749" s="9"/>
      <c r="C749" s="3" t="s">
        <v>188</v>
      </c>
      <c r="D749" s="58" t="s">
        <v>189</v>
      </c>
      <c r="E749" s="65"/>
      <c r="F749" s="13">
        <v>10000.0</v>
      </c>
      <c r="G749" s="13">
        <v>10000.0</v>
      </c>
      <c r="H749" s="15">
        <f t="shared" si="69"/>
        <v>0</v>
      </c>
      <c r="K749" s="16"/>
    </row>
    <row r="750" ht="14.25" customHeight="1">
      <c r="A750" s="8"/>
      <c r="B750" s="9"/>
      <c r="C750" s="3" t="s">
        <v>192</v>
      </c>
      <c r="D750" s="58" t="s">
        <v>193</v>
      </c>
      <c r="E750" s="37"/>
      <c r="F750" s="13">
        <v>2000.0</v>
      </c>
      <c r="G750" s="13">
        <v>2000.0</v>
      </c>
      <c r="H750" s="15">
        <f t="shared" si="69"/>
        <v>0</v>
      </c>
      <c r="K750" s="16"/>
    </row>
    <row r="751" ht="14.25" customHeight="1">
      <c r="A751" s="8"/>
      <c r="B751" s="38">
        <v>2311.0</v>
      </c>
      <c r="E751" s="39"/>
      <c r="F751" s="40">
        <f t="shared" ref="F751:G751" si="74">SUM(F746:F750)</f>
        <v>63300</v>
      </c>
      <c r="G751" s="40">
        <f t="shared" si="74"/>
        <v>63300</v>
      </c>
      <c r="H751" s="15">
        <f t="shared" si="69"/>
        <v>0</v>
      </c>
      <c r="K751" s="16"/>
    </row>
    <row r="752" ht="14.25" customHeight="1">
      <c r="A752" s="8"/>
      <c r="B752" s="9"/>
      <c r="C752" s="73"/>
      <c r="D752" s="46"/>
      <c r="E752" s="37"/>
      <c r="F752" s="49"/>
      <c r="G752" s="49"/>
      <c r="H752" s="15" t="str">
        <f t="shared" si="69"/>
        <v/>
      </c>
      <c r="K752" s="16"/>
    </row>
    <row r="753" ht="14.25" customHeight="1">
      <c r="A753" s="8"/>
      <c r="B753" s="51">
        <v>2312.0</v>
      </c>
      <c r="C753" s="52"/>
      <c r="D753" s="53" t="s">
        <v>242</v>
      </c>
      <c r="E753" s="54"/>
      <c r="F753" s="53">
        <v>2023.0</v>
      </c>
      <c r="G753" s="55">
        <v>2024.0</v>
      </c>
      <c r="H753" s="15">
        <f t="shared" si="69"/>
        <v>0.0004943153732</v>
      </c>
      <c r="K753" s="16"/>
    </row>
    <row r="754" ht="14.25" customHeight="1">
      <c r="A754" s="8"/>
      <c r="B754" s="9"/>
      <c r="C754" s="3">
        <v>203.0</v>
      </c>
      <c r="D754" s="46" t="s">
        <v>215</v>
      </c>
      <c r="E754" s="65"/>
      <c r="F754" s="13">
        <v>400.0</v>
      </c>
      <c r="G754" s="13">
        <v>400.0</v>
      </c>
      <c r="H754" s="15">
        <f t="shared" si="69"/>
        <v>0</v>
      </c>
      <c r="K754" s="16"/>
    </row>
    <row r="755" ht="14.25" customHeight="1">
      <c r="A755" s="8"/>
      <c r="B755" s="9"/>
      <c r="C755" s="3">
        <v>212.0</v>
      </c>
      <c r="D755" s="58" t="s">
        <v>159</v>
      </c>
      <c r="E755" s="65"/>
      <c r="F755" s="13">
        <v>28000.0</v>
      </c>
      <c r="G755" s="36">
        <v>48000.0</v>
      </c>
      <c r="H755" s="15">
        <f t="shared" si="69"/>
        <v>0.7142857143</v>
      </c>
      <c r="K755" s="16"/>
    </row>
    <row r="756" ht="14.25" customHeight="1">
      <c r="A756" s="8"/>
      <c r="B756" s="9"/>
      <c r="C756" s="3">
        <v>215.0</v>
      </c>
      <c r="D756" s="58" t="s">
        <v>162</v>
      </c>
      <c r="E756" s="65"/>
      <c r="F756" s="13">
        <v>100.0</v>
      </c>
      <c r="G756" s="13">
        <v>100.0</v>
      </c>
      <c r="H756" s="15">
        <f t="shared" si="69"/>
        <v>0</v>
      </c>
      <c r="K756" s="16"/>
    </row>
    <row r="757" ht="14.25" customHeight="1">
      <c r="A757" s="8"/>
      <c r="B757" s="9"/>
      <c r="C757" s="3" t="s">
        <v>164</v>
      </c>
      <c r="D757" s="58" t="s">
        <v>165</v>
      </c>
      <c r="E757" s="65"/>
      <c r="F757" s="13">
        <v>5000.0</v>
      </c>
      <c r="G757" s="13">
        <v>5000.0</v>
      </c>
      <c r="H757" s="15">
        <f t="shared" si="69"/>
        <v>0</v>
      </c>
      <c r="K757" s="16"/>
    </row>
    <row r="758" ht="14.25" customHeight="1">
      <c r="A758" s="8"/>
      <c r="B758" s="9"/>
      <c r="C758" s="3" t="s">
        <v>166</v>
      </c>
      <c r="D758" s="58" t="s">
        <v>198</v>
      </c>
      <c r="E758" s="65"/>
      <c r="F758" s="13">
        <v>5000.0</v>
      </c>
      <c r="G758" s="13">
        <v>5000.0</v>
      </c>
      <c r="H758" s="15">
        <f t="shared" si="69"/>
        <v>0</v>
      </c>
      <c r="K758" s="16"/>
    </row>
    <row r="759" ht="14.25" customHeight="1">
      <c r="A759" s="8"/>
      <c r="B759" s="9"/>
      <c r="C759" s="3" t="s">
        <v>4</v>
      </c>
      <c r="D759" s="58" t="s">
        <v>168</v>
      </c>
      <c r="E759" s="65"/>
      <c r="F759" s="13">
        <v>3000.0</v>
      </c>
      <c r="G759" s="13">
        <v>3000.0</v>
      </c>
      <c r="H759" s="15">
        <f t="shared" si="69"/>
        <v>0</v>
      </c>
      <c r="K759" s="16"/>
    </row>
    <row r="760" ht="14.25" customHeight="1">
      <c r="A760" s="8"/>
      <c r="B760" s="9"/>
      <c r="C760" s="3" t="s">
        <v>173</v>
      </c>
      <c r="D760" s="58" t="s">
        <v>174</v>
      </c>
      <c r="E760" s="65"/>
      <c r="F760" s="13">
        <v>2000.0</v>
      </c>
      <c r="G760" s="13">
        <v>2000.0</v>
      </c>
      <c r="H760" s="15">
        <f t="shared" si="69"/>
        <v>0</v>
      </c>
      <c r="K760" s="16"/>
    </row>
    <row r="761" ht="14.25" customHeight="1">
      <c r="A761" s="8"/>
      <c r="B761" s="9"/>
      <c r="C761" s="3" t="s">
        <v>175</v>
      </c>
      <c r="D761" s="58" t="s">
        <v>176</v>
      </c>
      <c r="E761" s="65"/>
      <c r="F761" s="13">
        <v>1500.0</v>
      </c>
      <c r="G761" s="13">
        <v>1500.0</v>
      </c>
      <c r="H761" s="15">
        <f t="shared" si="69"/>
        <v>0</v>
      </c>
      <c r="K761" s="16"/>
    </row>
    <row r="762" ht="14.25" customHeight="1">
      <c r="A762" s="8"/>
      <c r="B762" s="9"/>
      <c r="C762" s="3">
        <v>224.0</v>
      </c>
      <c r="D762" s="46" t="s">
        <v>179</v>
      </c>
      <c r="E762" s="37"/>
      <c r="F762" s="13">
        <v>150.0</v>
      </c>
      <c r="G762" s="13">
        <v>150.0</v>
      </c>
      <c r="H762" s="15">
        <f t="shared" si="69"/>
        <v>0</v>
      </c>
      <c r="K762" s="16"/>
    </row>
    <row r="763" ht="14.25" customHeight="1">
      <c r="A763" s="8"/>
      <c r="B763" s="9"/>
      <c r="C763" s="3" t="s">
        <v>180</v>
      </c>
      <c r="D763" s="46" t="s">
        <v>181</v>
      </c>
      <c r="E763" s="65"/>
      <c r="F763" s="13">
        <v>400.0</v>
      </c>
      <c r="G763" s="13">
        <v>400.0</v>
      </c>
      <c r="H763" s="15">
        <f t="shared" si="69"/>
        <v>0</v>
      </c>
      <c r="K763" s="16"/>
    </row>
    <row r="764" ht="14.25" customHeight="1">
      <c r="A764" s="8"/>
      <c r="B764" s="9"/>
      <c r="C764" s="3" t="s">
        <v>184</v>
      </c>
      <c r="D764" s="58" t="s">
        <v>185</v>
      </c>
      <c r="E764" s="65"/>
      <c r="F764" s="13">
        <v>4000.0</v>
      </c>
      <c r="G764" s="13">
        <v>4000.0</v>
      </c>
      <c r="H764" s="15">
        <f t="shared" si="69"/>
        <v>0</v>
      </c>
      <c r="K764" s="16"/>
    </row>
    <row r="765" ht="14.25" customHeight="1">
      <c r="A765" s="8"/>
      <c r="B765" s="9"/>
      <c r="C765" s="3" t="s">
        <v>240</v>
      </c>
      <c r="D765" s="46" t="s">
        <v>241</v>
      </c>
      <c r="E765" s="65"/>
      <c r="F765" s="13">
        <v>10000.0</v>
      </c>
      <c r="G765" s="13">
        <v>10000.0</v>
      </c>
      <c r="H765" s="15">
        <f t="shared" si="69"/>
        <v>0</v>
      </c>
      <c r="K765" s="16"/>
    </row>
    <row r="766" ht="14.25" customHeight="1">
      <c r="A766" s="8"/>
      <c r="B766" s="9"/>
      <c r="C766" s="3" t="s">
        <v>188</v>
      </c>
      <c r="D766" s="46" t="s">
        <v>189</v>
      </c>
      <c r="E766" s="65"/>
      <c r="F766" s="13">
        <v>35250.0</v>
      </c>
      <c r="G766" s="13">
        <v>35250.0</v>
      </c>
      <c r="H766" s="15">
        <f t="shared" si="69"/>
        <v>0</v>
      </c>
      <c r="K766" s="16"/>
    </row>
    <row r="767" ht="14.25" customHeight="1">
      <c r="A767" s="8"/>
      <c r="B767" s="9"/>
      <c r="C767" s="3" t="s">
        <v>190</v>
      </c>
      <c r="D767" s="46" t="s">
        <v>191</v>
      </c>
      <c r="E767" s="8"/>
      <c r="F767" s="13">
        <v>33500.0</v>
      </c>
      <c r="G767" s="13">
        <v>33500.0</v>
      </c>
      <c r="H767" s="15">
        <f t="shared" si="69"/>
        <v>0</v>
      </c>
      <c r="K767" s="16"/>
    </row>
    <row r="768" ht="14.25" customHeight="1">
      <c r="A768" s="8"/>
      <c r="B768" s="38">
        <v>2312.0</v>
      </c>
      <c r="E768" s="39"/>
      <c r="F768" s="40">
        <f t="shared" ref="F768:G768" si="75">SUM(F754:F767)</f>
        <v>128300</v>
      </c>
      <c r="G768" s="40">
        <f t="shared" si="75"/>
        <v>148300</v>
      </c>
      <c r="H768" s="15">
        <f t="shared" si="69"/>
        <v>0.1558846454</v>
      </c>
      <c r="K768" s="16"/>
    </row>
    <row r="769" ht="14.25" customHeight="1">
      <c r="A769" s="8"/>
      <c r="B769" s="9"/>
      <c r="C769" s="3"/>
      <c r="D769" s="45"/>
      <c r="E769" s="35"/>
      <c r="F769" s="49"/>
      <c r="G769" s="49"/>
      <c r="H769" s="15" t="str">
        <f t="shared" si="69"/>
        <v/>
      </c>
      <c r="K769" s="16"/>
    </row>
    <row r="770" ht="14.25" customHeight="1">
      <c r="A770" s="8"/>
      <c r="B770" s="51">
        <v>2313.0</v>
      </c>
      <c r="C770" s="52"/>
      <c r="D770" s="53" t="s">
        <v>243</v>
      </c>
      <c r="E770" s="54"/>
      <c r="F770" s="53">
        <v>2023.0</v>
      </c>
      <c r="G770" s="55">
        <v>2024.0</v>
      </c>
      <c r="H770" s="15">
        <f t="shared" si="69"/>
        <v>0.0004943153732</v>
      </c>
      <c r="K770" s="16"/>
    </row>
    <row r="771" ht="14.25" customHeight="1">
      <c r="A771" s="8"/>
      <c r="B771" s="9"/>
      <c r="C771" s="3">
        <v>203.0</v>
      </c>
      <c r="D771" s="46" t="s">
        <v>215</v>
      </c>
      <c r="E771" s="8"/>
      <c r="F771" s="13">
        <v>600.0</v>
      </c>
      <c r="G771" s="13">
        <v>600.0</v>
      </c>
      <c r="H771" s="15">
        <f t="shared" si="69"/>
        <v>0</v>
      </c>
      <c r="K771" s="16"/>
    </row>
    <row r="772" ht="14.25" customHeight="1">
      <c r="A772" s="8"/>
      <c r="B772" s="9"/>
      <c r="C772" s="3" t="s">
        <v>164</v>
      </c>
      <c r="D772" s="58" t="s">
        <v>165</v>
      </c>
      <c r="E772" s="65"/>
      <c r="F772" s="13">
        <v>300.0</v>
      </c>
      <c r="G772" s="13">
        <v>300.0</v>
      </c>
      <c r="H772" s="15">
        <f t="shared" si="69"/>
        <v>0</v>
      </c>
      <c r="K772" s="16"/>
    </row>
    <row r="773" ht="14.25" customHeight="1">
      <c r="A773" s="8"/>
      <c r="B773" s="9"/>
      <c r="C773" s="3" t="s">
        <v>166</v>
      </c>
      <c r="D773" s="58" t="s">
        <v>198</v>
      </c>
      <c r="E773" s="65"/>
      <c r="F773" s="13">
        <v>2100.0</v>
      </c>
      <c r="G773" s="13">
        <v>2100.0</v>
      </c>
      <c r="H773" s="15">
        <f t="shared" si="69"/>
        <v>0</v>
      </c>
      <c r="K773" s="16"/>
    </row>
    <row r="774" ht="14.25" customHeight="1">
      <c r="A774" s="8"/>
      <c r="B774" s="9"/>
      <c r="C774" s="3" t="s">
        <v>4</v>
      </c>
      <c r="D774" s="58" t="s">
        <v>168</v>
      </c>
      <c r="E774" s="65"/>
      <c r="F774" s="13">
        <v>400.0</v>
      </c>
      <c r="G774" s="13">
        <v>400.0</v>
      </c>
      <c r="H774" s="15">
        <f t="shared" si="69"/>
        <v>0</v>
      </c>
      <c r="K774" s="16"/>
    </row>
    <row r="775" ht="14.25" customHeight="1">
      <c r="A775" s="8"/>
      <c r="B775" s="9"/>
      <c r="C775" s="3" t="s">
        <v>175</v>
      </c>
      <c r="D775" s="58" t="s">
        <v>176</v>
      </c>
      <c r="E775" s="65"/>
      <c r="F775" s="13">
        <v>200.0</v>
      </c>
      <c r="G775" s="13">
        <v>200.0</v>
      </c>
      <c r="H775" s="15">
        <f t="shared" si="69"/>
        <v>0</v>
      </c>
      <c r="K775" s="16"/>
    </row>
    <row r="776" ht="14.25" customHeight="1">
      <c r="A776" s="8"/>
      <c r="B776" s="9"/>
      <c r="C776" s="3" t="s">
        <v>177</v>
      </c>
      <c r="D776" s="58" t="s">
        <v>178</v>
      </c>
      <c r="E776" s="65"/>
      <c r="F776" s="13">
        <v>200.0</v>
      </c>
      <c r="G776" s="13">
        <v>200.0</v>
      </c>
      <c r="H776" s="15">
        <f t="shared" si="69"/>
        <v>0</v>
      </c>
      <c r="K776" s="16"/>
    </row>
    <row r="777" ht="14.25" customHeight="1">
      <c r="A777" s="8"/>
      <c r="B777" s="9"/>
      <c r="C777" s="3" t="s">
        <v>184</v>
      </c>
      <c r="D777" s="58" t="s">
        <v>185</v>
      </c>
      <c r="E777" s="65"/>
      <c r="F777" s="13">
        <v>4000.0</v>
      </c>
      <c r="G777" s="13">
        <v>4000.0</v>
      </c>
      <c r="H777" s="15">
        <f t="shared" si="69"/>
        <v>0</v>
      </c>
      <c r="K777" s="16"/>
    </row>
    <row r="778" ht="14.25" customHeight="1">
      <c r="A778" s="8"/>
      <c r="B778" s="9"/>
      <c r="C778" s="3" t="s">
        <v>240</v>
      </c>
      <c r="D778" s="46" t="s">
        <v>241</v>
      </c>
      <c r="E778" s="65"/>
      <c r="F778" s="13">
        <v>15000.0</v>
      </c>
      <c r="G778" s="13">
        <v>15000.0</v>
      </c>
      <c r="H778" s="15">
        <f t="shared" si="69"/>
        <v>0</v>
      </c>
      <c r="K778" s="16"/>
    </row>
    <row r="779" ht="14.25" customHeight="1">
      <c r="A779" s="8"/>
      <c r="B779" s="9"/>
      <c r="C779" s="3" t="s">
        <v>188</v>
      </c>
      <c r="D779" s="46" t="s">
        <v>189</v>
      </c>
      <c r="E779" s="35"/>
      <c r="F779" s="13">
        <v>23000.0</v>
      </c>
      <c r="G779" s="13">
        <v>23000.0</v>
      </c>
      <c r="H779" s="15">
        <f t="shared" si="69"/>
        <v>0</v>
      </c>
      <c r="K779" s="16"/>
    </row>
    <row r="780" ht="14.25" customHeight="1">
      <c r="A780" s="8"/>
      <c r="B780" s="38">
        <v>2313.0</v>
      </c>
      <c r="E780" s="39"/>
      <c r="F780" s="40">
        <f t="shared" ref="F780:G780" si="76">SUM(F771:F779)</f>
        <v>45800</v>
      </c>
      <c r="G780" s="40">
        <f t="shared" si="76"/>
        <v>45800</v>
      </c>
      <c r="H780" s="15">
        <f t="shared" si="69"/>
        <v>0</v>
      </c>
      <c r="K780" s="16"/>
    </row>
    <row r="781" ht="14.25" customHeight="1">
      <c r="A781" s="8"/>
      <c r="B781" s="9"/>
      <c r="C781" s="3"/>
      <c r="D781" s="45"/>
      <c r="E781" s="35"/>
      <c r="F781" s="49"/>
      <c r="G781" s="49"/>
      <c r="H781" s="15" t="str">
        <f t="shared" si="69"/>
        <v/>
      </c>
      <c r="K781" s="16"/>
    </row>
    <row r="782" ht="14.25" customHeight="1">
      <c r="A782" s="8"/>
      <c r="B782" s="51">
        <v>2314.0</v>
      </c>
      <c r="C782" s="52"/>
      <c r="D782" s="53" t="s">
        <v>244</v>
      </c>
      <c r="E782" s="54"/>
      <c r="F782" s="53">
        <v>2023.0</v>
      </c>
      <c r="G782" s="55">
        <v>2024.0</v>
      </c>
      <c r="H782" s="15">
        <f t="shared" si="69"/>
        <v>0.0004943153732</v>
      </c>
      <c r="K782" s="16"/>
    </row>
    <row r="783" ht="14.25" customHeight="1">
      <c r="A783" s="8"/>
      <c r="B783" s="9"/>
      <c r="C783" s="3">
        <v>202.0</v>
      </c>
      <c r="D783" s="58" t="s">
        <v>245</v>
      </c>
      <c r="E783" s="65"/>
      <c r="F783" s="13">
        <v>8000.0</v>
      </c>
      <c r="G783" s="13">
        <v>8000.0</v>
      </c>
      <c r="H783" s="15">
        <f t="shared" si="69"/>
        <v>0</v>
      </c>
      <c r="K783" s="16"/>
    </row>
    <row r="784" ht="14.25" customHeight="1">
      <c r="A784" s="8"/>
      <c r="B784" s="9"/>
      <c r="C784" s="3">
        <v>212.0</v>
      </c>
      <c r="D784" s="58" t="s">
        <v>159</v>
      </c>
      <c r="E784" s="65"/>
      <c r="F784" s="13">
        <v>45500.0</v>
      </c>
      <c r="G784" s="36">
        <v>54000.0</v>
      </c>
      <c r="H784" s="15">
        <f t="shared" si="69"/>
        <v>0.1868131868</v>
      </c>
      <c r="K784" s="16"/>
    </row>
    <row r="785" ht="14.25" customHeight="1">
      <c r="A785" s="8"/>
      <c r="B785" s="9"/>
      <c r="C785" s="3">
        <v>213.0</v>
      </c>
      <c r="D785" s="58" t="s">
        <v>160</v>
      </c>
      <c r="E785" s="65"/>
      <c r="F785" s="13">
        <v>1000.0</v>
      </c>
      <c r="G785" s="13">
        <v>1000.0</v>
      </c>
      <c r="H785" s="15">
        <f t="shared" si="69"/>
        <v>0</v>
      </c>
      <c r="K785" s="16"/>
    </row>
    <row r="786" ht="14.25" customHeight="1">
      <c r="A786" s="8"/>
      <c r="B786" s="9"/>
      <c r="C786" s="3" t="s">
        <v>164</v>
      </c>
      <c r="D786" s="58" t="s">
        <v>165</v>
      </c>
      <c r="E786" s="65"/>
      <c r="F786" s="13">
        <v>2000.0</v>
      </c>
      <c r="G786" s="13">
        <v>2000.0</v>
      </c>
      <c r="H786" s="15">
        <f t="shared" si="69"/>
        <v>0</v>
      </c>
      <c r="K786" s="16"/>
    </row>
    <row r="787" ht="14.25" customHeight="1">
      <c r="A787" s="8"/>
      <c r="B787" s="9"/>
      <c r="C787" s="3" t="s">
        <v>200</v>
      </c>
      <c r="D787" s="58" t="s">
        <v>201</v>
      </c>
      <c r="E787" s="65"/>
      <c r="F787" s="13">
        <v>2900.0</v>
      </c>
      <c r="G787" s="13">
        <v>2900.0</v>
      </c>
      <c r="H787" s="15">
        <f t="shared" si="69"/>
        <v>0</v>
      </c>
      <c r="K787" s="16"/>
    </row>
    <row r="788" ht="14.25" customHeight="1">
      <c r="A788" s="8"/>
      <c r="B788" s="9"/>
      <c r="C788" s="3" t="s">
        <v>166</v>
      </c>
      <c r="D788" s="58" t="s">
        <v>198</v>
      </c>
      <c r="E788" s="65"/>
      <c r="F788" s="13">
        <v>15000.0</v>
      </c>
      <c r="G788" s="13">
        <v>15000.0</v>
      </c>
      <c r="H788" s="15">
        <f t="shared" si="69"/>
        <v>0</v>
      </c>
      <c r="K788" s="16"/>
    </row>
    <row r="789" ht="14.25" customHeight="1">
      <c r="A789" s="8"/>
      <c r="B789" s="9"/>
      <c r="C789" s="3" t="s">
        <v>4</v>
      </c>
      <c r="D789" s="58" t="s">
        <v>168</v>
      </c>
      <c r="E789" s="65"/>
      <c r="F789" s="13">
        <v>1000.0</v>
      </c>
      <c r="G789" s="36">
        <v>2400.0</v>
      </c>
      <c r="H789" s="15">
        <f t="shared" si="69"/>
        <v>1.4</v>
      </c>
      <c r="K789" s="16"/>
    </row>
    <row r="790" ht="14.25" customHeight="1">
      <c r="A790" s="8"/>
      <c r="B790" s="9"/>
      <c r="C790" s="3" t="s">
        <v>173</v>
      </c>
      <c r="D790" s="58" t="s">
        <v>174</v>
      </c>
      <c r="E790" s="65"/>
      <c r="F790" s="13">
        <v>2500.0</v>
      </c>
      <c r="G790" s="36">
        <v>30.0</v>
      </c>
      <c r="H790" s="15">
        <f t="shared" si="69"/>
        <v>-0.988</v>
      </c>
      <c r="K790" s="16"/>
    </row>
    <row r="791" ht="14.25" customHeight="1">
      <c r="A791" s="8"/>
      <c r="B791" s="9"/>
      <c r="C791" s="3" t="s">
        <v>175</v>
      </c>
      <c r="D791" s="58" t="s">
        <v>176</v>
      </c>
      <c r="E791" s="65"/>
      <c r="F791" s="13">
        <v>1000.0</v>
      </c>
      <c r="G791" s="13">
        <v>1000.0</v>
      </c>
      <c r="H791" s="15">
        <f t="shared" si="69"/>
        <v>0</v>
      </c>
      <c r="K791" s="16"/>
    </row>
    <row r="792" ht="14.25" customHeight="1">
      <c r="A792" s="8"/>
      <c r="B792" s="9"/>
      <c r="C792" s="3" t="s">
        <v>180</v>
      </c>
      <c r="D792" s="46" t="s">
        <v>181</v>
      </c>
      <c r="E792" s="65"/>
      <c r="F792" s="13">
        <v>800.0</v>
      </c>
      <c r="G792" s="13">
        <v>800.0</v>
      </c>
      <c r="H792" s="15">
        <f t="shared" si="69"/>
        <v>0</v>
      </c>
      <c r="K792" s="16"/>
    </row>
    <row r="793" ht="14.25" customHeight="1">
      <c r="A793" s="8"/>
      <c r="B793" s="9"/>
      <c r="C793" s="3" t="s">
        <v>184</v>
      </c>
      <c r="D793" s="58" t="s">
        <v>185</v>
      </c>
      <c r="E793" s="65"/>
      <c r="F793" s="13">
        <v>3000.0</v>
      </c>
      <c r="G793" s="13">
        <v>3000.0</v>
      </c>
      <c r="H793" s="15">
        <f t="shared" si="69"/>
        <v>0</v>
      </c>
      <c r="K793" s="16"/>
    </row>
    <row r="794" ht="14.25" customHeight="1">
      <c r="A794" s="8"/>
      <c r="B794" s="9"/>
      <c r="C794" s="3" t="s">
        <v>240</v>
      </c>
      <c r="D794" s="46" t="s">
        <v>241</v>
      </c>
      <c r="E794" s="65"/>
      <c r="F794" s="13">
        <v>10000.0</v>
      </c>
      <c r="G794" s="36">
        <v>3000.0</v>
      </c>
      <c r="H794" s="15">
        <f t="shared" si="69"/>
        <v>-0.7</v>
      </c>
      <c r="K794" s="16"/>
    </row>
    <row r="795" ht="14.25" customHeight="1">
      <c r="A795" s="8"/>
      <c r="B795" s="9"/>
      <c r="C795" s="3" t="s">
        <v>188</v>
      </c>
      <c r="D795" s="46" t="s">
        <v>189</v>
      </c>
      <c r="E795" s="37"/>
      <c r="F795" s="13">
        <v>20000.0</v>
      </c>
      <c r="G795" s="36">
        <v>5000.0</v>
      </c>
      <c r="H795" s="15">
        <f t="shared" si="69"/>
        <v>-0.75</v>
      </c>
      <c r="K795" s="16"/>
    </row>
    <row r="796" ht="14.25" customHeight="1">
      <c r="A796" s="8"/>
      <c r="B796" s="9"/>
      <c r="C796" s="3" t="s">
        <v>190</v>
      </c>
      <c r="D796" s="46" t="s">
        <v>195</v>
      </c>
      <c r="E796" s="37"/>
      <c r="F796" s="13">
        <v>1539000.0</v>
      </c>
      <c r="G796" s="36">
        <v>1650000.0</v>
      </c>
      <c r="H796" s="15">
        <f t="shared" si="69"/>
        <v>0.07212475634</v>
      </c>
      <c r="K796" s="16"/>
    </row>
    <row r="797" ht="14.25" customHeight="1">
      <c r="A797" s="8"/>
      <c r="B797" s="38">
        <v>2314.0</v>
      </c>
      <c r="E797" s="39"/>
      <c r="F797" s="40">
        <f t="shared" ref="F797:G797" si="77">SUM(F783:F796)</f>
        <v>1651700</v>
      </c>
      <c r="G797" s="40">
        <f t="shared" si="77"/>
        <v>1748130</v>
      </c>
      <c r="H797" s="15">
        <f t="shared" si="69"/>
        <v>0.05838227281</v>
      </c>
      <c r="K797" s="16"/>
    </row>
    <row r="798" ht="14.25" customHeight="1">
      <c r="A798" s="8"/>
      <c r="B798" s="9"/>
      <c r="C798" s="11"/>
      <c r="D798" s="12"/>
      <c r="E798" s="8"/>
      <c r="F798" s="13"/>
      <c r="G798" s="13"/>
      <c r="H798" s="15" t="str">
        <f t="shared" si="69"/>
        <v/>
      </c>
      <c r="K798" s="16"/>
    </row>
    <row r="799" ht="14.25" customHeight="1">
      <c r="A799" s="8"/>
      <c r="B799" s="51">
        <v>2411.0</v>
      </c>
      <c r="C799" s="52"/>
      <c r="D799" s="53" t="s">
        <v>246</v>
      </c>
      <c r="E799" s="54"/>
      <c r="F799" s="53">
        <v>2023.0</v>
      </c>
      <c r="G799" s="55">
        <v>2024.0</v>
      </c>
      <c r="H799" s="15">
        <f t="shared" si="69"/>
        <v>0.0004943153732</v>
      </c>
      <c r="K799" s="16"/>
    </row>
    <row r="800" ht="14.25" customHeight="1">
      <c r="A800" s="8"/>
      <c r="B800" s="9"/>
      <c r="C800" s="3" t="s">
        <v>188</v>
      </c>
      <c r="D800" s="46" t="s">
        <v>189</v>
      </c>
      <c r="E800" s="77"/>
      <c r="F800" s="13">
        <v>10000.0</v>
      </c>
      <c r="G800" s="13">
        <v>10000.0</v>
      </c>
      <c r="H800" s="15">
        <f t="shared" si="69"/>
        <v>0</v>
      </c>
      <c r="K800" s="16"/>
    </row>
    <row r="801" ht="14.25" customHeight="1">
      <c r="A801" s="8"/>
      <c r="B801" s="38">
        <v>2411.0</v>
      </c>
      <c r="E801" s="39"/>
      <c r="F801" s="40">
        <f t="shared" ref="F801:G801" si="78">SUM(F800)</f>
        <v>10000</v>
      </c>
      <c r="G801" s="40">
        <f t="shared" si="78"/>
        <v>10000</v>
      </c>
      <c r="H801" s="15">
        <f t="shared" si="69"/>
        <v>0</v>
      </c>
      <c r="K801" s="16"/>
    </row>
    <row r="802" ht="14.25" customHeight="1">
      <c r="A802" s="8"/>
      <c r="B802" s="9"/>
      <c r="C802" s="11"/>
      <c r="D802" s="12"/>
      <c r="E802" s="8"/>
      <c r="F802" s="13"/>
      <c r="G802" s="13"/>
      <c r="H802" s="15" t="str">
        <f t="shared" si="69"/>
        <v/>
      </c>
      <c r="K802" s="16"/>
    </row>
    <row r="803" ht="14.25" customHeight="1">
      <c r="A803" s="8"/>
      <c r="B803" s="51">
        <v>3110.0</v>
      </c>
      <c r="C803" s="52"/>
      <c r="D803" s="55" t="s">
        <v>247</v>
      </c>
      <c r="E803" s="54"/>
      <c r="F803" s="53">
        <v>2023.0</v>
      </c>
      <c r="G803" s="55">
        <v>2024.0</v>
      </c>
      <c r="H803" s="15">
        <f t="shared" si="69"/>
        <v>0.0004943153732</v>
      </c>
      <c r="K803" s="16"/>
    </row>
    <row r="804" ht="14.25" customHeight="1">
      <c r="A804" s="8"/>
      <c r="B804" s="9"/>
      <c r="C804" s="3" t="s">
        <v>173</v>
      </c>
      <c r="D804" s="58" t="s">
        <v>174</v>
      </c>
      <c r="E804" s="37"/>
      <c r="F804" s="13">
        <v>1000.0</v>
      </c>
      <c r="G804" s="36">
        <v>6500.0</v>
      </c>
      <c r="H804" s="15">
        <f t="shared" si="69"/>
        <v>5.5</v>
      </c>
      <c r="K804" s="16"/>
    </row>
    <row r="805" ht="14.25" customHeight="1">
      <c r="A805" s="8"/>
      <c r="B805" s="9"/>
      <c r="C805" s="3" t="s">
        <v>224</v>
      </c>
      <c r="D805" s="58" t="s">
        <v>225</v>
      </c>
      <c r="E805" s="37"/>
      <c r="F805" s="13">
        <v>13000.0</v>
      </c>
      <c r="G805" s="36">
        <v>14000.0</v>
      </c>
      <c r="H805" s="15">
        <f t="shared" si="69"/>
        <v>0.07692307692</v>
      </c>
      <c r="K805" s="16"/>
    </row>
    <row r="806" ht="14.25" customHeight="1">
      <c r="A806" s="8"/>
      <c r="B806" s="9"/>
      <c r="C806" s="3" t="s">
        <v>190</v>
      </c>
      <c r="D806" s="46" t="s">
        <v>191</v>
      </c>
      <c r="E806" s="37"/>
      <c r="F806" s="13">
        <v>65000.0</v>
      </c>
      <c r="G806" s="36">
        <v>86110.0</v>
      </c>
      <c r="H806" s="15">
        <f t="shared" si="69"/>
        <v>0.3247692308</v>
      </c>
      <c r="K806" s="16"/>
    </row>
    <row r="807" ht="14.25" customHeight="1">
      <c r="A807" s="8"/>
      <c r="B807" s="38">
        <v>3110.0</v>
      </c>
      <c r="E807" s="39"/>
      <c r="F807" s="40">
        <f t="shared" ref="F807:G807" si="79">SUM(F804:F806)</f>
        <v>79000</v>
      </c>
      <c r="G807" s="40">
        <f t="shared" si="79"/>
        <v>106610</v>
      </c>
      <c r="H807" s="15">
        <f t="shared" si="69"/>
        <v>0.3494936709</v>
      </c>
      <c r="K807" s="16"/>
    </row>
    <row r="808" ht="14.25" customHeight="1">
      <c r="A808" s="8"/>
      <c r="B808" s="9"/>
      <c r="C808" s="3"/>
      <c r="D808" s="45"/>
      <c r="E808" s="35"/>
      <c r="F808" s="49"/>
      <c r="G808" s="49"/>
      <c r="H808" s="15" t="str">
        <f t="shared" si="69"/>
        <v/>
      </c>
      <c r="K808" s="16"/>
    </row>
    <row r="809" ht="14.25" customHeight="1">
      <c r="A809" s="8"/>
      <c r="B809" s="51">
        <v>3230.0</v>
      </c>
      <c r="C809" s="52"/>
      <c r="D809" s="53" t="s">
        <v>248</v>
      </c>
      <c r="E809" s="54"/>
      <c r="F809" s="53">
        <v>2023.0</v>
      </c>
      <c r="G809" s="55">
        <v>2024.0</v>
      </c>
      <c r="H809" s="15">
        <f t="shared" si="69"/>
        <v>0.0004943153732</v>
      </c>
      <c r="K809" s="16"/>
    </row>
    <row r="810" ht="14.25" customHeight="1">
      <c r="A810" s="8"/>
      <c r="B810" s="86"/>
      <c r="C810" s="3">
        <v>212.0</v>
      </c>
      <c r="D810" s="58" t="s">
        <v>159</v>
      </c>
      <c r="E810" s="65"/>
      <c r="F810" s="13">
        <v>460000.0</v>
      </c>
      <c r="G810" s="36">
        <v>533000.0</v>
      </c>
      <c r="H810" s="15">
        <f t="shared" si="69"/>
        <v>0.1586956522</v>
      </c>
      <c r="K810" s="16"/>
    </row>
    <row r="811" ht="14.25" customHeight="1">
      <c r="A811" s="8"/>
      <c r="B811" s="86"/>
      <c r="C811" s="3" t="s">
        <v>166</v>
      </c>
      <c r="D811" s="58" t="s">
        <v>167</v>
      </c>
      <c r="E811" s="65"/>
      <c r="F811" s="13">
        <v>40000.0</v>
      </c>
      <c r="G811" s="13">
        <v>40000.0</v>
      </c>
      <c r="H811" s="15">
        <f t="shared" si="69"/>
        <v>0</v>
      </c>
      <c r="K811" s="16"/>
    </row>
    <row r="812" ht="14.25" customHeight="1">
      <c r="A812" s="8"/>
      <c r="B812" s="86"/>
      <c r="C812" s="3" t="s">
        <v>4</v>
      </c>
      <c r="D812" s="46" t="s">
        <v>168</v>
      </c>
      <c r="E812" s="37"/>
      <c r="F812" s="13">
        <v>250000.0</v>
      </c>
      <c r="G812" s="36">
        <v>190000.0</v>
      </c>
      <c r="H812" s="15">
        <f t="shared" si="69"/>
        <v>-0.24</v>
      </c>
      <c r="K812" s="16"/>
    </row>
    <row r="813" ht="14.25" customHeight="1">
      <c r="A813" s="8"/>
      <c r="B813" s="86"/>
      <c r="C813" s="96" t="s">
        <v>249</v>
      </c>
      <c r="D813" s="109" t="s">
        <v>250</v>
      </c>
      <c r="E813" s="37"/>
      <c r="F813" s="36">
        <v>0.0</v>
      </c>
      <c r="G813" s="36">
        <v>60000.0</v>
      </c>
      <c r="H813" s="15"/>
      <c r="K813" s="16"/>
    </row>
    <row r="814" ht="14.25" customHeight="1">
      <c r="A814" s="8"/>
      <c r="B814" s="86"/>
      <c r="C814" s="3" t="s">
        <v>173</v>
      </c>
      <c r="D814" s="46" t="s">
        <v>174</v>
      </c>
      <c r="E814" s="37"/>
      <c r="F814" s="13">
        <v>12500.0</v>
      </c>
      <c r="G814" s="13">
        <v>12500.0</v>
      </c>
      <c r="H814" s="15">
        <f t="shared" ref="H814:H903" si="80">IFERROR(((G814-F814)/F814), "")</f>
        <v>0</v>
      </c>
      <c r="K814" s="16"/>
    </row>
    <row r="815" ht="14.25" customHeight="1">
      <c r="A815" s="8"/>
      <c r="B815" s="86"/>
      <c r="C815" s="3" t="s">
        <v>175</v>
      </c>
      <c r="D815" s="58" t="s">
        <v>176</v>
      </c>
      <c r="E815" s="65"/>
      <c r="F815" s="13">
        <v>200.0</v>
      </c>
      <c r="G815" s="13">
        <v>200.0</v>
      </c>
      <c r="H815" s="15">
        <f t="shared" si="80"/>
        <v>0</v>
      </c>
      <c r="K815" s="16"/>
    </row>
    <row r="816" ht="14.25" customHeight="1">
      <c r="A816" s="8"/>
      <c r="B816" s="86"/>
      <c r="C816" s="3" t="s">
        <v>180</v>
      </c>
      <c r="D816" s="46" t="s">
        <v>181</v>
      </c>
      <c r="E816" s="35"/>
      <c r="F816" s="13">
        <v>500.0</v>
      </c>
      <c r="G816" s="13">
        <v>500.0</v>
      </c>
      <c r="H816" s="15">
        <f t="shared" si="80"/>
        <v>0</v>
      </c>
      <c r="K816" s="16"/>
    </row>
    <row r="817" ht="14.25" customHeight="1">
      <c r="A817" s="8"/>
      <c r="B817" s="86"/>
      <c r="C817" s="3" t="s">
        <v>188</v>
      </c>
      <c r="D817" s="46" t="s">
        <v>189</v>
      </c>
      <c r="E817" s="37"/>
      <c r="F817" s="13">
        <v>200.0</v>
      </c>
      <c r="G817" s="13">
        <v>200.0</v>
      </c>
      <c r="H817" s="15">
        <f t="shared" si="80"/>
        <v>0</v>
      </c>
      <c r="K817" s="16"/>
    </row>
    <row r="818" ht="14.25" customHeight="1">
      <c r="A818" s="8"/>
      <c r="B818" s="86"/>
      <c r="C818" s="3" t="s">
        <v>190</v>
      </c>
      <c r="D818" s="46" t="s">
        <v>191</v>
      </c>
      <c r="E818" s="37"/>
      <c r="F818" s="13">
        <v>489000.0</v>
      </c>
      <c r="G818" s="13">
        <v>489000.0</v>
      </c>
      <c r="H818" s="15">
        <f t="shared" si="80"/>
        <v>0</v>
      </c>
      <c r="K818" s="16"/>
    </row>
    <row r="819" ht="14.25" customHeight="1">
      <c r="A819" s="8"/>
      <c r="B819" s="38">
        <v>3230.0</v>
      </c>
      <c r="E819" s="39"/>
      <c r="F819" s="40">
        <f t="shared" ref="F819:G819" si="81">SUM(F810:F818)</f>
        <v>1252400</v>
      </c>
      <c r="G819" s="40">
        <f t="shared" si="81"/>
        <v>1325400</v>
      </c>
      <c r="H819" s="15">
        <f t="shared" si="80"/>
        <v>0.05828808687</v>
      </c>
      <c r="K819" s="16"/>
    </row>
    <row r="820" ht="14.25" customHeight="1">
      <c r="A820" s="8"/>
      <c r="B820" s="86"/>
      <c r="C820" s="45"/>
      <c r="D820" s="45"/>
      <c r="E820" s="35"/>
      <c r="F820" s="49"/>
      <c r="G820" s="49"/>
      <c r="H820" s="15" t="str">
        <f t="shared" si="80"/>
        <v/>
      </c>
      <c r="K820" s="16"/>
    </row>
    <row r="821" ht="14.25" customHeight="1">
      <c r="A821" s="8"/>
      <c r="B821" s="51">
        <v>3260.0</v>
      </c>
      <c r="C821" s="52"/>
      <c r="D821" s="53" t="s">
        <v>251</v>
      </c>
      <c r="E821" s="54"/>
      <c r="F821" s="53">
        <v>2023.0</v>
      </c>
      <c r="G821" s="55">
        <v>2024.0</v>
      </c>
      <c r="H821" s="15">
        <f t="shared" si="80"/>
        <v>0.0004943153732</v>
      </c>
      <c r="K821" s="16"/>
    </row>
    <row r="822" ht="14.25" customHeight="1">
      <c r="A822" s="8"/>
      <c r="B822" s="9"/>
      <c r="C822" s="3" t="s">
        <v>166</v>
      </c>
      <c r="D822" s="58" t="s">
        <v>167</v>
      </c>
      <c r="E822" s="37"/>
      <c r="F822" s="13">
        <v>1000.0</v>
      </c>
      <c r="G822" s="36">
        <v>2000.0</v>
      </c>
      <c r="H822" s="15">
        <f t="shared" si="80"/>
        <v>1</v>
      </c>
      <c r="K822" s="16"/>
    </row>
    <row r="823" ht="14.25" customHeight="1">
      <c r="A823" s="8"/>
      <c r="B823" s="9"/>
      <c r="C823" s="3" t="s">
        <v>175</v>
      </c>
      <c r="D823" s="58" t="s">
        <v>176</v>
      </c>
      <c r="E823" s="65"/>
      <c r="F823" s="13">
        <v>200.0</v>
      </c>
      <c r="G823" s="36">
        <v>200.0</v>
      </c>
      <c r="H823" s="15">
        <f t="shared" si="80"/>
        <v>0</v>
      </c>
      <c r="K823" s="16"/>
    </row>
    <row r="824" ht="14.25" customHeight="1">
      <c r="A824" s="8"/>
      <c r="B824" s="9"/>
      <c r="C824" s="3" t="s">
        <v>177</v>
      </c>
      <c r="D824" s="58" t="s">
        <v>178</v>
      </c>
      <c r="E824" s="65"/>
      <c r="F824" s="13">
        <v>500.0</v>
      </c>
      <c r="G824" s="13">
        <v>500.0</v>
      </c>
      <c r="H824" s="15">
        <f t="shared" si="80"/>
        <v>0</v>
      </c>
      <c r="K824" s="16"/>
    </row>
    <row r="825" ht="14.25" customHeight="1">
      <c r="A825" s="8"/>
      <c r="B825" s="9"/>
      <c r="C825" s="3" t="s">
        <v>182</v>
      </c>
      <c r="D825" s="58" t="s">
        <v>252</v>
      </c>
      <c r="E825" s="65"/>
      <c r="F825" s="13">
        <v>2500.0</v>
      </c>
      <c r="G825" s="13">
        <v>2500.0</v>
      </c>
      <c r="H825" s="15">
        <f t="shared" si="80"/>
        <v>0</v>
      </c>
      <c r="K825" s="16"/>
    </row>
    <row r="826" ht="14.25" customHeight="1">
      <c r="A826" s="8"/>
      <c r="B826" s="9"/>
      <c r="C826" s="3" t="s">
        <v>184</v>
      </c>
      <c r="D826" s="58" t="s">
        <v>185</v>
      </c>
      <c r="E826" s="37"/>
      <c r="F826" s="13">
        <v>5000.0</v>
      </c>
      <c r="G826" s="13">
        <v>5000.0</v>
      </c>
      <c r="H826" s="15">
        <f t="shared" si="80"/>
        <v>0</v>
      </c>
      <c r="K826" s="16"/>
    </row>
    <row r="827" ht="14.25" customHeight="1">
      <c r="A827" s="8"/>
      <c r="B827" s="9"/>
      <c r="C827" s="3" t="s">
        <v>240</v>
      </c>
      <c r="D827" s="46" t="s">
        <v>253</v>
      </c>
      <c r="E827" s="37"/>
      <c r="F827" s="13">
        <v>26000.0</v>
      </c>
      <c r="G827" s="36">
        <v>30000.0</v>
      </c>
      <c r="H827" s="15">
        <f t="shared" si="80"/>
        <v>0.1538461538</v>
      </c>
      <c r="K827" s="16"/>
    </row>
    <row r="828" ht="14.25" customHeight="1">
      <c r="A828" s="8"/>
      <c r="B828" s="9"/>
      <c r="C828" s="3" t="s">
        <v>188</v>
      </c>
      <c r="D828" s="58" t="s">
        <v>189</v>
      </c>
      <c r="E828" s="65"/>
      <c r="F828" s="13">
        <v>6000.0</v>
      </c>
      <c r="G828" s="36">
        <v>10000.0</v>
      </c>
      <c r="H828" s="15">
        <f t="shared" si="80"/>
        <v>0.6666666667</v>
      </c>
      <c r="K828" s="16"/>
    </row>
    <row r="829" ht="14.25" customHeight="1">
      <c r="A829" s="8"/>
      <c r="B829" s="9"/>
      <c r="C829" s="3" t="s">
        <v>190</v>
      </c>
      <c r="D829" s="46" t="s">
        <v>191</v>
      </c>
      <c r="E829" s="37"/>
      <c r="F829" s="13">
        <v>40000.0</v>
      </c>
      <c r="G829" s="36">
        <v>49000.0</v>
      </c>
      <c r="H829" s="15">
        <f t="shared" si="80"/>
        <v>0.225</v>
      </c>
      <c r="K829" s="16"/>
    </row>
    <row r="830" ht="14.25" customHeight="1">
      <c r="A830" s="8"/>
      <c r="B830" s="38">
        <v>3260.0</v>
      </c>
      <c r="E830" s="39"/>
      <c r="F830" s="40">
        <f t="shared" ref="F830:G830" si="82">SUM(F822:F829)</f>
        <v>81200</v>
      </c>
      <c r="G830" s="40">
        <f t="shared" si="82"/>
        <v>99200</v>
      </c>
      <c r="H830" s="15">
        <f t="shared" si="80"/>
        <v>0.2216748768</v>
      </c>
      <c r="K830" s="16"/>
    </row>
    <row r="831" ht="14.25" customHeight="1">
      <c r="A831" s="8"/>
      <c r="B831" s="9"/>
      <c r="C831" s="3"/>
      <c r="D831" s="45"/>
      <c r="E831" s="35"/>
      <c r="F831" s="49"/>
      <c r="G831" s="49"/>
      <c r="H831" s="15" t="str">
        <f t="shared" si="80"/>
        <v/>
      </c>
      <c r="K831" s="16"/>
    </row>
    <row r="832" ht="14.25" customHeight="1">
      <c r="A832" s="8"/>
      <c r="B832" s="51">
        <v>3261.0</v>
      </c>
      <c r="C832" s="52"/>
      <c r="D832" s="53" t="s">
        <v>117</v>
      </c>
      <c r="E832" s="54"/>
      <c r="F832" s="53">
        <v>2023.0</v>
      </c>
      <c r="G832" s="55">
        <v>2024.0</v>
      </c>
      <c r="H832" s="15">
        <f t="shared" si="80"/>
        <v>0.0004943153732</v>
      </c>
      <c r="K832" s="16"/>
    </row>
    <row r="833" ht="14.25" customHeight="1">
      <c r="A833" s="8"/>
      <c r="B833" s="9"/>
      <c r="C833" s="3">
        <v>203.0</v>
      </c>
      <c r="D833" s="58" t="s">
        <v>158</v>
      </c>
      <c r="E833" s="37"/>
      <c r="F833" s="13">
        <v>20000.0</v>
      </c>
      <c r="G833" s="36">
        <v>22000.0</v>
      </c>
      <c r="H833" s="15">
        <f t="shared" si="80"/>
        <v>0.1</v>
      </c>
      <c r="K833" s="16"/>
    </row>
    <row r="834" ht="14.25" customHeight="1">
      <c r="A834" s="8"/>
      <c r="B834" s="9"/>
      <c r="C834" s="3">
        <v>209.0</v>
      </c>
      <c r="D834" s="46" t="s">
        <v>254</v>
      </c>
      <c r="E834" s="37"/>
      <c r="F834" s="13">
        <v>2000.0</v>
      </c>
      <c r="G834" s="36">
        <v>2500.0</v>
      </c>
      <c r="H834" s="15">
        <f t="shared" si="80"/>
        <v>0.25</v>
      </c>
      <c r="K834" s="16"/>
    </row>
    <row r="835" ht="14.25" customHeight="1">
      <c r="A835" s="8"/>
      <c r="B835" s="9"/>
      <c r="C835" s="3">
        <v>212.0</v>
      </c>
      <c r="D835" s="58" t="s">
        <v>159</v>
      </c>
      <c r="E835" s="65"/>
      <c r="F835" s="13">
        <v>14600.0</v>
      </c>
      <c r="G835" s="36">
        <v>17500.0</v>
      </c>
      <c r="H835" s="15">
        <f t="shared" si="80"/>
        <v>0.198630137</v>
      </c>
      <c r="K835" s="16"/>
    </row>
    <row r="836" ht="14.25" customHeight="1">
      <c r="A836" s="8"/>
      <c r="B836" s="9"/>
      <c r="C836" s="3">
        <v>213.0</v>
      </c>
      <c r="D836" s="58" t="s">
        <v>160</v>
      </c>
      <c r="E836" s="65"/>
      <c r="F836" s="13">
        <v>3000.0</v>
      </c>
      <c r="G836" s="13">
        <v>3000.0</v>
      </c>
      <c r="H836" s="15">
        <f t="shared" si="80"/>
        <v>0</v>
      </c>
      <c r="K836" s="16"/>
    </row>
    <row r="837" ht="14.25" customHeight="1">
      <c r="A837" s="8"/>
      <c r="B837" s="9"/>
      <c r="C837" s="3" t="s">
        <v>164</v>
      </c>
      <c r="D837" s="46" t="s">
        <v>165</v>
      </c>
      <c r="E837" s="37"/>
      <c r="F837" s="13">
        <v>5000.0</v>
      </c>
      <c r="G837" s="36">
        <v>7000.0</v>
      </c>
      <c r="H837" s="15">
        <f t="shared" si="80"/>
        <v>0.4</v>
      </c>
      <c r="K837" s="16"/>
    </row>
    <row r="838" ht="14.25" customHeight="1">
      <c r="A838" s="8"/>
      <c r="B838" s="9"/>
      <c r="C838" s="3" t="s">
        <v>200</v>
      </c>
      <c r="D838" s="46" t="s">
        <v>255</v>
      </c>
      <c r="E838" s="37"/>
      <c r="F838" s="13">
        <v>200.0</v>
      </c>
      <c r="G838" s="13">
        <v>200.0</v>
      </c>
      <c r="H838" s="15">
        <f t="shared" si="80"/>
        <v>0</v>
      </c>
      <c r="K838" s="16"/>
    </row>
    <row r="839" ht="14.25" customHeight="1">
      <c r="A839" s="8"/>
      <c r="B839" s="9"/>
      <c r="C839" s="3" t="s">
        <v>166</v>
      </c>
      <c r="D839" s="58" t="s">
        <v>167</v>
      </c>
      <c r="E839" s="37"/>
      <c r="F839" s="13">
        <v>1000.0</v>
      </c>
      <c r="G839" s="13">
        <v>1000.0</v>
      </c>
      <c r="H839" s="15">
        <f t="shared" si="80"/>
        <v>0</v>
      </c>
      <c r="K839" s="16"/>
    </row>
    <row r="840" ht="14.25" customHeight="1">
      <c r="A840" s="8"/>
      <c r="B840" s="9"/>
      <c r="C840" s="3" t="s">
        <v>173</v>
      </c>
      <c r="D840" s="58" t="s">
        <v>174</v>
      </c>
      <c r="E840" s="65"/>
      <c r="F840" s="13">
        <v>1500.0</v>
      </c>
      <c r="G840" s="36">
        <v>2500.0</v>
      </c>
      <c r="H840" s="15">
        <f t="shared" si="80"/>
        <v>0.6666666667</v>
      </c>
      <c r="K840" s="16"/>
    </row>
    <row r="841" ht="14.25" customHeight="1">
      <c r="A841" s="8"/>
      <c r="B841" s="9"/>
      <c r="C841" s="3" t="s">
        <v>175</v>
      </c>
      <c r="D841" s="46" t="s">
        <v>176</v>
      </c>
      <c r="E841" s="37"/>
      <c r="F841" s="13">
        <v>1000.0</v>
      </c>
      <c r="G841" s="13">
        <v>1000.0</v>
      </c>
      <c r="H841" s="15">
        <f t="shared" si="80"/>
        <v>0</v>
      </c>
      <c r="K841" s="16"/>
    </row>
    <row r="842" ht="14.25" customHeight="1">
      <c r="A842" s="8"/>
      <c r="B842" s="9"/>
      <c r="C842" s="3" t="s">
        <v>177</v>
      </c>
      <c r="D842" s="58" t="s">
        <v>178</v>
      </c>
      <c r="E842" s="65"/>
      <c r="F842" s="13">
        <v>500.0</v>
      </c>
      <c r="G842" s="13">
        <v>500.0</v>
      </c>
      <c r="H842" s="15">
        <f t="shared" si="80"/>
        <v>0</v>
      </c>
      <c r="K842" s="16"/>
    </row>
    <row r="843" ht="14.25" customHeight="1">
      <c r="A843" s="8"/>
      <c r="B843" s="9"/>
      <c r="C843" s="3">
        <v>224.0</v>
      </c>
      <c r="D843" s="58" t="s">
        <v>179</v>
      </c>
      <c r="E843" s="65"/>
      <c r="F843" s="13">
        <v>2000.0</v>
      </c>
      <c r="G843" s="36">
        <v>2500.0</v>
      </c>
      <c r="H843" s="15">
        <f t="shared" si="80"/>
        <v>0.25</v>
      </c>
      <c r="K843" s="16"/>
    </row>
    <row r="844" ht="14.25" customHeight="1">
      <c r="A844" s="8"/>
      <c r="B844" s="9"/>
      <c r="C844" s="3" t="s">
        <v>182</v>
      </c>
      <c r="D844" s="58" t="s">
        <v>183</v>
      </c>
      <c r="E844" s="37"/>
      <c r="F844" s="13">
        <v>2500.0</v>
      </c>
      <c r="G844" s="13">
        <v>2500.0</v>
      </c>
      <c r="H844" s="15">
        <f t="shared" si="80"/>
        <v>0</v>
      </c>
      <c r="K844" s="16"/>
    </row>
    <row r="845" ht="14.25" customHeight="1">
      <c r="A845" s="8"/>
      <c r="B845" s="9"/>
      <c r="C845" s="3" t="s">
        <v>184</v>
      </c>
      <c r="D845" s="58" t="s">
        <v>185</v>
      </c>
      <c r="E845" s="37"/>
      <c r="F845" s="13">
        <v>7000.0</v>
      </c>
      <c r="G845" s="13">
        <v>7000.0</v>
      </c>
      <c r="H845" s="15">
        <f t="shared" si="80"/>
        <v>0</v>
      </c>
      <c r="K845" s="16"/>
    </row>
    <row r="846" ht="14.25" customHeight="1">
      <c r="A846" s="8"/>
      <c r="B846" s="9"/>
      <c r="C846" s="3" t="s">
        <v>256</v>
      </c>
      <c r="D846" s="46" t="s">
        <v>257</v>
      </c>
      <c r="E846" s="37"/>
      <c r="F846" s="13">
        <v>1000.0</v>
      </c>
      <c r="G846" s="13">
        <v>1000.0</v>
      </c>
      <c r="H846" s="15">
        <f t="shared" si="80"/>
        <v>0</v>
      </c>
      <c r="K846" s="16"/>
    </row>
    <row r="847" ht="14.25" customHeight="1">
      <c r="A847" s="8"/>
      <c r="B847" s="9"/>
      <c r="C847" s="3" t="s">
        <v>240</v>
      </c>
      <c r="D847" s="46" t="s">
        <v>253</v>
      </c>
      <c r="E847" s="37"/>
      <c r="F847" s="13">
        <v>50000.0</v>
      </c>
      <c r="G847" s="36">
        <v>65000.0</v>
      </c>
      <c r="H847" s="15">
        <f t="shared" si="80"/>
        <v>0.3</v>
      </c>
      <c r="K847" s="16"/>
    </row>
    <row r="848" ht="14.25" customHeight="1">
      <c r="A848" s="8"/>
      <c r="B848" s="9"/>
      <c r="C848" s="3" t="s">
        <v>188</v>
      </c>
      <c r="D848" s="58" t="s">
        <v>189</v>
      </c>
      <c r="E848" s="65"/>
      <c r="F848" s="13">
        <v>15000.0</v>
      </c>
      <c r="G848" s="36">
        <v>18000.0</v>
      </c>
      <c r="H848" s="15">
        <f t="shared" si="80"/>
        <v>0.2</v>
      </c>
      <c r="K848" s="16"/>
    </row>
    <row r="849" ht="14.25" customHeight="1">
      <c r="A849" s="8"/>
      <c r="B849" s="9"/>
      <c r="C849" s="3" t="s">
        <v>190</v>
      </c>
      <c r="D849" s="58" t="s">
        <v>191</v>
      </c>
      <c r="E849" s="65"/>
      <c r="F849" s="13">
        <v>15000.0</v>
      </c>
      <c r="G849" s="36">
        <v>18000.0</v>
      </c>
      <c r="H849" s="15">
        <f t="shared" si="80"/>
        <v>0.2</v>
      </c>
      <c r="K849" s="16"/>
    </row>
    <row r="850" ht="14.25" customHeight="1">
      <c r="A850" s="8"/>
      <c r="B850" s="9"/>
      <c r="C850" s="3" t="s">
        <v>192</v>
      </c>
      <c r="D850" s="58" t="s">
        <v>193</v>
      </c>
      <c r="E850" s="65"/>
      <c r="F850" s="13">
        <v>1000.0</v>
      </c>
      <c r="G850" s="13">
        <v>1000.0</v>
      </c>
      <c r="H850" s="15">
        <f t="shared" si="80"/>
        <v>0</v>
      </c>
      <c r="K850" s="16"/>
    </row>
    <row r="851" ht="14.25" customHeight="1">
      <c r="A851" s="8"/>
      <c r="B851" s="38">
        <v>3261.0</v>
      </c>
      <c r="E851" s="39"/>
      <c r="F851" s="40">
        <f t="shared" ref="F851:G851" si="83">SUM(F833:F850)</f>
        <v>142300</v>
      </c>
      <c r="G851" s="40">
        <f t="shared" si="83"/>
        <v>172200</v>
      </c>
      <c r="H851" s="15">
        <f t="shared" si="80"/>
        <v>0.2101194659</v>
      </c>
      <c r="K851" s="16"/>
    </row>
    <row r="852" ht="14.25" customHeight="1">
      <c r="A852" s="8"/>
      <c r="B852" s="9"/>
      <c r="C852" s="3"/>
      <c r="D852" s="45"/>
      <c r="E852" s="35"/>
      <c r="F852" s="49"/>
      <c r="G852" s="49"/>
      <c r="H852" s="15" t="str">
        <f t="shared" si="80"/>
        <v/>
      </c>
      <c r="K852" s="16"/>
    </row>
    <row r="853" ht="14.25" customHeight="1">
      <c r="A853" s="8"/>
      <c r="B853" s="51">
        <v>3262.0</v>
      </c>
      <c r="C853" s="52"/>
      <c r="D853" s="53" t="s">
        <v>258</v>
      </c>
      <c r="E853" s="54"/>
      <c r="F853" s="53">
        <v>2023.0</v>
      </c>
      <c r="G853" s="55">
        <v>2024.0</v>
      </c>
      <c r="H853" s="15">
        <f t="shared" si="80"/>
        <v>0.0004943153732</v>
      </c>
      <c r="K853" s="16"/>
    </row>
    <row r="854" ht="14.25" customHeight="1">
      <c r="A854" s="8"/>
      <c r="B854" s="9"/>
      <c r="C854" s="3">
        <v>202.0</v>
      </c>
      <c r="D854" s="58" t="s">
        <v>245</v>
      </c>
      <c r="E854" s="37"/>
      <c r="F854" s="13">
        <v>500.0</v>
      </c>
      <c r="G854" s="13">
        <v>500.0</v>
      </c>
      <c r="H854" s="15">
        <f t="shared" si="80"/>
        <v>0</v>
      </c>
      <c r="K854" s="16"/>
    </row>
    <row r="855" ht="14.25" customHeight="1">
      <c r="A855" s="8"/>
      <c r="B855" s="9"/>
      <c r="C855" s="3">
        <v>203.0</v>
      </c>
      <c r="D855" s="58" t="s">
        <v>158</v>
      </c>
      <c r="E855" s="8"/>
      <c r="F855" s="13">
        <v>3000.0</v>
      </c>
      <c r="G855" s="13">
        <v>3000.0</v>
      </c>
      <c r="H855" s="15">
        <f t="shared" si="80"/>
        <v>0</v>
      </c>
      <c r="K855" s="16"/>
    </row>
    <row r="856" ht="14.25" customHeight="1">
      <c r="A856" s="8"/>
      <c r="B856" s="9"/>
      <c r="C856" s="3">
        <v>212.0</v>
      </c>
      <c r="D856" s="58" t="s">
        <v>159</v>
      </c>
      <c r="E856" s="65"/>
      <c r="F856" s="13">
        <v>11300.0</v>
      </c>
      <c r="G856" s="36">
        <v>13300.0</v>
      </c>
      <c r="H856" s="15">
        <f t="shared" si="80"/>
        <v>0.1769911504</v>
      </c>
      <c r="K856" s="16"/>
    </row>
    <row r="857" ht="14.25" customHeight="1">
      <c r="A857" s="8"/>
      <c r="B857" s="9"/>
      <c r="C857" s="3">
        <v>215.0</v>
      </c>
      <c r="D857" s="58" t="s">
        <v>162</v>
      </c>
      <c r="E857" s="65"/>
      <c r="F857" s="13">
        <v>200.0</v>
      </c>
      <c r="G857" s="13">
        <v>200.0</v>
      </c>
      <c r="H857" s="15">
        <f t="shared" si="80"/>
        <v>0</v>
      </c>
      <c r="K857" s="16"/>
    </row>
    <row r="858" ht="14.25" customHeight="1">
      <c r="A858" s="8"/>
      <c r="B858" s="9"/>
      <c r="C858" s="3">
        <v>216.0</v>
      </c>
      <c r="D858" s="58" t="s">
        <v>199</v>
      </c>
      <c r="E858" s="65"/>
      <c r="F858" s="13">
        <v>200.0</v>
      </c>
      <c r="G858" s="13">
        <v>200.0</v>
      </c>
      <c r="H858" s="15">
        <f t="shared" si="80"/>
        <v>0</v>
      </c>
      <c r="K858" s="16"/>
    </row>
    <row r="859" ht="14.25" customHeight="1">
      <c r="A859" s="8"/>
      <c r="B859" s="9"/>
      <c r="C859" s="3" t="s">
        <v>164</v>
      </c>
      <c r="D859" s="58" t="s">
        <v>165</v>
      </c>
      <c r="E859" s="65"/>
      <c r="F859" s="13">
        <v>1500.0</v>
      </c>
      <c r="G859" s="13">
        <v>1500.0</v>
      </c>
      <c r="H859" s="15">
        <f t="shared" si="80"/>
        <v>0</v>
      </c>
      <c r="K859" s="16"/>
    </row>
    <row r="860" ht="14.25" customHeight="1">
      <c r="A860" s="8"/>
      <c r="B860" s="9"/>
      <c r="C860" s="3" t="s">
        <v>171</v>
      </c>
      <c r="D860" s="58" t="s">
        <v>172</v>
      </c>
      <c r="E860" s="65"/>
      <c r="F860" s="13">
        <v>1300.0</v>
      </c>
      <c r="G860" s="13">
        <v>1300.0</v>
      </c>
      <c r="H860" s="15">
        <f t="shared" si="80"/>
        <v>0</v>
      </c>
      <c r="K860" s="16"/>
    </row>
    <row r="861" ht="14.25" customHeight="1">
      <c r="A861" s="8"/>
      <c r="B861" s="9"/>
      <c r="C861" s="3" t="s">
        <v>173</v>
      </c>
      <c r="D861" s="58" t="s">
        <v>174</v>
      </c>
      <c r="E861" s="65"/>
      <c r="F861" s="13">
        <v>800.0</v>
      </c>
      <c r="G861" s="13">
        <v>800.0</v>
      </c>
      <c r="H861" s="15">
        <f t="shared" si="80"/>
        <v>0</v>
      </c>
      <c r="K861" s="16"/>
    </row>
    <row r="862" ht="14.25" customHeight="1">
      <c r="A862" s="8"/>
      <c r="B862" s="110"/>
      <c r="C862" s="3" t="s">
        <v>175</v>
      </c>
      <c r="D862" s="58" t="s">
        <v>176</v>
      </c>
      <c r="E862" s="65"/>
      <c r="F862" s="13">
        <v>900.0</v>
      </c>
      <c r="G862" s="13">
        <v>900.0</v>
      </c>
      <c r="H862" s="15">
        <f t="shared" si="80"/>
        <v>0</v>
      </c>
      <c r="K862" s="16"/>
    </row>
    <row r="863" ht="14.25" customHeight="1">
      <c r="A863" s="8"/>
      <c r="B863" s="9"/>
      <c r="C863" s="3" t="s">
        <v>184</v>
      </c>
      <c r="D863" s="58" t="s">
        <v>185</v>
      </c>
      <c r="E863" s="65"/>
      <c r="F863" s="13">
        <v>500.0</v>
      </c>
      <c r="G863" s="13">
        <v>500.0</v>
      </c>
      <c r="H863" s="15">
        <f t="shared" si="80"/>
        <v>0</v>
      </c>
      <c r="K863" s="16"/>
    </row>
    <row r="864" ht="14.25" customHeight="1">
      <c r="A864" s="8"/>
      <c r="B864" s="9"/>
      <c r="C864" s="3" t="s">
        <v>240</v>
      </c>
      <c r="D864" s="46" t="s">
        <v>241</v>
      </c>
      <c r="E864" s="65"/>
      <c r="F864" s="13">
        <v>5000.0</v>
      </c>
      <c r="G864" s="13">
        <v>5000.0</v>
      </c>
      <c r="H864" s="15">
        <f t="shared" si="80"/>
        <v>0</v>
      </c>
      <c r="K864" s="16"/>
    </row>
    <row r="865" ht="14.25" customHeight="1">
      <c r="A865" s="8"/>
      <c r="B865" s="9"/>
      <c r="C865" s="3" t="s">
        <v>188</v>
      </c>
      <c r="D865" s="58" t="s">
        <v>189</v>
      </c>
      <c r="E865" s="65"/>
      <c r="F865" s="13">
        <f t="shared" ref="F865:G865" si="84">23000-2900</f>
        <v>20100</v>
      </c>
      <c r="G865" s="13">
        <f t="shared" si="84"/>
        <v>20100</v>
      </c>
      <c r="H865" s="15">
        <f t="shared" si="80"/>
        <v>0</v>
      </c>
      <c r="K865" s="16"/>
    </row>
    <row r="866" ht="14.25" customHeight="1">
      <c r="A866" s="8"/>
      <c r="B866" s="9"/>
      <c r="C866" s="3" t="s">
        <v>190</v>
      </c>
      <c r="D866" s="58" t="s">
        <v>191</v>
      </c>
      <c r="E866" s="65"/>
      <c r="F866" s="13">
        <f t="shared" ref="F866:G866" si="85">10400-10400</f>
        <v>0</v>
      </c>
      <c r="G866" s="13">
        <f t="shared" si="85"/>
        <v>0</v>
      </c>
      <c r="H866" s="15" t="str">
        <f t="shared" si="80"/>
        <v/>
      </c>
      <c r="K866" s="16"/>
    </row>
    <row r="867" ht="14.25" customHeight="1">
      <c r="A867" s="8"/>
      <c r="B867" s="9"/>
      <c r="C867" s="3" t="s">
        <v>192</v>
      </c>
      <c r="D867" s="58" t="s">
        <v>193</v>
      </c>
      <c r="E867" s="65"/>
      <c r="F867" s="13">
        <v>100.0</v>
      </c>
      <c r="G867" s="13">
        <v>100.0</v>
      </c>
      <c r="H867" s="15">
        <f t="shared" si="80"/>
        <v>0</v>
      </c>
      <c r="K867" s="16"/>
    </row>
    <row r="868" ht="14.25" customHeight="1">
      <c r="A868" s="8"/>
      <c r="B868" s="38">
        <v>3262.0</v>
      </c>
      <c r="E868" s="39"/>
      <c r="F868" s="40">
        <f t="shared" ref="F868:G868" si="86">SUM(F854:F867)</f>
        <v>45400</v>
      </c>
      <c r="G868" s="40">
        <f t="shared" si="86"/>
        <v>47400</v>
      </c>
      <c r="H868" s="15">
        <f t="shared" si="80"/>
        <v>0.04405286344</v>
      </c>
      <c r="K868" s="16"/>
    </row>
    <row r="869" ht="14.25" customHeight="1">
      <c r="A869" s="8"/>
      <c r="B869" s="9"/>
      <c r="C869" s="3"/>
      <c r="D869" s="45"/>
      <c r="E869" s="35"/>
      <c r="F869" s="49"/>
      <c r="G869" s="49"/>
      <c r="H869" s="15" t="str">
        <f t="shared" si="80"/>
        <v/>
      </c>
      <c r="K869" s="16"/>
    </row>
    <row r="870" ht="14.25" customHeight="1">
      <c r="A870" s="8"/>
      <c r="B870" s="51">
        <v>3300.0</v>
      </c>
      <c r="C870" s="52"/>
      <c r="D870" s="53" t="s">
        <v>119</v>
      </c>
      <c r="E870" s="54"/>
      <c r="F870" s="53">
        <v>2023.0</v>
      </c>
      <c r="G870" s="55">
        <v>2024.0</v>
      </c>
      <c r="H870" s="15">
        <f t="shared" si="80"/>
        <v>0.0004943153732</v>
      </c>
      <c r="K870" s="16"/>
    </row>
    <row r="871" ht="14.25" customHeight="1">
      <c r="A871" s="8"/>
      <c r="B871" s="9"/>
      <c r="C871" s="3">
        <v>203.0</v>
      </c>
      <c r="D871" s="58" t="s">
        <v>158</v>
      </c>
      <c r="E871" s="37"/>
      <c r="F871" s="13">
        <v>2500.0</v>
      </c>
      <c r="G871" s="13">
        <v>2500.0</v>
      </c>
      <c r="H871" s="15">
        <f t="shared" si="80"/>
        <v>0</v>
      </c>
      <c r="K871" s="16"/>
    </row>
    <row r="872" ht="14.25" customHeight="1">
      <c r="A872" s="8"/>
      <c r="B872" s="9"/>
      <c r="C872" s="3">
        <v>212.0</v>
      </c>
      <c r="D872" s="58" t="s">
        <v>159</v>
      </c>
      <c r="E872" s="65"/>
      <c r="F872" s="13">
        <v>60500.0</v>
      </c>
      <c r="G872" s="36">
        <v>70500.0</v>
      </c>
      <c r="H872" s="15">
        <f t="shared" si="80"/>
        <v>0.1652892562</v>
      </c>
      <c r="K872" s="16"/>
    </row>
    <row r="873" ht="14.25" customHeight="1">
      <c r="A873" s="8"/>
      <c r="B873" s="9"/>
      <c r="C873" s="3">
        <v>213.0</v>
      </c>
      <c r="D873" s="58" t="s">
        <v>160</v>
      </c>
      <c r="E873" s="37"/>
      <c r="F873" s="13">
        <v>100.0</v>
      </c>
      <c r="G873" s="13">
        <v>100.0</v>
      </c>
      <c r="H873" s="15">
        <f t="shared" si="80"/>
        <v>0</v>
      </c>
      <c r="K873" s="16"/>
    </row>
    <row r="874" ht="14.25" customHeight="1">
      <c r="A874" s="8"/>
      <c r="B874" s="9"/>
      <c r="C874" s="3">
        <v>216.0</v>
      </c>
      <c r="D874" s="58" t="s">
        <v>199</v>
      </c>
      <c r="E874" s="65"/>
      <c r="F874" s="13">
        <v>500.0</v>
      </c>
      <c r="G874" s="13">
        <v>500.0</v>
      </c>
      <c r="H874" s="15">
        <f t="shared" si="80"/>
        <v>0</v>
      </c>
      <c r="K874" s="16"/>
    </row>
    <row r="875" ht="14.25" customHeight="1">
      <c r="A875" s="8"/>
      <c r="B875" s="9"/>
      <c r="C875" s="3" t="s">
        <v>164</v>
      </c>
      <c r="D875" s="58" t="s">
        <v>165</v>
      </c>
      <c r="E875" s="65"/>
      <c r="F875" s="13">
        <v>3800.0</v>
      </c>
      <c r="G875" s="13">
        <v>3800.0</v>
      </c>
      <c r="H875" s="15">
        <f t="shared" si="80"/>
        <v>0</v>
      </c>
      <c r="K875" s="16"/>
    </row>
    <row r="876" ht="14.25" customHeight="1">
      <c r="A876" s="8"/>
      <c r="B876" s="9"/>
      <c r="C876" s="3" t="s">
        <v>166</v>
      </c>
      <c r="D876" s="58" t="s">
        <v>198</v>
      </c>
      <c r="E876" s="65"/>
      <c r="F876" s="13">
        <v>5000.0</v>
      </c>
      <c r="G876" s="13">
        <v>5000.0</v>
      </c>
      <c r="H876" s="15">
        <f t="shared" si="80"/>
        <v>0</v>
      </c>
      <c r="K876" s="16"/>
    </row>
    <row r="877" ht="14.25" customHeight="1">
      <c r="A877" s="8"/>
      <c r="B877" s="9"/>
      <c r="C877" s="3" t="s">
        <v>4</v>
      </c>
      <c r="D877" s="58" t="s">
        <v>168</v>
      </c>
      <c r="E877" s="65"/>
      <c r="F877" s="13">
        <v>96000.0</v>
      </c>
      <c r="G877" s="13">
        <v>96000.0</v>
      </c>
      <c r="H877" s="15">
        <f t="shared" si="80"/>
        <v>0</v>
      </c>
      <c r="K877" s="16"/>
    </row>
    <row r="878" ht="14.25" customHeight="1">
      <c r="A878" s="8"/>
      <c r="B878" s="9"/>
      <c r="C878" s="3" t="s">
        <v>171</v>
      </c>
      <c r="D878" s="58" t="s">
        <v>172</v>
      </c>
      <c r="E878" s="65"/>
      <c r="F878" s="13">
        <v>800.0</v>
      </c>
      <c r="G878" s="13">
        <v>800.0</v>
      </c>
      <c r="H878" s="15">
        <f t="shared" si="80"/>
        <v>0</v>
      </c>
      <c r="K878" s="16"/>
    </row>
    <row r="879" ht="14.25" customHeight="1">
      <c r="A879" s="8"/>
      <c r="B879" s="9"/>
      <c r="C879" s="3" t="s">
        <v>173</v>
      </c>
      <c r="D879" s="58" t="s">
        <v>174</v>
      </c>
      <c r="E879" s="65"/>
      <c r="F879" s="13">
        <v>5000.0</v>
      </c>
      <c r="G879" s="13">
        <v>5000.0</v>
      </c>
      <c r="H879" s="15">
        <f t="shared" si="80"/>
        <v>0</v>
      </c>
      <c r="K879" s="16"/>
    </row>
    <row r="880" ht="14.25" customHeight="1">
      <c r="A880" s="8"/>
      <c r="B880" s="9"/>
      <c r="C880" s="3" t="s">
        <v>175</v>
      </c>
      <c r="D880" s="58" t="s">
        <v>176</v>
      </c>
      <c r="E880" s="65"/>
      <c r="F880" s="13">
        <v>7000.0</v>
      </c>
      <c r="G880" s="13">
        <v>7000.0</v>
      </c>
      <c r="H880" s="15">
        <f t="shared" si="80"/>
        <v>0</v>
      </c>
      <c r="K880" s="16"/>
    </row>
    <row r="881" ht="14.25" customHeight="1">
      <c r="A881" s="8"/>
      <c r="B881" s="9"/>
      <c r="C881" s="3" t="s">
        <v>180</v>
      </c>
      <c r="D881" s="46" t="s">
        <v>181</v>
      </c>
      <c r="E881" s="65"/>
      <c r="F881" s="13">
        <v>50.0</v>
      </c>
      <c r="G881" s="13">
        <v>50.0</v>
      </c>
      <c r="H881" s="15">
        <f t="shared" si="80"/>
        <v>0</v>
      </c>
      <c r="K881" s="16"/>
    </row>
    <row r="882" ht="14.25" customHeight="1">
      <c r="A882" s="8"/>
      <c r="B882" s="9"/>
      <c r="C882" s="3" t="s">
        <v>188</v>
      </c>
      <c r="D882" s="58" t="s">
        <v>189</v>
      </c>
      <c r="E882" s="65"/>
      <c r="F882" s="13">
        <v>500.0</v>
      </c>
      <c r="G882" s="13">
        <v>500.0</v>
      </c>
      <c r="H882" s="15">
        <f t="shared" si="80"/>
        <v>0</v>
      </c>
      <c r="K882" s="16"/>
    </row>
    <row r="883" ht="14.25" customHeight="1">
      <c r="A883" s="8"/>
      <c r="B883" s="9"/>
      <c r="C883" s="3" t="s">
        <v>190</v>
      </c>
      <c r="D883" s="58" t="s">
        <v>191</v>
      </c>
      <c r="E883" s="65"/>
      <c r="F883" s="13">
        <v>2000.0</v>
      </c>
      <c r="G883" s="13">
        <v>2000.0</v>
      </c>
      <c r="H883" s="15">
        <f t="shared" si="80"/>
        <v>0</v>
      </c>
      <c r="K883" s="16"/>
    </row>
    <row r="884" ht="14.25" customHeight="1">
      <c r="A884" s="8"/>
      <c r="B884" s="9"/>
      <c r="C884" s="3" t="s">
        <v>192</v>
      </c>
      <c r="D884" s="58" t="s">
        <v>193</v>
      </c>
      <c r="E884" s="65"/>
      <c r="F884" s="13">
        <v>1000.0</v>
      </c>
      <c r="G884" s="13">
        <v>1000.0</v>
      </c>
      <c r="H884" s="15">
        <f t="shared" si="80"/>
        <v>0</v>
      </c>
      <c r="K884" s="16"/>
    </row>
    <row r="885" ht="14.25" customHeight="1">
      <c r="A885" s="8"/>
      <c r="B885" s="38">
        <v>3300.0</v>
      </c>
      <c r="E885" s="39"/>
      <c r="F885" s="40">
        <f t="shared" ref="F885:G885" si="87">SUM(F871:F884)</f>
        <v>184750</v>
      </c>
      <c r="G885" s="40">
        <f t="shared" si="87"/>
        <v>194750</v>
      </c>
      <c r="H885" s="15">
        <f t="shared" si="80"/>
        <v>0.05412719892</v>
      </c>
      <c r="K885" s="16"/>
    </row>
    <row r="886" ht="14.25" customHeight="1">
      <c r="A886" s="8"/>
      <c r="B886" s="9"/>
      <c r="C886" s="3"/>
      <c r="D886" s="45"/>
      <c r="E886" s="35"/>
      <c r="F886" s="49"/>
      <c r="G886" s="49"/>
      <c r="H886" s="15" t="str">
        <f t="shared" si="80"/>
        <v/>
      </c>
      <c r="K886" s="16"/>
    </row>
    <row r="887" ht="14.25" customHeight="1">
      <c r="A887" s="8"/>
      <c r="B887" s="51">
        <v>3321.0</v>
      </c>
      <c r="C887" s="52"/>
      <c r="D887" s="53" t="s">
        <v>120</v>
      </c>
      <c r="E887" s="54"/>
      <c r="F887" s="53">
        <v>2023.0</v>
      </c>
      <c r="G887" s="55">
        <v>2024.0</v>
      </c>
      <c r="H887" s="15">
        <f t="shared" si="80"/>
        <v>0.0004943153732</v>
      </c>
      <c r="K887" s="16"/>
    </row>
    <row r="888" ht="14.25" customHeight="1">
      <c r="A888" s="8"/>
      <c r="B888" s="9"/>
      <c r="C888" s="3">
        <v>209.0</v>
      </c>
      <c r="D888" s="58" t="s">
        <v>254</v>
      </c>
      <c r="E888" s="65"/>
      <c r="F888" s="13">
        <v>1800.0</v>
      </c>
      <c r="G888" s="13">
        <v>1800.0</v>
      </c>
      <c r="H888" s="15">
        <f t="shared" si="80"/>
        <v>0</v>
      </c>
      <c r="K888" s="16"/>
    </row>
    <row r="889" ht="14.25" customHeight="1">
      <c r="A889" s="8"/>
      <c r="B889" s="9"/>
      <c r="C889" s="111" t="s">
        <v>164</v>
      </c>
      <c r="D889" s="58" t="s">
        <v>165</v>
      </c>
      <c r="E889" s="65"/>
      <c r="F889" s="13">
        <v>5000.0</v>
      </c>
      <c r="G889" s="13">
        <v>5000.0</v>
      </c>
      <c r="H889" s="15">
        <f t="shared" si="80"/>
        <v>0</v>
      </c>
      <c r="K889" s="16"/>
    </row>
    <row r="890" ht="14.25" customHeight="1">
      <c r="A890" s="8"/>
      <c r="B890" s="9"/>
      <c r="C890" s="3" t="s">
        <v>200</v>
      </c>
      <c r="D890" s="46" t="s">
        <v>259</v>
      </c>
      <c r="E890" s="37"/>
      <c r="F890" s="13">
        <v>35000.0</v>
      </c>
      <c r="G890" s="36">
        <v>38000.0</v>
      </c>
      <c r="H890" s="15">
        <f t="shared" si="80"/>
        <v>0.08571428571</v>
      </c>
      <c r="K890" s="16"/>
    </row>
    <row r="891" ht="14.25" customHeight="1">
      <c r="A891" s="8"/>
      <c r="B891" s="9"/>
      <c r="C891" s="3" t="s">
        <v>173</v>
      </c>
      <c r="D891" s="58" t="s">
        <v>174</v>
      </c>
      <c r="E891" s="37"/>
      <c r="F891" s="13">
        <v>1500.0</v>
      </c>
      <c r="G891" s="13">
        <v>1500.0</v>
      </c>
      <c r="H891" s="15">
        <f t="shared" si="80"/>
        <v>0</v>
      </c>
      <c r="K891" s="16"/>
    </row>
    <row r="892" ht="14.25" customHeight="1">
      <c r="A892" s="8"/>
      <c r="B892" s="9"/>
      <c r="C892" s="3" t="s">
        <v>175</v>
      </c>
      <c r="D892" s="46" t="s">
        <v>176</v>
      </c>
      <c r="E892" s="37"/>
      <c r="F892" s="13">
        <v>1500.0</v>
      </c>
      <c r="G892" s="36">
        <v>2000.0</v>
      </c>
      <c r="H892" s="15">
        <f t="shared" si="80"/>
        <v>0.3333333333</v>
      </c>
      <c r="K892" s="16"/>
    </row>
    <row r="893" ht="14.25" customHeight="1">
      <c r="A893" s="8"/>
      <c r="B893" s="9"/>
      <c r="C893" s="3" t="s">
        <v>177</v>
      </c>
      <c r="D893" s="46" t="s">
        <v>178</v>
      </c>
      <c r="E893" s="8"/>
      <c r="F893" s="13">
        <v>300.0</v>
      </c>
      <c r="G893" s="36">
        <v>900.0</v>
      </c>
      <c r="H893" s="15">
        <f t="shared" si="80"/>
        <v>2</v>
      </c>
      <c r="K893" s="16"/>
    </row>
    <row r="894" ht="14.25" customHeight="1">
      <c r="A894" s="8"/>
      <c r="B894" s="9"/>
      <c r="C894" s="3">
        <v>223.0</v>
      </c>
      <c r="D894" s="46" t="s">
        <v>211</v>
      </c>
      <c r="E894" s="37"/>
      <c r="F894" s="13">
        <v>500.0</v>
      </c>
      <c r="G894" s="13">
        <v>500.0</v>
      </c>
      <c r="H894" s="15">
        <f t="shared" si="80"/>
        <v>0</v>
      </c>
      <c r="K894" s="16"/>
    </row>
    <row r="895" ht="14.25" customHeight="1">
      <c r="A895" s="8"/>
      <c r="B895" s="9"/>
      <c r="C895" s="3" t="s">
        <v>182</v>
      </c>
      <c r="D895" s="58" t="s">
        <v>183</v>
      </c>
      <c r="E895" s="37"/>
      <c r="F895" s="13">
        <v>200.0</v>
      </c>
      <c r="G895" s="13">
        <v>200.0</v>
      </c>
      <c r="H895" s="15">
        <f t="shared" si="80"/>
        <v>0</v>
      </c>
      <c r="K895" s="16"/>
    </row>
    <row r="896" ht="14.25" customHeight="1">
      <c r="A896" s="8"/>
      <c r="B896" s="9"/>
      <c r="C896" s="3" t="s">
        <v>184</v>
      </c>
      <c r="D896" s="58" t="s">
        <v>185</v>
      </c>
      <c r="E896" s="37"/>
      <c r="F896" s="13">
        <v>3000.0</v>
      </c>
      <c r="G896" s="36">
        <v>4000.0</v>
      </c>
      <c r="H896" s="15">
        <f t="shared" si="80"/>
        <v>0.3333333333</v>
      </c>
      <c r="K896" s="16"/>
    </row>
    <row r="897" ht="14.25" customHeight="1">
      <c r="A897" s="8"/>
      <c r="B897" s="9"/>
      <c r="C897" s="3" t="s">
        <v>240</v>
      </c>
      <c r="D897" s="46" t="s">
        <v>241</v>
      </c>
      <c r="E897" s="65"/>
      <c r="F897" s="13">
        <v>600.0</v>
      </c>
      <c r="G897" s="36">
        <v>2000.0</v>
      </c>
      <c r="H897" s="15">
        <f t="shared" si="80"/>
        <v>2.333333333</v>
      </c>
      <c r="K897" s="16"/>
    </row>
    <row r="898" ht="14.25" customHeight="1">
      <c r="A898" s="8"/>
      <c r="B898" s="9"/>
      <c r="C898" s="3" t="s">
        <v>188</v>
      </c>
      <c r="D898" s="58" t="s">
        <v>189</v>
      </c>
      <c r="E898" s="65"/>
      <c r="F898" s="13">
        <v>4000.0</v>
      </c>
      <c r="G898" s="13">
        <v>4000.0</v>
      </c>
      <c r="H898" s="15">
        <f t="shared" si="80"/>
        <v>0</v>
      </c>
      <c r="K898" s="16"/>
    </row>
    <row r="899" ht="14.25" customHeight="1">
      <c r="A899" s="8"/>
      <c r="B899" s="9"/>
      <c r="C899" s="3" t="s">
        <v>203</v>
      </c>
      <c r="D899" s="58" t="s">
        <v>239</v>
      </c>
      <c r="E899" s="65"/>
      <c r="F899" s="13">
        <v>7200.0</v>
      </c>
      <c r="G899" s="36">
        <v>9400.0</v>
      </c>
      <c r="H899" s="15">
        <f t="shared" si="80"/>
        <v>0.3055555556</v>
      </c>
      <c r="K899" s="16"/>
    </row>
    <row r="900" ht="14.25" customHeight="1">
      <c r="A900" s="8"/>
      <c r="B900" s="9"/>
      <c r="C900" s="3" t="s">
        <v>192</v>
      </c>
      <c r="D900" s="58" t="s">
        <v>193</v>
      </c>
      <c r="E900" s="65"/>
      <c r="F900" s="13">
        <v>100.0</v>
      </c>
      <c r="G900" s="36">
        <v>600.0</v>
      </c>
      <c r="H900" s="15">
        <f t="shared" si="80"/>
        <v>5</v>
      </c>
      <c r="K900" s="16"/>
    </row>
    <row r="901" ht="14.25" customHeight="1">
      <c r="A901" s="8"/>
      <c r="B901" s="38">
        <v>3321.0</v>
      </c>
      <c r="E901" s="39"/>
      <c r="F901" s="40">
        <f t="shared" ref="F901:G901" si="88">SUM(F888:F900)</f>
        <v>60700</v>
      </c>
      <c r="G901" s="40">
        <f t="shared" si="88"/>
        <v>69900</v>
      </c>
      <c r="H901" s="15">
        <f t="shared" si="80"/>
        <v>0.1515650741</v>
      </c>
      <c r="K901" s="16"/>
    </row>
    <row r="902" ht="14.25" customHeight="1">
      <c r="A902" s="8"/>
      <c r="B902" s="9"/>
      <c r="C902" s="45"/>
      <c r="D902" s="46"/>
      <c r="E902" s="37"/>
      <c r="F902" s="49"/>
      <c r="G902" s="49"/>
      <c r="H902" s="15" t="str">
        <f t="shared" si="80"/>
        <v/>
      </c>
      <c r="K902" s="16"/>
    </row>
    <row r="903" ht="14.25" customHeight="1">
      <c r="A903" s="8"/>
      <c r="B903" s="51">
        <v>3330.0</v>
      </c>
      <c r="C903" s="52"/>
      <c r="D903" s="53" t="s">
        <v>260</v>
      </c>
      <c r="E903" s="54"/>
      <c r="F903" s="53">
        <v>2023.0</v>
      </c>
      <c r="G903" s="55">
        <v>2024.0</v>
      </c>
      <c r="H903" s="15">
        <f t="shared" si="80"/>
        <v>0.0004943153732</v>
      </c>
      <c r="K903" s="16"/>
    </row>
    <row r="904" ht="14.25" customHeight="1">
      <c r="A904" s="8"/>
      <c r="B904" s="9"/>
      <c r="C904" s="96">
        <v>202.0</v>
      </c>
      <c r="D904" s="97" t="s">
        <v>261</v>
      </c>
      <c r="E904" s="65"/>
      <c r="F904" s="36">
        <v>0.0</v>
      </c>
      <c r="G904" s="36">
        <v>4000.0</v>
      </c>
      <c r="H904" s="15"/>
      <c r="K904" s="16"/>
    </row>
    <row r="905" ht="14.25" customHeight="1">
      <c r="A905" s="8"/>
      <c r="B905" s="9"/>
      <c r="C905" s="3">
        <v>212.0</v>
      </c>
      <c r="D905" s="58" t="s">
        <v>159</v>
      </c>
      <c r="E905" s="65"/>
      <c r="F905" s="13">
        <v>12000.0</v>
      </c>
      <c r="G905" s="36">
        <v>20000.0</v>
      </c>
      <c r="H905" s="15">
        <f t="shared" ref="H905:H931" si="89">IFERROR(((G905-F905)/F905), "")</f>
        <v>0.6666666667</v>
      </c>
      <c r="K905" s="16"/>
    </row>
    <row r="906" ht="14.25" customHeight="1">
      <c r="A906" s="99"/>
      <c r="B906" s="99"/>
      <c r="C906" s="100" t="s">
        <v>164</v>
      </c>
      <c r="D906" s="101" t="s">
        <v>165</v>
      </c>
      <c r="E906" s="101"/>
      <c r="F906" s="112">
        <v>0.0</v>
      </c>
      <c r="G906" s="112">
        <v>500.0</v>
      </c>
      <c r="H906" s="15" t="str">
        <f t="shared" si="89"/>
        <v/>
      </c>
      <c r="I906" s="106"/>
      <c r="J906" s="106"/>
      <c r="K906" s="108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</row>
    <row r="907" ht="14.25" customHeight="1">
      <c r="A907" s="8"/>
      <c r="B907" s="9"/>
      <c r="C907" s="3" t="s">
        <v>166</v>
      </c>
      <c r="D907" s="58" t="s">
        <v>198</v>
      </c>
      <c r="E907" s="65"/>
      <c r="F907" s="13">
        <v>3000.0</v>
      </c>
      <c r="G907" s="13">
        <v>3000.0</v>
      </c>
      <c r="H907" s="15">
        <f t="shared" si="89"/>
        <v>0</v>
      </c>
      <c r="K907" s="16"/>
    </row>
    <row r="908" ht="14.25" customHeight="1">
      <c r="A908" s="8"/>
      <c r="B908" s="9"/>
      <c r="C908" s="3" t="s">
        <v>4</v>
      </c>
      <c r="D908" s="58" t="s">
        <v>168</v>
      </c>
      <c r="E908" s="65"/>
      <c r="F908" s="13">
        <v>3000.0</v>
      </c>
      <c r="G908" s="13">
        <v>3000.0</v>
      </c>
      <c r="H908" s="15">
        <f t="shared" si="89"/>
        <v>0</v>
      </c>
      <c r="K908" s="16"/>
    </row>
    <row r="909" ht="14.25" customHeight="1">
      <c r="A909" s="8"/>
      <c r="B909" s="9"/>
      <c r="C909" s="3" t="s">
        <v>173</v>
      </c>
      <c r="D909" s="58" t="s">
        <v>174</v>
      </c>
      <c r="E909" s="65"/>
      <c r="F909" s="13">
        <v>1000.0</v>
      </c>
      <c r="G909" s="13">
        <v>1000.0</v>
      </c>
      <c r="H909" s="15">
        <f t="shared" si="89"/>
        <v>0</v>
      </c>
      <c r="K909" s="16"/>
    </row>
    <row r="910" ht="14.25" customHeight="1">
      <c r="A910" s="8"/>
      <c r="B910" s="9"/>
      <c r="C910" s="3" t="s">
        <v>175</v>
      </c>
      <c r="D910" s="58" t="s">
        <v>176</v>
      </c>
      <c r="E910" s="65"/>
      <c r="F910" s="13">
        <v>100.0</v>
      </c>
      <c r="G910" s="13">
        <v>100.0</v>
      </c>
      <c r="H910" s="15">
        <f t="shared" si="89"/>
        <v>0</v>
      </c>
      <c r="K910" s="16"/>
    </row>
    <row r="911" ht="14.25" customHeight="1">
      <c r="A911" s="8"/>
      <c r="B911" s="9"/>
      <c r="C911" s="3" t="s">
        <v>180</v>
      </c>
      <c r="D911" s="46" t="s">
        <v>181</v>
      </c>
      <c r="E911" s="65"/>
      <c r="F911" s="13">
        <v>100.0</v>
      </c>
      <c r="G911" s="13">
        <v>100.0</v>
      </c>
      <c r="H911" s="15">
        <f t="shared" si="89"/>
        <v>0</v>
      </c>
      <c r="K911" s="16"/>
    </row>
    <row r="912" ht="14.25" customHeight="1">
      <c r="A912" s="8"/>
      <c r="B912" s="9"/>
      <c r="C912" s="3" t="s">
        <v>184</v>
      </c>
      <c r="D912" s="58" t="s">
        <v>185</v>
      </c>
      <c r="E912" s="65"/>
      <c r="F912" s="13">
        <v>100.0</v>
      </c>
      <c r="G912" s="13">
        <v>100.0</v>
      </c>
      <c r="H912" s="15">
        <f t="shared" si="89"/>
        <v>0</v>
      </c>
      <c r="K912" s="16"/>
    </row>
    <row r="913" ht="14.25" customHeight="1">
      <c r="A913" s="8"/>
      <c r="B913" s="9"/>
      <c r="C913" s="3" t="s">
        <v>188</v>
      </c>
      <c r="D913" s="58" t="s">
        <v>189</v>
      </c>
      <c r="E913" s="65"/>
      <c r="F913" s="13">
        <v>500.0</v>
      </c>
      <c r="G913" s="13">
        <v>500.0</v>
      </c>
      <c r="H913" s="15">
        <f t="shared" si="89"/>
        <v>0</v>
      </c>
      <c r="K913" s="16"/>
    </row>
    <row r="914" ht="14.25" customHeight="1">
      <c r="A914" s="8"/>
      <c r="B914" s="9"/>
      <c r="C914" s="3" t="s">
        <v>190</v>
      </c>
      <c r="D914" s="58" t="s">
        <v>191</v>
      </c>
      <c r="E914" s="65"/>
      <c r="F914" s="13">
        <v>90000.0</v>
      </c>
      <c r="G914" s="36">
        <v>72000.0</v>
      </c>
      <c r="H914" s="15">
        <f t="shared" si="89"/>
        <v>-0.2</v>
      </c>
      <c r="K914" s="16"/>
    </row>
    <row r="915" ht="14.25" customHeight="1">
      <c r="A915" s="8"/>
      <c r="B915" s="38">
        <v>3330.0</v>
      </c>
      <c r="E915" s="39"/>
      <c r="F915" s="40">
        <f>SUM(F905:F914)</f>
        <v>109800</v>
      </c>
      <c r="G915" s="40">
        <f>SUM(G904:G914)</f>
        <v>104300</v>
      </c>
      <c r="H915" s="15">
        <f t="shared" si="89"/>
        <v>-0.05009107468</v>
      </c>
      <c r="K915" s="16"/>
    </row>
    <row r="916" ht="14.25" customHeight="1">
      <c r="A916" s="8"/>
      <c r="B916" s="9"/>
      <c r="C916" s="45"/>
      <c r="D916" s="46"/>
      <c r="E916" s="37"/>
      <c r="F916" s="49"/>
      <c r="G916" s="49"/>
      <c r="H916" s="15" t="str">
        <f t="shared" si="89"/>
        <v/>
      </c>
      <c r="K916" s="16"/>
    </row>
    <row r="917" ht="14.25" customHeight="1">
      <c r="A917" s="8"/>
      <c r="B917" s="51">
        <v>3331.0</v>
      </c>
      <c r="C917" s="52"/>
      <c r="D917" s="53" t="s">
        <v>262</v>
      </c>
      <c r="E917" s="54"/>
      <c r="F917" s="53">
        <v>2023.0</v>
      </c>
      <c r="G917" s="55">
        <v>2024.0</v>
      </c>
      <c r="H917" s="15">
        <f t="shared" si="89"/>
        <v>0.0004943153732</v>
      </c>
      <c r="K917" s="16"/>
    </row>
    <row r="918" ht="14.25" customHeight="1">
      <c r="A918" s="8"/>
      <c r="B918" s="9"/>
      <c r="C918" s="3">
        <v>203.0</v>
      </c>
      <c r="D918" s="58" t="s">
        <v>158</v>
      </c>
      <c r="E918" s="37"/>
      <c r="F918" s="13">
        <v>500.0</v>
      </c>
      <c r="G918" s="36">
        <v>0.0</v>
      </c>
      <c r="H918" s="15">
        <f t="shared" si="89"/>
        <v>-1</v>
      </c>
      <c r="K918" s="16"/>
    </row>
    <row r="919" ht="14.25" customHeight="1">
      <c r="A919" s="8"/>
      <c r="B919" s="9"/>
      <c r="C919" s="3">
        <v>212.0</v>
      </c>
      <c r="D919" s="58" t="s">
        <v>159</v>
      </c>
      <c r="E919" s="65"/>
      <c r="F919" s="13">
        <v>9100.0</v>
      </c>
      <c r="G919" s="36">
        <v>0.0</v>
      </c>
      <c r="H919" s="15">
        <f t="shared" si="89"/>
        <v>-1</v>
      </c>
      <c r="K919" s="16"/>
    </row>
    <row r="920" ht="14.25" customHeight="1">
      <c r="A920" s="8"/>
      <c r="B920" s="9"/>
      <c r="C920" s="3" t="s">
        <v>164</v>
      </c>
      <c r="D920" s="58" t="s">
        <v>165</v>
      </c>
      <c r="E920" s="65"/>
      <c r="F920" s="13">
        <v>200.0</v>
      </c>
      <c r="G920" s="36">
        <v>0.0</v>
      </c>
      <c r="H920" s="15">
        <f t="shared" si="89"/>
        <v>-1</v>
      </c>
      <c r="K920" s="16"/>
    </row>
    <row r="921" ht="14.25" customHeight="1">
      <c r="A921" s="8"/>
      <c r="B921" s="9"/>
      <c r="C921" s="3" t="s">
        <v>166</v>
      </c>
      <c r="D921" s="58" t="s">
        <v>198</v>
      </c>
      <c r="E921" s="65"/>
      <c r="F921" s="13">
        <v>3000.0</v>
      </c>
      <c r="G921" s="36">
        <v>0.0</v>
      </c>
      <c r="H921" s="15">
        <f t="shared" si="89"/>
        <v>-1</v>
      </c>
      <c r="K921" s="16"/>
    </row>
    <row r="922" ht="14.25" customHeight="1">
      <c r="A922" s="8"/>
      <c r="B922" s="9"/>
      <c r="C922" s="3" t="s">
        <v>4</v>
      </c>
      <c r="D922" s="58" t="s">
        <v>168</v>
      </c>
      <c r="E922" s="65"/>
      <c r="F922" s="13">
        <v>3000.0</v>
      </c>
      <c r="G922" s="36">
        <v>0.0</v>
      </c>
      <c r="H922" s="15">
        <f t="shared" si="89"/>
        <v>-1</v>
      </c>
      <c r="K922" s="16"/>
    </row>
    <row r="923" ht="14.25" customHeight="1">
      <c r="A923" s="8"/>
      <c r="B923" s="9"/>
      <c r="C923" s="3" t="s">
        <v>173</v>
      </c>
      <c r="D923" s="58" t="s">
        <v>174</v>
      </c>
      <c r="E923" s="65"/>
      <c r="F923" s="13">
        <v>1000.0</v>
      </c>
      <c r="G923" s="36">
        <v>0.0</v>
      </c>
      <c r="H923" s="15">
        <f t="shared" si="89"/>
        <v>-1</v>
      </c>
      <c r="K923" s="16"/>
    </row>
    <row r="924" ht="14.25" customHeight="1">
      <c r="A924" s="8"/>
      <c r="B924" s="9"/>
      <c r="C924" s="3" t="s">
        <v>175</v>
      </c>
      <c r="D924" s="58" t="s">
        <v>176</v>
      </c>
      <c r="E924" s="65"/>
      <c r="F924" s="13">
        <v>350.0</v>
      </c>
      <c r="G924" s="36">
        <v>50.0</v>
      </c>
      <c r="H924" s="15">
        <f t="shared" si="89"/>
        <v>-0.8571428571</v>
      </c>
      <c r="K924" s="16"/>
    </row>
    <row r="925" ht="14.25" customHeight="1">
      <c r="A925" s="8"/>
      <c r="B925" s="9"/>
      <c r="C925" s="3" t="s">
        <v>180</v>
      </c>
      <c r="D925" s="46" t="s">
        <v>181</v>
      </c>
      <c r="E925" s="65"/>
      <c r="F925" s="13">
        <v>200.0</v>
      </c>
      <c r="G925" s="36">
        <v>0.0</v>
      </c>
      <c r="H925" s="15">
        <f t="shared" si="89"/>
        <v>-1</v>
      </c>
      <c r="K925" s="16"/>
    </row>
    <row r="926" ht="14.25" customHeight="1">
      <c r="A926" s="8"/>
      <c r="B926" s="9"/>
      <c r="C926" s="3" t="s">
        <v>184</v>
      </c>
      <c r="D926" s="58" t="s">
        <v>185</v>
      </c>
      <c r="E926" s="65"/>
      <c r="F926" s="13">
        <v>2100.0</v>
      </c>
      <c r="G926" s="36">
        <v>3000.0</v>
      </c>
      <c r="H926" s="15">
        <f t="shared" si="89"/>
        <v>0.4285714286</v>
      </c>
      <c r="K926" s="16"/>
    </row>
    <row r="927" ht="14.25" customHeight="1">
      <c r="A927" s="8"/>
      <c r="B927" s="9"/>
      <c r="C927" s="3" t="s">
        <v>240</v>
      </c>
      <c r="D927" s="46" t="s">
        <v>241</v>
      </c>
      <c r="E927" s="65"/>
      <c r="F927" s="13">
        <v>4000.0</v>
      </c>
      <c r="G927" s="36">
        <v>6000.0</v>
      </c>
      <c r="H927" s="15">
        <f t="shared" si="89"/>
        <v>0.5</v>
      </c>
      <c r="K927" s="16"/>
    </row>
    <row r="928" ht="14.25" customHeight="1">
      <c r="A928" s="8"/>
      <c r="B928" s="9"/>
      <c r="C928" s="3" t="s">
        <v>188</v>
      </c>
      <c r="D928" s="58" t="s">
        <v>189</v>
      </c>
      <c r="E928" s="65"/>
      <c r="F928" s="13">
        <v>4000.0</v>
      </c>
      <c r="G928" s="13">
        <v>4000.0</v>
      </c>
      <c r="H928" s="15">
        <f t="shared" si="89"/>
        <v>0</v>
      </c>
      <c r="K928" s="16"/>
    </row>
    <row r="929" ht="14.25" customHeight="1">
      <c r="A929" s="8"/>
      <c r="B929" s="9"/>
      <c r="C929" s="3" t="s">
        <v>190</v>
      </c>
      <c r="D929" s="58" t="s">
        <v>191</v>
      </c>
      <c r="E929" s="65"/>
      <c r="F929" s="13">
        <f>80000-25100</f>
        <v>54900</v>
      </c>
      <c r="G929" s="36">
        <v>60000.0</v>
      </c>
      <c r="H929" s="15">
        <f t="shared" si="89"/>
        <v>0.09289617486</v>
      </c>
      <c r="K929" s="16"/>
    </row>
    <row r="930" ht="14.25" customHeight="1">
      <c r="A930" s="8"/>
      <c r="B930" s="38">
        <v>3331.0</v>
      </c>
      <c r="E930" s="39"/>
      <c r="F930" s="40">
        <f t="shared" ref="F930:G930" si="90">SUM(F918:F929)</f>
        <v>82350</v>
      </c>
      <c r="G930" s="40">
        <f t="shared" si="90"/>
        <v>73050</v>
      </c>
      <c r="H930" s="15">
        <f t="shared" si="89"/>
        <v>-0.1129326047</v>
      </c>
      <c r="K930" s="16"/>
    </row>
    <row r="931" ht="14.25" customHeight="1">
      <c r="A931" s="8"/>
      <c r="B931" s="9"/>
      <c r="C931" s="11"/>
      <c r="D931" s="12"/>
      <c r="E931" s="8"/>
      <c r="F931" s="13"/>
      <c r="G931" s="13"/>
      <c r="H931" s="15" t="str">
        <f t="shared" si="89"/>
        <v/>
      </c>
      <c r="K931" s="16"/>
    </row>
    <row r="932" ht="14.25" customHeight="1">
      <c r="A932" s="8"/>
      <c r="B932" s="51">
        <v>3340.0</v>
      </c>
      <c r="C932" s="52"/>
      <c r="D932" s="53" t="s">
        <v>263</v>
      </c>
      <c r="E932" s="54"/>
      <c r="F932" s="53">
        <v>2023.0</v>
      </c>
      <c r="G932" s="55">
        <v>2024.0</v>
      </c>
      <c r="H932" s="15"/>
      <c r="K932" s="16"/>
    </row>
    <row r="933" ht="14.25" customHeight="1">
      <c r="A933" s="8"/>
      <c r="B933" s="9"/>
      <c r="C933" s="96">
        <v>202.0</v>
      </c>
      <c r="D933" s="97" t="s">
        <v>264</v>
      </c>
      <c r="E933" s="65"/>
      <c r="F933" s="36">
        <v>0.01</v>
      </c>
      <c r="G933" s="36">
        <v>40000.0</v>
      </c>
      <c r="H933" s="15">
        <f t="shared" ref="H933:H971" si="91">IFERROR(((G933-F933)/F933), "")</f>
        <v>3999999</v>
      </c>
      <c r="K933" s="16"/>
    </row>
    <row r="934" ht="14.25" customHeight="1">
      <c r="A934" s="8"/>
      <c r="B934" s="9"/>
      <c r="C934" s="3">
        <v>203.0</v>
      </c>
      <c r="D934" s="58" t="s">
        <v>158</v>
      </c>
      <c r="E934" s="65"/>
      <c r="F934" s="13">
        <v>6000.0</v>
      </c>
      <c r="G934" s="36">
        <v>25000.0</v>
      </c>
      <c r="H934" s="15">
        <f t="shared" si="91"/>
        <v>3.166666667</v>
      </c>
      <c r="K934" s="16"/>
    </row>
    <row r="935" ht="14.25" customHeight="1">
      <c r="A935" s="8"/>
      <c r="B935" s="9"/>
      <c r="C935" s="3">
        <v>209.0</v>
      </c>
      <c r="D935" s="58" t="s">
        <v>254</v>
      </c>
      <c r="E935" s="65"/>
      <c r="F935" s="13">
        <v>12000.0</v>
      </c>
      <c r="G935" s="13">
        <v>12000.0</v>
      </c>
      <c r="H935" s="15">
        <f t="shared" si="91"/>
        <v>0</v>
      </c>
      <c r="K935" s="16"/>
    </row>
    <row r="936" ht="14.25" customHeight="1">
      <c r="A936" s="8"/>
      <c r="B936" s="9"/>
      <c r="C936" s="3" t="s">
        <v>200</v>
      </c>
      <c r="D936" s="46" t="s">
        <v>255</v>
      </c>
      <c r="E936" s="65"/>
      <c r="F936" s="13">
        <v>1000.0</v>
      </c>
      <c r="G936" s="13">
        <v>1000.0</v>
      </c>
      <c r="H936" s="15">
        <f t="shared" si="91"/>
        <v>0</v>
      </c>
      <c r="K936" s="16"/>
    </row>
    <row r="937" ht="14.25" customHeight="1">
      <c r="A937" s="8"/>
      <c r="B937" s="9"/>
      <c r="C937" s="3">
        <v>223.0</v>
      </c>
      <c r="D937" s="46" t="s">
        <v>211</v>
      </c>
      <c r="E937" s="65"/>
      <c r="F937" s="13">
        <v>1000.0</v>
      </c>
      <c r="G937" s="13">
        <v>1000.0</v>
      </c>
      <c r="H937" s="15">
        <f t="shared" si="91"/>
        <v>0</v>
      </c>
      <c r="K937" s="16"/>
    </row>
    <row r="938" ht="14.25" customHeight="1">
      <c r="A938" s="8"/>
      <c r="B938" s="9"/>
      <c r="C938" s="3" t="s">
        <v>182</v>
      </c>
      <c r="D938" s="58" t="s">
        <v>183</v>
      </c>
      <c r="E938" s="65"/>
      <c r="F938" s="13">
        <v>6000.0</v>
      </c>
      <c r="G938" s="36">
        <v>2000.0</v>
      </c>
      <c r="H938" s="15">
        <f t="shared" si="91"/>
        <v>-0.6666666667</v>
      </c>
      <c r="K938" s="16"/>
    </row>
    <row r="939" ht="14.25" customHeight="1">
      <c r="A939" s="8"/>
      <c r="B939" s="9"/>
      <c r="C939" s="3" t="s">
        <v>184</v>
      </c>
      <c r="D939" s="58" t="s">
        <v>185</v>
      </c>
      <c r="E939" s="8"/>
      <c r="F939" s="13">
        <v>33000.0</v>
      </c>
      <c r="G939" s="36">
        <v>35000.0</v>
      </c>
      <c r="H939" s="15">
        <f t="shared" si="91"/>
        <v>0.06060606061</v>
      </c>
      <c r="K939" s="16"/>
    </row>
    <row r="940" ht="14.25" customHeight="1">
      <c r="A940" s="8"/>
      <c r="B940" s="9"/>
      <c r="C940" s="3" t="s">
        <v>256</v>
      </c>
      <c r="D940" s="58" t="s">
        <v>265</v>
      </c>
      <c r="E940" s="65"/>
      <c r="F940" s="13">
        <v>4000.0</v>
      </c>
      <c r="G940" s="13">
        <v>4000.0</v>
      </c>
      <c r="H940" s="15">
        <f t="shared" si="91"/>
        <v>0</v>
      </c>
      <c r="K940" s="16"/>
    </row>
    <row r="941" ht="14.25" customHeight="1">
      <c r="A941" s="8"/>
      <c r="B941" s="9"/>
      <c r="C941" s="3" t="s">
        <v>240</v>
      </c>
      <c r="D941" s="46" t="s">
        <v>241</v>
      </c>
      <c r="E941" s="65"/>
      <c r="F941" s="13">
        <v>180000.0</v>
      </c>
      <c r="G941" s="36">
        <v>180000.0</v>
      </c>
      <c r="H941" s="15">
        <f t="shared" si="91"/>
        <v>0</v>
      </c>
      <c r="K941" s="16"/>
    </row>
    <row r="942" ht="14.25" customHeight="1">
      <c r="A942" s="8"/>
      <c r="B942" s="9"/>
      <c r="C942" s="3" t="s">
        <v>188</v>
      </c>
      <c r="D942" s="58" t="s">
        <v>189</v>
      </c>
      <c r="E942" s="65"/>
      <c r="F942" s="13">
        <v>20000.0</v>
      </c>
      <c r="G942" s="13">
        <v>20000.0</v>
      </c>
      <c r="H942" s="15">
        <f t="shared" si="91"/>
        <v>0</v>
      </c>
      <c r="K942" s="16"/>
    </row>
    <row r="943" ht="14.25" customHeight="1">
      <c r="A943" s="8"/>
      <c r="B943" s="9"/>
      <c r="C943" s="3" t="s">
        <v>203</v>
      </c>
      <c r="D943" s="58" t="s">
        <v>204</v>
      </c>
      <c r="E943" s="65"/>
      <c r="F943" s="13">
        <v>500.0</v>
      </c>
      <c r="G943" s="13">
        <v>500.0</v>
      </c>
      <c r="H943" s="15">
        <f t="shared" si="91"/>
        <v>0</v>
      </c>
      <c r="K943" s="16"/>
    </row>
    <row r="944" ht="14.25" customHeight="1">
      <c r="A944" s="8"/>
      <c r="B944" s="9"/>
      <c r="C944" s="3" t="s">
        <v>190</v>
      </c>
      <c r="D944" s="58" t="s">
        <v>191</v>
      </c>
      <c r="E944" s="65"/>
      <c r="F944" s="13">
        <v>1000.0</v>
      </c>
      <c r="G944" s="36">
        <v>2000.0</v>
      </c>
      <c r="H944" s="15">
        <f t="shared" si="91"/>
        <v>1</v>
      </c>
      <c r="K944" s="16"/>
    </row>
    <row r="945" ht="14.25" customHeight="1">
      <c r="A945" s="8"/>
      <c r="B945" s="9"/>
      <c r="C945" s="3" t="s">
        <v>192</v>
      </c>
      <c r="D945" s="58" t="s">
        <v>193</v>
      </c>
      <c r="E945" s="8"/>
      <c r="F945" s="13">
        <v>1500.0</v>
      </c>
      <c r="G945" s="13">
        <v>1500.0</v>
      </c>
      <c r="H945" s="15">
        <f t="shared" si="91"/>
        <v>0</v>
      </c>
      <c r="K945" s="16"/>
    </row>
    <row r="946" ht="14.25" customHeight="1">
      <c r="A946" s="8"/>
      <c r="B946" s="38">
        <v>3340.0</v>
      </c>
      <c r="E946" s="39"/>
      <c r="F946" s="40">
        <f>SUM(F934:F945)</f>
        <v>266000</v>
      </c>
      <c r="G946" s="40">
        <f>SUM(G933:G945)</f>
        <v>324000</v>
      </c>
      <c r="H946" s="15">
        <f t="shared" si="91"/>
        <v>0.2180451128</v>
      </c>
      <c r="K946" s="16"/>
    </row>
    <row r="947" ht="14.25" customHeight="1">
      <c r="A947" s="8"/>
      <c r="B947" s="9"/>
      <c r="C947" s="11"/>
      <c r="D947" s="12"/>
      <c r="E947" s="8"/>
      <c r="F947" s="13"/>
      <c r="G947" s="13"/>
      <c r="H947" s="15" t="str">
        <f t="shared" si="91"/>
        <v/>
      </c>
      <c r="K947" s="16"/>
    </row>
    <row r="948" ht="14.25" customHeight="1">
      <c r="A948" s="8"/>
      <c r="B948" s="51">
        <v>3341.0</v>
      </c>
      <c r="C948" s="52"/>
      <c r="D948" s="53" t="s">
        <v>266</v>
      </c>
      <c r="E948" s="54"/>
      <c r="F948" s="53">
        <v>2023.0</v>
      </c>
      <c r="G948" s="55">
        <v>2024.0</v>
      </c>
      <c r="H948" s="15">
        <f t="shared" si="91"/>
        <v>0.0004943153732</v>
      </c>
      <c r="K948" s="16"/>
    </row>
    <row r="949" ht="14.25" customHeight="1">
      <c r="A949" s="8"/>
      <c r="B949" s="9"/>
      <c r="C949" s="3">
        <v>202.0</v>
      </c>
      <c r="D949" s="58" t="s">
        <v>245</v>
      </c>
      <c r="E949" s="37"/>
      <c r="F949" s="13">
        <v>500.0</v>
      </c>
      <c r="G949" s="13">
        <v>500.0</v>
      </c>
      <c r="H949" s="15">
        <f t="shared" si="91"/>
        <v>0</v>
      </c>
      <c r="K949" s="16"/>
    </row>
    <row r="950" ht="14.25" customHeight="1">
      <c r="A950" s="8"/>
      <c r="B950" s="9"/>
      <c r="C950" s="3">
        <v>203.0</v>
      </c>
      <c r="D950" s="58" t="s">
        <v>158</v>
      </c>
      <c r="E950" s="37"/>
      <c r="F950" s="13">
        <v>2600.0</v>
      </c>
      <c r="G950" s="36">
        <v>5000.0</v>
      </c>
      <c r="H950" s="15">
        <f t="shared" si="91"/>
        <v>0.9230769231</v>
      </c>
      <c r="K950" s="16"/>
    </row>
    <row r="951" ht="14.25" customHeight="1">
      <c r="A951" s="8"/>
      <c r="B951" s="9"/>
      <c r="C951" s="3">
        <v>209.0</v>
      </c>
      <c r="D951" s="58" t="s">
        <v>254</v>
      </c>
      <c r="E951" s="8"/>
      <c r="F951" s="13">
        <v>1000.0</v>
      </c>
      <c r="G951" s="13">
        <v>1000.0</v>
      </c>
      <c r="H951" s="15">
        <f t="shared" si="91"/>
        <v>0</v>
      </c>
      <c r="K951" s="16"/>
    </row>
    <row r="952" ht="14.25" customHeight="1">
      <c r="A952" s="8"/>
      <c r="B952" s="9"/>
      <c r="C952" s="3">
        <v>212.0</v>
      </c>
      <c r="D952" s="58" t="s">
        <v>159</v>
      </c>
      <c r="E952" s="65"/>
      <c r="F952" s="13">
        <v>7000.0</v>
      </c>
      <c r="G952" s="36">
        <v>8000.0</v>
      </c>
      <c r="H952" s="15">
        <f t="shared" si="91"/>
        <v>0.1428571429</v>
      </c>
      <c r="K952" s="16"/>
    </row>
    <row r="953" ht="14.25" customHeight="1">
      <c r="A953" s="8"/>
      <c r="B953" s="9"/>
      <c r="C953" s="3">
        <v>213.0</v>
      </c>
      <c r="D953" s="58" t="s">
        <v>160</v>
      </c>
      <c r="E953" s="65"/>
      <c r="F953" s="13">
        <v>1500.0</v>
      </c>
      <c r="G953" s="36">
        <v>3000.0</v>
      </c>
      <c r="H953" s="15">
        <f t="shared" si="91"/>
        <v>1</v>
      </c>
      <c r="K953" s="16"/>
    </row>
    <row r="954" ht="14.25" customHeight="1">
      <c r="A954" s="8"/>
      <c r="B954" s="9"/>
      <c r="C954" s="3" t="s">
        <v>164</v>
      </c>
      <c r="D954" s="58" t="s">
        <v>165</v>
      </c>
      <c r="E954" s="65"/>
      <c r="F954" s="13">
        <v>1500.0</v>
      </c>
      <c r="G954" s="13">
        <v>1500.0</v>
      </c>
      <c r="H954" s="15">
        <f t="shared" si="91"/>
        <v>0</v>
      </c>
      <c r="K954" s="16"/>
    </row>
    <row r="955" ht="14.25" customHeight="1">
      <c r="A955" s="8"/>
      <c r="B955" s="9"/>
      <c r="C955" s="3" t="s">
        <v>171</v>
      </c>
      <c r="D955" s="58" t="s">
        <v>172</v>
      </c>
      <c r="E955" s="65"/>
      <c r="F955" s="13">
        <v>3000.0</v>
      </c>
      <c r="G955" s="13">
        <v>3000.0</v>
      </c>
      <c r="H955" s="15">
        <f t="shared" si="91"/>
        <v>0</v>
      </c>
      <c r="K955" s="16"/>
    </row>
    <row r="956" ht="14.25" customHeight="1">
      <c r="A956" s="8"/>
      <c r="B956" s="9"/>
      <c r="C956" s="3" t="s">
        <v>173</v>
      </c>
      <c r="D956" s="58" t="s">
        <v>174</v>
      </c>
      <c r="E956" s="65"/>
      <c r="F956" s="13">
        <v>1000.0</v>
      </c>
      <c r="G956" s="13">
        <v>1000.0</v>
      </c>
      <c r="H956" s="15">
        <f t="shared" si="91"/>
        <v>0</v>
      </c>
      <c r="K956" s="16"/>
    </row>
    <row r="957" ht="14.25" customHeight="1">
      <c r="A957" s="8"/>
      <c r="B957" s="9"/>
      <c r="C957" s="3" t="s">
        <v>175</v>
      </c>
      <c r="D957" s="58" t="s">
        <v>176</v>
      </c>
      <c r="E957" s="65"/>
      <c r="F957" s="13">
        <v>700.0</v>
      </c>
      <c r="G957" s="13">
        <v>700.0</v>
      </c>
      <c r="H957" s="15">
        <f t="shared" si="91"/>
        <v>0</v>
      </c>
      <c r="K957" s="16"/>
    </row>
    <row r="958" ht="14.25" customHeight="1">
      <c r="A958" s="8"/>
      <c r="B958" s="9"/>
      <c r="C958" s="3">
        <v>224.0</v>
      </c>
      <c r="D958" s="58" t="s">
        <v>179</v>
      </c>
      <c r="E958" s="65"/>
      <c r="F958" s="13">
        <v>2000.0</v>
      </c>
      <c r="G958" s="13">
        <v>2000.0</v>
      </c>
      <c r="H958" s="15">
        <f t="shared" si="91"/>
        <v>0</v>
      </c>
      <c r="K958" s="16"/>
    </row>
    <row r="959" ht="14.25" customHeight="1">
      <c r="A959" s="8"/>
      <c r="B959" s="9"/>
      <c r="C959" s="3" t="s">
        <v>184</v>
      </c>
      <c r="D959" s="58" t="s">
        <v>185</v>
      </c>
      <c r="E959" s="65"/>
      <c r="F959" s="13">
        <v>2500.0</v>
      </c>
      <c r="G959" s="36">
        <v>4500.0</v>
      </c>
      <c r="H959" s="15">
        <f t="shared" si="91"/>
        <v>0.8</v>
      </c>
      <c r="K959" s="16"/>
    </row>
    <row r="960" ht="14.25" customHeight="1">
      <c r="A960" s="8"/>
      <c r="B960" s="9"/>
      <c r="C960" s="3" t="s">
        <v>240</v>
      </c>
      <c r="D960" s="46" t="s">
        <v>241</v>
      </c>
      <c r="E960" s="65"/>
      <c r="F960" s="13">
        <v>6700.0</v>
      </c>
      <c r="G960" s="36">
        <v>10000.0</v>
      </c>
      <c r="H960" s="15">
        <f t="shared" si="91"/>
        <v>0.4925373134</v>
      </c>
      <c r="K960" s="16"/>
    </row>
    <row r="961" ht="14.25" customHeight="1">
      <c r="A961" s="8"/>
      <c r="B961" s="9"/>
      <c r="C961" s="3" t="s">
        <v>188</v>
      </c>
      <c r="D961" s="58" t="s">
        <v>189</v>
      </c>
      <c r="E961" s="65"/>
      <c r="F961" s="13">
        <v>9200.0</v>
      </c>
      <c r="G961" s="36">
        <v>10500.0</v>
      </c>
      <c r="H961" s="15">
        <f t="shared" si="91"/>
        <v>0.1413043478</v>
      </c>
      <c r="K961" s="16"/>
    </row>
    <row r="962" ht="14.25" customHeight="1">
      <c r="A962" s="8"/>
      <c r="B962" s="38">
        <v>3341.0</v>
      </c>
      <c r="E962" s="39"/>
      <c r="F962" s="40">
        <f t="shared" ref="F962:G962" si="92">SUM(F949:F961)</f>
        <v>39200</v>
      </c>
      <c r="G962" s="40">
        <f t="shared" si="92"/>
        <v>50700</v>
      </c>
      <c r="H962" s="15">
        <f t="shared" si="91"/>
        <v>0.2933673469</v>
      </c>
      <c r="K962" s="16"/>
    </row>
    <row r="963" ht="14.25" customHeight="1">
      <c r="A963" s="8"/>
      <c r="B963" s="9"/>
      <c r="C963" s="11"/>
      <c r="D963" s="12"/>
      <c r="E963" s="8"/>
      <c r="F963" s="13"/>
      <c r="G963" s="13"/>
      <c r="H963" s="15" t="str">
        <f t="shared" si="91"/>
        <v/>
      </c>
      <c r="K963" s="16"/>
    </row>
    <row r="964" ht="14.25" customHeight="1">
      <c r="A964" s="8"/>
      <c r="B964" s="51">
        <v>3370.0</v>
      </c>
      <c r="C964" s="52"/>
      <c r="D964" s="53" t="s">
        <v>122</v>
      </c>
      <c r="E964" s="54"/>
      <c r="F964" s="53">
        <v>2023.0</v>
      </c>
      <c r="G964" s="55">
        <v>2024.0</v>
      </c>
      <c r="H964" s="15">
        <f t="shared" si="91"/>
        <v>0.0004943153732</v>
      </c>
      <c r="K964" s="16"/>
    </row>
    <row r="965" ht="14.25" customHeight="1">
      <c r="A965" s="8"/>
      <c r="B965" s="110"/>
      <c r="C965" s="3">
        <v>203.0</v>
      </c>
      <c r="D965" s="58" t="s">
        <v>158</v>
      </c>
      <c r="E965" s="37"/>
      <c r="F965" s="13">
        <v>200.0</v>
      </c>
      <c r="G965" s="13">
        <v>200.0</v>
      </c>
      <c r="H965" s="15">
        <f t="shared" si="91"/>
        <v>0</v>
      </c>
      <c r="K965" s="16"/>
    </row>
    <row r="966" ht="14.25" customHeight="1">
      <c r="A966" s="8"/>
      <c r="B966" s="110"/>
      <c r="C966" s="3">
        <v>212.0</v>
      </c>
      <c r="D966" s="58" t="s">
        <v>159</v>
      </c>
      <c r="E966" s="65"/>
      <c r="F966" s="13">
        <f>51500+17000</f>
        <v>68500</v>
      </c>
      <c r="G966" s="36">
        <v>79000.0</v>
      </c>
      <c r="H966" s="15">
        <f t="shared" si="91"/>
        <v>0.1532846715</v>
      </c>
      <c r="K966" s="16"/>
    </row>
    <row r="967" ht="14.25" customHeight="1">
      <c r="A967" s="8"/>
      <c r="B967" s="110"/>
      <c r="C967" s="111">
        <v>216.0</v>
      </c>
      <c r="D967" s="58" t="s">
        <v>199</v>
      </c>
      <c r="E967" s="65"/>
      <c r="F967" s="13">
        <v>200.0</v>
      </c>
      <c r="G967" s="13">
        <v>200.0</v>
      </c>
      <c r="H967" s="15">
        <f t="shared" si="91"/>
        <v>0</v>
      </c>
      <c r="K967" s="16"/>
    </row>
    <row r="968" ht="14.25" customHeight="1">
      <c r="A968" s="8"/>
      <c r="B968" s="110"/>
      <c r="C968" s="111" t="s">
        <v>164</v>
      </c>
      <c r="D968" s="58" t="s">
        <v>165</v>
      </c>
      <c r="E968" s="65"/>
      <c r="F968" s="13">
        <v>800.0</v>
      </c>
      <c r="G968" s="13">
        <v>800.0</v>
      </c>
      <c r="H968" s="15">
        <f t="shared" si="91"/>
        <v>0</v>
      </c>
      <c r="K968" s="16"/>
    </row>
    <row r="969" ht="14.25" customHeight="1">
      <c r="A969" s="8"/>
      <c r="B969" s="9"/>
      <c r="C969" s="111" t="s">
        <v>200</v>
      </c>
      <c r="D969" s="46" t="s">
        <v>255</v>
      </c>
      <c r="E969" s="37"/>
      <c r="F969" s="13">
        <v>1900.0</v>
      </c>
      <c r="G969" s="13">
        <v>1900.0</v>
      </c>
      <c r="H969" s="15">
        <f t="shared" si="91"/>
        <v>0</v>
      </c>
      <c r="K969" s="16"/>
    </row>
    <row r="970" ht="14.25" customHeight="1">
      <c r="A970" s="8"/>
      <c r="B970" s="9"/>
      <c r="C970" s="3" t="s">
        <v>166</v>
      </c>
      <c r="D970" s="58" t="s">
        <v>167</v>
      </c>
      <c r="E970" s="65"/>
      <c r="F970" s="13">
        <v>10000.0</v>
      </c>
      <c r="G970" s="13">
        <v>10000.0</v>
      </c>
      <c r="H970" s="15">
        <f t="shared" si="91"/>
        <v>0</v>
      </c>
      <c r="K970" s="16"/>
    </row>
    <row r="971" ht="14.25" customHeight="1">
      <c r="A971" s="8"/>
      <c r="B971" s="9"/>
      <c r="C971" s="3" t="s">
        <v>4</v>
      </c>
      <c r="D971" s="58" t="s">
        <v>168</v>
      </c>
      <c r="E971" s="65"/>
      <c r="F971" s="13">
        <v>165000.0</v>
      </c>
      <c r="G971" s="36">
        <v>95000.0</v>
      </c>
      <c r="H971" s="15">
        <f t="shared" si="91"/>
        <v>-0.4242424242</v>
      </c>
      <c r="K971" s="16"/>
    </row>
    <row r="972" ht="14.25" customHeight="1">
      <c r="A972" s="8"/>
      <c r="B972" s="9"/>
      <c r="C972" s="96" t="s">
        <v>249</v>
      </c>
      <c r="D972" s="97" t="s">
        <v>267</v>
      </c>
      <c r="E972" s="65"/>
      <c r="F972" s="36">
        <v>0.0</v>
      </c>
      <c r="G972" s="36">
        <v>70000.0</v>
      </c>
      <c r="H972" s="15"/>
      <c r="K972" s="16"/>
    </row>
    <row r="973" ht="14.25" customHeight="1">
      <c r="A973" s="8"/>
      <c r="B973" s="9"/>
      <c r="C973" s="3" t="s">
        <v>173</v>
      </c>
      <c r="D973" s="58" t="s">
        <v>174</v>
      </c>
      <c r="E973" s="65"/>
      <c r="F973" s="13">
        <f t="shared" ref="F973:G973" si="93">3000+1000</f>
        <v>4000</v>
      </c>
      <c r="G973" s="13">
        <f t="shared" si="93"/>
        <v>4000</v>
      </c>
      <c r="H973" s="15">
        <f t="shared" ref="H973:H998" si="94">IFERROR(((G973-F973)/F973), "")</f>
        <v>0</v>
      </c>
      <c r="K973" s="16"/>
    </row>
    <row r="974" ht="14.25" customHeight="1">
      <c r="A974" s="8"/>
      <c r="B974" s="9"/>
      <c r="C974" s="3" t="s">
        <v>175</v>
      </c>
      <c r="D974" s="58" t="s">
        <v>176</v>
      </c>
      <c r="E974" s="65"/>
      <c r="F974" s="13">
        <v>2500.0</v>
      </c>
      <c r="G974" s="13">
        <v>2500.0</v>
      </c>
      <c r="H974" s="15">
        <f t="shared" si="94"/>
        <v>0</v>
      </c>
      <c r="K974" s="16"/>
    </row>
    <row r="975" ht="14.25" customHeight="1">
      <c r="A975" s="8"/>
      <c r="B975" s="110"/>
      <c r="C975" s="3" t="s">
        <v>180</v>
      </c>
      <c r="D975" s="46" t="s">
        <v>181</v>
      </c>
      <c r="E975" s="65"/>
      <c r="F975" s="13">
        <f t="shared" ref="F975:G975" si="95">100+200</f>
        <v>300</v>
      </c>
      <c r="G975" s="13">
        <f t="shared" si="95"/>
        <v>300</v>
      </c>
      <c r="H975" s="15">
        <f t="shared" si="94"/>
        <v>0</v>
      </c>
      <c r="K975" s="16"/>
    </row>
    <row r="976" ht="14.25" customHeight="1">
      <c r="A976" s="8"/>
      <c r="B976" s="9"/>
      <c r="C976" s="3" t="s">
        <v>184</v>
      </c>
      <c r="D976" s="58" t="s">
        <v>185</v>
      </c>
      <c r="E976" s="65"/>
      <c r="F976" s="13">
        <v>300.0</v>
      </c>
      <c r="G976" s="13">
        <v>300.0</v>
      </c>
      <c r="H976" s="15">
        <f t="shared" si="94"/>
        <v>0</v>
      </c>
      <c r="K976" s="16"/>
    </row>
    <row r="977" ht="14.25" customHeight="1">
      <c r="A977" s="8"/>
      <c r="B977" s="9"/>
      <c r="C977" s="3" t="s">
        <v>188</v>
      </c>
      <c r="D977" s="58" t="s">
        <v>189</v>
      </c>
      <c r="E977" s="65"/>
      <c r="F977" s="13">
        <f t="shared" ref="F977:G977" si="96">6000+100</f>
        <v>6100</v>
      </c>
      <c r="G977" s="13">
        <f t="shared" si="96"/>
        <v>6100</v>
      </c>
      <c r="H977" s="15">
        <f t="shared" si="94"/>
        <v>0</v>
      </c>
      <c r="K977" s="16"/>
    </row>
    <row r="978" ht="14.25" customHeight="1">
      <c r="A978" s="8"/>
      <c r="B978" s="9"/>
      <c r="C978" s="3" t="s">
        <v>190</v>
      </c>
      <c r="D978" s="58" t="s">
        <v>191</v>
      </c>
      <c r="E978" s="65"/>
      <c r="F978" s="13">
        <v>1000.0</v>
      </c>
      <c r="G978" s="13">
        <v>1000.0</v>
      </c>
      <c r="H978" s="15">
        <f t="shared" si="94"/>
        <v>0</v>
      </c>
      <c r="K978" s="16"/>
    </row>
    <row r="979" ht="14.25" customHeight="1">
      <c r="A979" s="8"/>
      <c r="B979" s="38">
        <v>3370.0</v>
      </c>
      <c r="E979" s="39"/>
      <c r="F979" s="40">
        <f t="shared" ref="F979:G979" si="97">SUM(F965:F978)</f>
        <v>260800</v>
      </c>
      <c r="G979" s="40">
        <f t="shared" si="97"/>
        <v>271300</v>
      </c>
      <c r="H979" s="15">
        <f t="shared" si="94"/>
        <v>0.0402607362</v>
      </c>
      <c r="K979" s="16"/>
    </row>
    <row r="980" ht="14.25" customHeight="1">
      <c r="A980" s="8"/>
      <c r="B980" s="9"/>
      <c r="C980" s="11"/>
      <c r="D980" s="12"/>
      <c r="E980" s="8"/>
      <c r="F980" s="13"/>
      <c r="G980" s="13"/>
      <c r="H980" s="15" t="str">
        <f t="shared" si="94"/>
        <v/>
      </c>
      <c r="K980" s="16"/>
    </row>
    <row r="981" ht="14.25" customHeight="1">
      <c r="A981" s="8"/>
      <c r="B981" s="51">
        <v>3373.0</v>
      </c>
      <c r="C981" s="52"/>
      <c r="D981" s="53" t="s">
        <v>123</v>
      </c>
      <c r="E981" s="54"/>
      <c r="F981" s="53">
        <v>2023.0</v>
      </c>
      <c r="G981" s="55">
        <v>2024.0</v>
      </c>
      <c r="H981" s="15">
        <f t="shared" si="94"/>
        <v>0.0004943153732</v>
      </c>
      <c r="K981" s="16"/>
    </row>
    <row r="982" ht="14.25" customHeight="1">
      <c r="A982" s="8"/>
      <c r="B982" s="9"/>
      <c r="C982" s="3">
        <v>203.0</v>
      </c>
      <c r="D982" s="58" t="s">
        <v>158</v>
      </c>
      <c r="E982" s="37"/>
      <c r="F982" s="13">
        <v>10000.0</v>
      </c>
      <c r="G982" s="13">
        <v>10000.0</v>
      </c>
      <c r="H982" s="15">
        <f t="shared" si="94"/>
        <v>0</v>
      </c>
      <c r="K982" s="16"/>
    </row>
    <row r="983" ht="14.25" customHeight="1">
      <c r="A983" s="8"/>
      <c r="B983" s="9"/>
      <c r="C983" s="3">
        <v>209.0</v>
      </c>
      <c r="D983" s="46" t="s">
        <v>254</v>
      </c>
      <c r="E983" s="65"/>
      <c r="F983" s="13">
        <v>900.0</v>
      </c>
      <c r="G983" s="13">
        <v>900.0</v>
      </c>
      <c r="H983" s="15">
        <f t="shared" si="94"/>
        <v>0</v>
      </c>
      <c r="K983" s="16"/>
    </row>
    <row r="984" ht="14.25" customHeight="1">
      <c r="A984" s="8"/>
      <c r="B984" s="9"/>
      <c r="C984" s="3">
        <v>212.0</v>
      </c>
      <c r="D984" s="58" t="s">
        <v>159</v>
      </c>
      <c r="E984" s="65"/>
      <c r="F984" s="13">
        <v>28900.0</v>
      </c>
      <c r="G984" s="36">
        <v>60000.0</v>
      </c>
      <c r="H984" s="15">
        <f t="shared" si="94"/>
        <v>1.076124567</v>
      </c>
      <c r="K984" s="16"/>
    </row>
    <row r="985" ht="14.25" customHeight="1">
      <c r="A985" s="8"/>
      <c r="B985" s="9"/>
      <c r="C985" s="111">
        <v>216.0</v>
      </c>
      <c r="D985" s="58" t="s">
        <v>199</v>
      </c>
      <c r="E985" s="65"/>
      <c r="F985" s="13">
        <v>300.0</v>
      </c>
      <c r="G985" s="13">
        <v>300.0</v>
      </c>
      <c r="H985" s="15">
        <f t="shared" si="94"/>
        <v>0</v>
      </c>
      <c r="K985" s="16"/>
    </row>
    <row r="986" ht="14.25" customHeight="1">
      <c r="A986" s="8"/>
      <c r="B986" s="9"/>
      <c r="C986" s="3" t="s">
        <v>164</v>
      </c>
      <c r="D986" s="58" t="s">
        <v>165</v>
      </c>
      <c r="E986" s="65"/>
      <c r="F986" s="13">
        <v>3200.0</v>
      </c>
      <c r="G986" s="13">
        <v>3200.0</v>
      </c>
      <c r="H986" s="15">
        <f t="shared" si="94"/>
        <v>0</v>
      </c>
      <c r="K986" s="16"/>
    </row>
    <row r="987" ht="14.25" customHeight="1">
      <c r="A987" s="8"/>
      <c r="B987" s="9"/>
      <c r="C987" s="3" t="s">
        <v>200</v>
      </c>
      <c r="D987" s="46" t="s">
        <v>255</v>
      </c>
      <c r="E987" s="65"/>
      <c r="F987" s="13">
        <v>1000.0</v>
      </c>
      <c r="G987" s="13">
        <v>1000.0</v>
      </c>
      <c r="H987" s="15">
        <f t="shared" si="94"/>
        <v>0</v>
      </c>
      <c r="K987" s="16"/>
    </row>
    <row r="988" ht="14.25" customHeight="1">
      <c r="A988" s="8"/>
      <c r="B988" s="9"/>
      <c r="C988" s="3" t="s">
        <v>166</v>
      </c>
      <c r="D988" s="58" t="s">
        <v>198</v>
      </c>
      <c r="E988" s="65"/>
      <c r="F988" s="13">
        <v>2900.0</v>
      </c>
      <c r="G988" s="13">
        <v>2900.0</v>
      </c>
      <c r="H988" s="15">
        <f t="shared" si="94"/>
        <v>0</v>
      </c>
      <c r="K988" s="16"/>
    </row>
    <row r="989" ht="14.25" customHeight="1">
      <c r="A989" s="8"/>
      <c r="B989" s="9"/>
      <c r="C989" s="3" t="s">
        <v>4</v>
      </c>
      <c r="D989" s="58" t="s">
        <v>168</v>
      </c>
      <c r="E989" s="65"/>
      <c r="F989" s="13">
        <v>8000.0</v>
      </c>
      <c r="G989" s="13">
        <v>8000.0</v>
      </c>
      <c r="H989" s="15">
        <f t="shared" si="94"/>
        <v>0</v>
      </c>
      <c r="K989" s="16"/>
    </row>
    <row r="990" ht="14.25" customHeight="1">
      <c r="A990" s="8"/>
      <c r="B990" s="9"/>
      <c r="C990" s="3" t="s">
        <v>173</v>
      </c>
      <c r="D990" s="58" t="s">
        <v>174</v>
      </c>
      <c r="E990" s="65"/>
      <c r="F990" s="13">
        <v>1600.0</v>
      </c>
      <c r="G990" s="13">
        <v>1600.0</v>
      </c>
      <c r="H990" s="15">
        <f t="shared" si="94"/>
        <v>0</v>
      </c>
      <c r="K990" s="16"/>
    </row>
    <row r="991" ht="14.25" customHeight="1">
      <c r="A991" s="8"/>
      <c r="B991" s="9"/>
      <c r="C991" s="3" t="s">
        <v>175</v>
      </c>
      <c r="D991" s="58" t="s">
        <v>176</v>
      </c>
      <c r="E991" s="65"/>
      <c r="F991" s="13">
        <v>3300.0</v>
      </c>
      <c r="G991" s="13">
        <v>3300.0</v>
      </c>
      <c r="H991" s="15">
        <f t="shared" si="94"/>
        <v>0</v>
      </c>
      <c r="K991" s="16"/>
    </row>
    <row r="992" ht="14.25" customHeight="1">
      <c r="A992" s="8"/>
      <c r="B992" s="9"/>
      <c r="C992" s="3" t="s">
        <v>180</v>
      </c>
      <c r="D992" s="46" t="s">
        <v>181</v>
      </c>
      <c r="E992" s="65"/>
      <c r="F992" s="13">
        <v>700.0</v>
      </c>
      <c r="G992" s="13">
        <v>700.0</v>
      </c>
      <c r="H992" s="15">
        <f t="shared" si="94"/>
        <v>0</v>
      </c>
      <c r="K992" s="16"/>
    </row>
    <row r="993" ht="14.25" customHeight="1">
      <c r="A993" s="8"/>
      <c r="B993" s="9"/>
      <c r="C993" s="3" t="s">
        <v>184</v>
      </c>
      <c r="D993" s="58" t="s">
        <v>185</v>
      </c>
      <c r="E993" s="65"/>
      <c r="F993" s="13">
        <v>10000.0</v>
      </c>
      <c r="G993" s="13">
        <v>10000.0</v>
      </c>
      <c r="H993" s="15">
        <f t="shared" si="94"/>
        <v>0</v>
      </c>
      <c r="K993" s="16"/>
    </row>
    <row r="994" ht="14.25" customHeight="1">
      <c r="A994" s="8"/>
      <c r="B994" s="9"/>
      <c r="C994" s="3" t="s">
        <v>240</v>
      </c>
      <c r="D994" s="46" t="s">
        <v>241</v>
      </c>
      <c r="E994" s="65"/>
      <c r="F994" s="13">
        <v>60000.0</v>
      </c>
      <c r="G994" s="36">
        <v>90000.0</v>
      </c>
      <c r="H994" s="15">
        <f t="shared" si="94"/>
        <v>0.5</v>
      </c>
      <c r="K994" s="16"/>
    </row>
    <row r="995" ht="14.25" customHeight="1">
      <c r="A995" s="8"/>
      <c r="B995" s="9"/>
      <c r="C995" s="3" t="s">
        <v>188</v>
      </c>
      <c r="D995" s="58" t="s">
        <v>189</v>
      </c>
      <c r="E995" s="65"/>
      <c r="F995" s="13">
        <v>50000.0</v>
      </c>
      <c r="G995" s="13">
        <v>50000.0</v>
      </c>
      <c r="H995" s="15">
        <f t="shared" si="94"/>
        <v>0</v>
      </c>
      <c r="K995" s="16"/>
    </row>
    <row r="996" ht="14.25" customHeight="1">
      <c r="A996" s="8"/>
      <c r="B996" s="38">
        <v>3373.0</v>
      </c>
      <c r="E996" s="39"/>
      <c r="F996" s="40">
        <f t="shared" ref="F996:G996" si="98">SUM(F982:F995)</f>
        <v>180800</v>
      </c>
      <c r="G996" s="40">
        <f t="shared" si="98"/>
        <v>241900</v>
      </c>
      <c r="H996" s="15">
        <f t="shared" si="94"/>
        <v>0.3379424779</v>
      </c>
      <c r="K996" s="16"/>
    </row>
    <row r="997" ht="14.25" customHeight="1">
      <c r="A997" s="8"/>
      <c r="B997" s="9"/>
      <c r="C997" s="11"/>
      <c r="D997" s="12"/>
      <c r="E997" s="8"/>
      <c r="F997" s="13"/>
      <c r="G997" s="13"/>
      <c r="H997" s="15" t="str">
        <f t="shared" si="94"/>
        <v/>
      </c>
      <c r="K997" s="16"/>
    </row>
    <row r="998" ht="14.25" customHeight="1">
      <c r="A998" s="8"/>
      <c r="B998" s="51">
        <v>3374.0</v>
      </c>
      <c r="C998" s="52"/>
      <c r="D998" s="53" t="s">
        <v>268</v>
      </c>
      <c r="E998" s="54"/>
      <c r="F998" s="53">
        <v>2023.0</v>
      </c>
      <c r="G998" s="55">
        <v>2024.0</v>
      </c>
      <c r="H998" s="15">
        <f t="shared" si="94"/>
        <v>0.0004943153732</v>
      </c>
      <c r="K998" s="16"/>
    </row>
    <row r="999" ht="14.25" customHeight="1">
      <c r="A999" s="8"/>
      <c r="B999" s="9"/>
      <c r="C999" s="96">
        <v>212.0</v>
      </c>
      <c r="D999" s="58" t="s">
        <v>159</v>
      </c>
      <c r="E999" s="65"/>
      <c r="F999" s="36">
        <v>0.0</v>
      </c>
      <c r="G999" s="36">
        <v>4400.0</v>
      </c>
      <c r="H999" s="15"/>
      <c r="K999" s="16"/>
    </row>
    <row r="1000" ht="14.25" customHeight="1">
      <c r="A1000" s="8"/>
      <c r="B1000" s="9"/>
      <c r="C1000" s="3" t="s">
        <v>166</v>
      </c>
      <c r="D1000" s="58" t="s">
        <v>198</v>
      </c>
      <c r="E1000" s="65"/>
      <c r="F1000" s="13">
        <v>850.0</v>
      </c>
      <c r="G1000" s="13">
        <v>850.0</v>
      </c>
      <c r="H1000" s="15">
        <f t="shared" ref="H1000:H1004" si="99">IFERROR(((G1000-F1000)/F1000), "")</f>
        <v>0</v>
      </c>
      <c r="K1000" s="16"/>
    </row>
    <row r="1001" ht="14.25" customHeight="1">
      <c r="A1001" s="8"/>
      <c r="B1001" s="9"/>
      <c r="C1001" s="3" t="s">
        <v>173</v>
      </c>
      <c r="D1001" s="58" t="s">
        <v>174</v>
      </c>
      <c r="E1001" s="65"/>
      <c r="F1001" s="13">
        <v>2000.0</v>
      </c>
      <c r="G1001" s="13">
        <v>2000.0</v>
      </c>
      <c r="H1001" s="15">
        <f t="shared" si="99"/>
        <v>0</v>
      </c>
      <c r="K1001" s="16"/>
    </row>
    <row r="1002" ht="14.25" customHeight="1">
      <c r="A1002" s="8"/>
      <c r="B1002" s="38">
        <v>3374.0</v>
      </c>
      <c r="E1002" s="35"/>
      <c r="F1002" s="40">
        <f>SUM(F1000:F1001)</f>
        <v>2850</v>
      </c>
      <c r="G1002" s="40">
        <f>SUM(G999:G1001)</f>
        <v>7250</v>
      </c>
      <c r="H1002" s="15">
        <f t="shared" si="99"/>
        <v>1.543859649</v>
      </c>
      <c r="K1002" s="16"/>
    </row>
    <row r="1003" ht="14.25" customHeight="1">
      <c r="A1003" s="8"/>
      <c r="B1003" s="9"/>
      <c r="C1003" s="11"/>
      <c r="D1003" s="45"/>
      <c r="E1003" s="35"/>
      <c r="F1003" s="49"/>
      <c r="G1003" s="49"/>
      <c r="H1003" s="15" t="str">
        <f t="shared" si="99"/>
        <v/>
      </c>
      <c r="K1003" s="16"/>
    </row>
    <row r="1004" ht="14.25" customHeight="1">
      <c r="A1004" s="8"/>
      <c r="B1004" s="51">
        <v>3375.0</v>
      </c>
      <c r="C1004" s="52"/>
      <c r="D1004" s="53" t="s">
        <v>269</v>
      </c>
      <c r="E1004" s="54"/>
      <c r="F1004" s="53">
        <v>2023.0</v>
      </c>
      <c r="G1004" s="55">
        <v>2024.0</v>
      </c>
      <c r="H1004" s="15">
        <f t="shared" si="99"/>
        <v>0.0004943153732</v>
      </c>
      <c r="K1004" s="16"/>
    </row>
    <row r="1005" ht="14.25" customHeight="1">
      <c r="A1005" s="8"/>
      <c r="B1005" s="9"/>
      <c r="C1005" s="96">
        <v>212.0</v>
      </c>
      <c r="D1005" s="58" t="s">
        <v>159</v>
      </c>
      <c r="E1005" s="65"/>
      <c r="F1005" s="36">
        <v>0.0</v>
      </c>
      <c r="G1005" s="36">
        <v>2500.0</v>
      </c>
      <c r="H1005" s="15"/>
      <c r="K1005" s="16"/>
    </row>
    <row r="1006" ht="14.25" customHeight="1">
      <c r="A1006" s="8"/>
      <c r="B1006" s="9"/>
      <c r="C1006" s="3" t="s">
        <v>173</v>
      </c>
      <c r="D1006" s="58" t="s">
        <v>174</v>
      </c>
      <c r="E1006" s="65"/>
      <c r="F1006" s="13">
        <v>2500.0</v>
      </c>
      <c r="G1006" s="13">
        <v>2500.0</v>
      </c>
      <c r="H1006" s="15">
        <f t="shared" ref="H1006:H1047" si="100">IFERROR(((G1006-F1006)/F1006), "")</f>
        <v>0</v>
      </c>
      <c r="K1006" s="16"/>
    </row>
    <row r="1007" ht="14.25" customHeight="1">
      <c r="A1007" s="8"/>
      <c r="B1007" s="38">
        <v>3375.0</v>
      </c>
      <c r="E1007" s="35"/>
      <c r="F1007" s="40">
        <f>SUM(F1006)</f>
        <v>2500</v>
      </c>
      <c r="G1007" s="40">
        <f>SUM(G1005:G1006)</f>
        <v>5000</v>
      </c>
      <c r="H1007" s="15">
        <f t="shared" si="100"/>
        <v>1</v>
      </c>
      <c r="K1007" s="16"/>
    </row>
    <row r="1008" ht="14.25" customHeight="1">
      <c r="A1008" s="8"/>
      <c r="B1008" s="9"/>
      <c r="C1008" s="11"/>
      <c r="D1008" s="45"/>
      <c r="E1008" s="35"/>
      <c r="F1008" s="49"/>
      <c r="G1008" s="49"/>
      <c r="H1008" s="15" t="str">
        <f t="shared" si="100"/>
        <v/>
      </c>
      <c r="K1008" s="16"/>
    </row>
    <row r="1009" ht="14.25" customHeight="1">
      <c r="A1009" s="8"/>
      <c r="B1009" s="51">
        <v>3380.0</v>
      </c>
      <c r="C1009" s="52"/>
      <c r="D1009" s="53" t="s">
        <v>124</v>
      </c>
      <c r="E1009" s="54"/>
      <c r="F1009" s="53">
        <v>2023.0</v>
      </c>
      <c r="G1009" s="55">
        <v>2024.0</v>
      </c>
      <c r="H1009" s="15">
        <f t="shared" si="100"/>
        <v>0.0004943153732</v>
      </c>
      <c r="K1009" s="16"/>
    </row>
    <row r="1010" ht="14.25" customHeight="1">
      <c r="A1010" s="8"/>
      <c r="B1010" s="9"/>
      <c r="C1010" s="3">
        <v>203.0</v>
      </c>
      <c r="D1010" s="58" t="s">
        <v>158</v>
      </c>
      <c r="E1010" s="65"/>
      <c r="F1010" s="13">
        <v>170000.0</v>
      </c>
      <c r="G1010" s="13">
        <v>170000.0</v>
      </c>
      <c r="H1010" s="15">
        <f t="shared" si="100"/>
        <v>0</v>
      </c>
      <c r="K1010" s="16"/>
    </row>
    <row r="1011" ht="14.25" customHeight="1">
      <c r="A1011" s="8"/>
      <c r="B1011" s="9"/>
      <c r="C1011" s="3">
        <v>204.0</v>
      </c>
      <c r="D1011" s="46" t="s">
        <v>209</v>
      </c>
      <c r="E1011" s="65"/>
      <c r="F1011" s="13">
        <v>900.0</v>
      </c>
      <c r="G1011" s="13">
        <v>900.0</v>
      </c>
      <c r="H1011" s="15">
        <f t="shared" si="100"/>
        <v>0</v>
      </c>
      <c r="K1011" s="16"/>
    </row>
    <row r="1012" ht="14.25" customHeight="1">
      <c r="A1012" s="8"/>
      <c r="B1012" s="9"/>
      <c r="C1012" s="3">
        <v>209.0</v>
      </c>
      <c r="D1012" s="58" t="s">
        <v>254</v>
      </c>
      <c r="E1012" s="65"/>
      <c r="F1012" s="13">
        <v>8500.0</v>
      </c>
      <c r="G1012" s="13">
        <v>8500.0</v>
      </c>
      <c r="H1012" s="15">
        <f t="shared" si="100"/>
        <v>0</v>
      </c>
      <c r="K1012" s="16"/>
    </row>
    <row r="1013" ht="14.25" customHeight="1">
      <c r="A1013" s="8"/>
      <c r="B1013" s="9"/>
      <c r="C1013" s="3">
        <v>210.0</v>
      </c>
      <c r="D1013" s="58" t="s">
        <v>220</v>
      </c>
      <c r="E1013" s="65"/>
      <c r="F1013" s="13">
        <v>200.0</v>
      </c>
      <c r="G1013" s="13">
        <v>200.0</v>
      </c>
      <c r="H1013" s="15">
        <f t="shared" si="100"/>
        <v>0</v>
      </c>
      <c r="K1013" s="16"/>
    </row>
    <row r="1014" ht="14.25" customHeight="1">
      <c r="A1014" s="8"/>
      <c r="B1014" s="9"/>
      <c r="C1014" s="3" t="s">
        <v>164</v>
      </c>
      <c r="D1014" s="58" t="s">
        <v>165</v>
      </c>
      <c r="E1014" s="65"/>
      <c r="F1014" s="13">
        <v>500.0</v>
      </c>
      <c r="G1014" s="13">
        <v>500.0</v>
      </c>
      <c r="H1014" s="15">
        <f t="shared" si="100"/>
        <v>0</v>
      </c>
      <c r="K1014" s="16"/>
    </row>
    <row r="1015" ht="14.25" customHeight="1">
      <c r="A1015" s="8"/>
      <c r="B1015" s="9"/>
      <c r="C1015" s="3" t="s">
        <v>166</v>
      </c>
      <c r="D1015" s="58" t="s">
        <v>167</v>
      </c>
      <c r="E1015" s="65"/>
      <c r="F1015" s="13">
        <v>12000.0</v>
      </c>
      <c r="G1015" s="13">
        <v>12000.0</v>
      </c>
      <c r="H1015" s="15">
        <f t="shared" si="100"/>
        <v>0</v>
      </c>
      <c r="K1015" s="16"/>
    </row>
    <row r="1016" ht="14.25" customHeight="1">
      <c r="A1016" s="8"/>
      <c r="B1016" s="9"/>
      <c r="C1016" s="3" t="s">
        <v>173</v>
      </c>
      <c r="D1016" s="58" t="s">
        <v>174</v>
      </c>
      <c r="E1016" s="65"/>
      <c r="F1016" s="13">
        <v>4300.0</v>
      </c>
      <c r="G1016" s="13">
        <v>4300.0</v>
      </c>
      <c r="H1016" s="15">
        <f t="shared" si="100"/>
        <v>0</v>
      </c>
      <c r="K1016" s="16"/>
    </row>
    <row r="1017" ht="14.25" customHeight="1">
      <c r="A1017" s="8"/>
      <c r="B1017" s="9"/>
      <c r="C1017" s="3" t="s">
        <v>175</v>
      </c>
      <c r="D1017" s="58" t="s">
        <v>176</v>
      </c>
      <c r="E1017" s="65"/>
      <c r="F1017" s="13">
        <v>200.0</v>
      </c>
      <c r="G1017" s="13">
        <v>200.0</v>
      </c>
      <c r="H1017" s="15">
        <f t="shared" si="100"/>
        <v>0</v>
      </c>
      <c r="K1017" s="16"/>
    </row>
    <row r="1018" ht="14.25" customHeight="1">
      <c r="A1018" s="8"/>
      <c r="B1018" s="9"/>
      <c r="C1018" s="96">
        <v>224.0</v>
      </c>
      <c r="D1018" s="97" t="s">
        <v>179</v>
      </c>
      <c r="E1018" s="65"/>
      <c r="F1018" s="36">
        <v>0.0</v>
      </c>
      <c r="G1018" s="36">
        <v>2700.0</v>
      </c>
      <c r="H1018" s="15" t="str">
        <f t="shared" si="100"/>
        <v/>
      </c>
      <c r="K1018" s="16"/>
    </row>
    <row r="1019" ht="14.25" customHeight="1">
      <c r="A1019" s="8"/>
      <c r="B1019" s="9"/>
      <c r="C1019" s="3" t="s">
        <v>182</v>
      </c>
      <c r="D1019" s="58" t="s">
        <v>183</v>
      </c>
      <c r="E1019" s="65"/>
      <c r="F1019" s="13">
        <v>3300.0</v>
      </c>
      <c r="G1019" s="13">
        <v>3300.0</v>
      </c>
      <c r="H1019" s="15">
        <f t="shared" si="100"/>
        <v>0</v>
      </c>
      <c r="K1019" s="16"/>
    </row>
    <row r="1020" ht="14.25" customHeight="1">
      <c r="A1020" s="8"/>
      <c r="B1020" s="9"/>
      <c r="C1020" s="3" t="s">
        <v>184</v>
      </c>
      <c r="D1020" s="58" t="s">
        <v>185</v>
      </c>
      <c r="E1020" s="65"/>
      <c r="F1020" s="13">
        <v>32000.0</v>
      </c>
      <c r="G1020" s="13">
        <v>32000.0</v>
      </c>
      <c r="H1020" s="15">
        <f t="shared" si="100"/>
        <v>0</v>
      </c>
      <c r="K1020" s="16"/>
    </row>
    <row r="1021" ht="14.25" customHeight="1">
      <c r="A1021" s="8"/>
      <c r="B1021" s="9"/>
      <c r="C1021" s="3" t="s">
        <v>240</v>
      </c>
      <c r="D1021" s="46" t="s">
        <v>241</v>
      </c>
      <c r="E1021" s="65"/>
      <c r="F1021" s="13">
        <f t="shared" ref="F1021:G1021" si="101">30000+23800</f>
        <v>53800</v>
      </c>
      <c r="G1021" s="13">
        <f t="shared" si="101"/>
        <v>53800</v>
      </c>
      <c r="H1021" s="15">
        <f t="shared" si="100"/>
        <v>0</v>
      </c>
      <c r="K1021" s="16"/>
    </row>
    <row r="1022" ht="14.25" customHeight="1">
      <c r="A1022" s="8"/>
      <c r="B1022" s="9"/>
      <c r="C1022" s="3" t="s">
        <v>270</v>
      </c>
      <c r="D1022" s="46" t="s">
        <v>271</v>
      </c>
      <c r="E1022" s="65"/>
      <c r="F1022" s="13">
        <f>250000+12000</f>
        <v>262000</v>
      </c>
      <c r="G1022" s="7">
        <f>F1022+280000</f>
        <v>542000</v>
      </c>
      <c r="H1022" s="15">
        <f t="shared" si="100"/>
        <v>1.06870229</v>
      </c>
      <c r="K1022" s="16"/>
    </row>
    <row r="1023" ht="14.25" customHeight="1">
      <c r="A1023" s="8"/>
      <c r="B1023" s="9"/>
      <c r="C1023" s="3" t="s">
        <v>188</v>
      </c>
      <c r="D1023" s="58" t="s">
        <v>189</v>
      </c>
      <c r="E1023" s="65"/>
      <c r="F1023" s="13">
        <v>72000.0</v>
      </c>
      <c r="G1023" s="13">
        <v>72000.0</v>
      </c>
      <c r="H1023" s="15">
        <f t="shared" si="100"/>
        <v>0</v>
      </c>
      <c r="K1023" s="16"/>
    </row>
    <row r="1024" ht="14.25" customHeight="1">
      <c r="A1024" s="8"/>
      <c r="B1024" s="9"/>
      <c r="C1024" s="3" t="s">
        <v>190</v>
      </c>
      <c r="D1024" s="58" t="s">
        <v>191</v>
      </c>
      <c r="E1024" s="65"/>
      <c r="F1024" s="13">
        <v>100.0</v>
      </c>
      <c r="G1024" s="13">
        <v>100.0</v>
      </c>
      <c r="H1024" s="15">
        <f t="shared" si="100"/>
        <v>0</v>
      </c>
      <c r="K1024" s="16"/>
    </row>
    <row r="1025" ht="14.25" customHeight="1">
      <c r="A1025" s="8"/>
      <c r="B1025" s="38">
        <v>3380.0</v>
      </c>
      <c r="E1025" s="35"/>
      <c r="F1025" s="40">
        <f t="shared" ref="F1025:G1025" si="102">SUM(F1010:F1024)</f>
        <v>619800</v>
      </c>
      <c r="G1025" s="40">
        <f t="shared" si="102"/>
        <v>902500</v>
      </c>
      <c r="H1025" s="15">
        <f t="shared" si="100"/>
        <v>0.4561148758</v>
      </c>
      <c r="K1025" s="16"/>
    </row>
    <row r="1026" ht="14.25" customHeight="1">
      <c r="A1026" s="8"/>
      <c r="B1026" s="9"/>
      <c r="C1026" s="45"/>
      <c r="D1026" s="46"/>
      <c r="E1026" s="37"/>
      <c r="F1026" s="49"/>
      <c r="G1026" s="49"/>
      <c r="H1026" s="15" t="str">
        <f t="shared" si="100"/>
        <v/>
      </c>
      <c r="K1026" s="16"/>
    </row>
    <row r="1027" ht="14.25" customHeight="1">
      <c r="A1027" s="8"/>
      <c r="B1027" s="51">
        <v>3410.0</v>
      </c>
      <c r="C1027" s="52"/>
      <c r="D1027" s="53" t="s">
        <v>125</v>
      </c>
      <c r="E1027" s="54"/>
      <c r="F1027" s="53">
        <v>2023.0</v>
      </c>
      <c r="G1027" s="55">
        <v>2024.0</v>
      </c>
      <c r="H1027" s="15">
        <f t="shared" si="100"/>
        <v>0.0004943153732</v>
      </c>
      <c r="K1027" s="16"/>
    </row>
    <row r="1028" ht="14.25" customHeight="1">
      <c r="A1028" s="8"/>
      <c r="B1028" s="9"/>
      <c r="C1028" s="11">
        <v>203.0</v>
      </c>
      <c r="D1028" s="58" t="s">
        <v>158</v>
      </c>
      <c r="E1028" s="37"/>
      <c r="F1028" s="13">
        <v>54000.0</v>
      </c>
      <c r="G1028" s="36">
        <v>20000.0</v>
      </c>
      <c r="H1028" s="15">
        <f t="shared" si="100"/>
        <v>-0.6296296296</v>
      </c>
      <c r="K1028" s="16"/>
    </row>
    <row r="1029" ht="14.25" customHeight="1">
      <c r="A1029" s="8"/>
      <c r="B1029" s="9"/>
      <c r="C1029" s="3">
        <v>223.0</v>
      </c>
      <c r="D1029" s="46" t="s">
        <v>211</v>
      </c>
      <c r="E1029" s="37"/>
      <c r="F1029" s="13">
        <v>1300.0</v>
      </c>
      <c r="G1029" s="13">
        <v>1300.0</v>
      </c>
      <c r="H1029" s="15">
        <f t="shared" si="100"/>
        <v>0</v>
      </c>
      <c r="K1029" s="16"/>
    </row>
    <row r="1030" ht="14.25" customHeight="1">
      <c r="A1030" s="8"/>
      <c r="B1030" s="9"/>
      <c r="C1030" s="3" t="s">
        <v>182</v>
      </c>
      <c r="D1030" s="58" t="s">
        <v>183</v>
      </c>
      <c r="E1030" s="37"/>
      <c r="F1030" s="13">
        <v>2500.0</v>
      </c>
      <c r="G1030" s="13">
        <v>2500.0</v>
      </c>
      <c r="H1030" s="15">
        <f t="shared" si="100"/>
        <v>0</v>
      </c>
      <c r="K1030" s="16"/>
    </row>
    <row r="1031" ht="14.25" customHeight="1">
      <c r="A1031" s="8"/>
      <c r="B1031" s="9"/>
      <c r="C1031" s="3" t="s">
        <v>184</v>
      </c>
      <c r="D1031" s="58" t="s">
        <v>185</v>
      </c>
      <c r="E1031" s="37"/>
      <c r="F1031" s="13">
        <v>19000.0</v>
      </c>
      <c r="G1031" s="36">
        <v>29000.0</v>
      </c>
      <c r="H1031" s="15">
        <f t="shared" si="100"/>
        <v>0.5263157895</v>
      </c>
      <c r="K1031" s="16"/>
    </row>
    <row r="1032" ht="14.25" customHeight="1">
      <c r="A1032" s="8"/>
      <c r="B1032" s="9"/>
      <c r="C1032" s="3" t="s">
        <v>240</v>
      </c>
      <c r="D1032" s="46" t="s">
        <v>241</v>
      </c>
      <c r="E1032" s="65"/>
      <c r="F1032" s="13">
        <v>185000.0</v>
      </c>
      <c r="G1032" s="113">
        <v>275000.0</v>
      </c>
      <c r="H1032" s="15">
        <f t="shared" si="100"/>
        <v>0.4864864865</v>
      </c>
      <c r="K1032" s="16"/>
    </row>
    <row r="1033" ht="14.25" customHeight="1">
      <c r="A1033" s="8"/>
      <c r="B1033" s="9"/>
      <c r="C1033" s="3" t="s">
        <v>188</v>
      </c>
      <c r="D1033" s="58" t="s">
        <v>189</v>
      </c>
      <c r="E1033" s="65"/>
      <c r="F1033" s="13">
        <v>15000.0</v>
      </c>
      <c r="G1033" s="36">
        <v>30000.0</v>
      </c>
      <c r="H1033" s="15">
        <f t="shared" si="100"/>
        <v>1</v>
      </c>
      <c r="K1033" s="16"/>
    </row>
    <row r="1034" ht="14.25" customHeight="1">
      <c r="A1034" s="8"/>
      <c r="B1034" s="9"/>
      <c r="C1034" s="3" t="s">
        <v>190</v>
      </c>
      <c r="D1034" s="58" t="s">
        <v>191</v>
      </c>
      <c r="E1034" s="65"/>
      <c r="F1034" s="13">
        <v>14100.0</v>
      </c>
      <c r="G1034" s="36">
        <v>30000.0</v>
      </c>
      <c r="H1034" s="15">
        <f t="shared" si="100"/>
        <v>1.127659574</v>
      </c>
      <c r="K1034" s="16"/>
    </row>
    <row r="1035" ht="14.25" customHeight="1">
      <c r="A1035" s="8"/>
      <c r="B1035" s="38">
        <v>3410.0</v>
      </c>
      <c r="E1035" s="35"/>
      <c r="F1035" s="40">
        <f t="shared" ref="F1035:G1035" si="103">SUM(F1028:F1034)</f>
        <v>290900</v>
      </c>
      <c r="G1035" s="40">
        <f t="shared" si="103"/>
        <v>387800</v>
      </c>
      <c r="H1035" s="15">
        <f t="shared" si="100"/>
        <v>0.3331041595</v>
      </c>
      <c r="K1035" s="16"/>
    </row>
    <row r="1036" ht="14.25" customHeight="1">
      <c r="A1036" s="8"/>
      <c r="B1036" s="9"/>
      <c r="C1036" s="11"/>
      <c r="D1036" s="12"/>
      <c r="E1036" s="8"/>
      <c r="F1036" s="13"/>
      <c r="G1036" s="13"/>
      <c r="H1036" s="15" t="str">
        <f t="shared" si="100"/>
        <v/>
      </c>
      <c r="K1036" s="16"/>
    </row>
    <row r="1037" ht="14.25" customHeight="1">
      <c r="A1037" s="8"/>
      <c r="B1037" s="51">
        <v>3420.0</v>
      </c>
      <c r="C1037" s="52"/>
      <c r="D1037" s="53" t="s">
        <v>126</v>
      </c>
      <c r="E1037" s="54"/>
      <c r="F1037" s="53">
        <v>2023.0</v>
      </c>
      <c r="G1037" s="55">
        <v>2024.0</v>
      </c>
      <c r="H1037" s="15">
        <f t="shared" si="100"/>
        <v>0.0004943153732</v>
      </c>
      <c r="K1037" s="16"/>
    </row>
    <row r="1038" ht="14.25" customHeight="1">
      <c r="A1038" s="8"/>
      <c r="B1038" s="9"/>
      <c r="C1038" s="3">
        <v>202.0</v>
      </c>
      <c r="D1038" s="58" t="s">
        <v>245</v>
      </c>
      <c r="E1038" s="37"/>
      <c r="F1038" s="13">
        <v>500.0</v>
      </c>
      <c r="G1038" s="13">
        <v>500.0</v>
      </c>
      <c r="H1038" s="15">
        <f t="shared" si="100"/>
        <v>0</v>
      </c>
      <c r="K1038" s="16"/>
    </row>
    <row r="1039" ht="14.25" customHeight="1">
      <c r="A1039" s="8"/>
      <c r="B1039" s="9"/>
      <c r="C1039" s="11">
        <v>203.0</v>
      </c>
      <c r="D1039" s="58" t="s">
        <v>158</v>
      </c>
      <c r="E1039" s="65"/>
      <c r="F1039" s="13">
        <v>3800.0</v>
      </c>
      <c r="G1039" s="13">
        <v>3800.0</v>
      </c>
      <c r="H1039" s="15">
        <f t="shared" si="100"/>
        <v>0</v>
      </c>
      <c r="K1039" s="16"/>
    </row>
    <row r="1040" ht="14.25" customHeight="1">
      <c r="A1040" s="8"/>
      <c r="B1040" s="9"/>
      <c r="C1040" s="3">
        <v>210.0</v>
      </c>
      <c r="D1040" s="58" t="s">
        <v>220</v>
      </c>
      <c r="E1040" s="65"/>
      <c r="F1040" s="13">
        <f t="shared" ref="F1040:G1040" si="104">1500+70000</f>
        <v>71500</v>
      </c>
      <c r="G1040" s="13">
        <f t="shared" si="104"/>
        <v>71500</v>
      </c>
      <c r="H1040" s="15">
        <f t="shared" si="100"/>
        <v>0</v>
      </c>
      <c r="K1040" s="16"/>
    </row>
    <row r="1041" ht="14.25" customHeight="1">
      <c r="A1041" s="8"/>
      <c r="B1041" s="9"/>
      <c r="C1041" s="3">
        <v>212.0</v>
      </c>
      <c r="D1041" s="58" t="s">
        <v>159</v>
      </c>
      <c r="E1041" s="65"/>
      <c r="F1041" s="13">
        <v>150000.0</v>
      </c>
      <c r="G1041" s="36">
        <v>174000.0</v>
      </c>
      <c r="H1041" s="15">
        <f t="shared" si="100"/>
        <v>0.16</v>
      </c>
      <c r="K1041" s="16"/>
    </row>
    <row r="1042" ht="14.25" customHeight="1">
      <c r="A1042" s="8"/>
      <c r="B1042" s="9"/>
      <c r="C1042" s="3">
        <v>213.0</v>
      </c>
      <c r="D1042" s="58" t="s">
        <v>160</v>
      </c>
      <c r="E1042" s="65"/>
      <c r="F1042" s="13">
        <v>5000.0</v>
      </c>
      <c r="G1042" s="13">
        <v>5000.0</v>
      </c>
      <c r="H1042" s="15">
        <f t="shared" si="100"/>
        <v>0</v>
      </c>
      <c r="K1042" s="16"/>
    </row>
    <row r="1043" ht="14.25" customHeight="1">
      <c r="A1043" s="8"/>
      <c r="B1043" s="9"/>
      <c r="C1043" s="3">
        <v>214.0</v>
      </c>
      <c r="D1043" s="58" t="s">
        <v>161</v>
      </c>
      <c r="E1043" s="65"/>
      <c r="F1043" s="13">
        <v>1000.0</v>
      </c>
      <c r="G1043" s="13">
        <v>1000.0</v>
      </c>
      <c r="H1043" s="15">
        <f t="shared" si="100"/>
        <v>0</v>
      </c>
      <c r="K1043" s="16"/>
    </row>
    <row r="1044" ht="14.25" customHeight="1">
      <c r="A1044" s="8"/>
      <c r="B1044" s="9"/>
      <c r="C1044" s="3" t="s">
        <v>164</v>
      </c>
      <c r="D1044" s="58" t="s">
        <v>165</v>
      </c>
      <c r="E1044" s="65"/>
      <c r="F1044" s="13">
        <v>5500.0</v>
      </c>
      <c r="G1044" s="13">
        <v>5500.0</v>
      </c>
      <c r="H1044" s="15">
        <f t="shared" si="100"/>
        <v>0</v>
      </c>
      <c r="K1044" s="16"/>
    </row>
    <row r="1045" ht="14.25" customHeight="1">
      <c r="A1045" s="8"/>
      <c r="B1045" s="9"/>
      <c r="C1045" s="3" t="s">
        <v>228</v>
      </c>
      <c r="D1045" s="58" t="s">
        <v>229</v>
      </c>
      <c r="E1045" s="65"/>
      <c r="F1045" s="13">
        <v>1000.0</v>
      </c>
      <c r="G1045" s="13">
        <v>1000.0</v>
      </c>
      <c r="H1045" s="15">
        <f t="shared" si="100"/>
        <v>0</v>
      </c>
      <c r="K1045" s="16"/>
    </row>
    <row r="1046" ht="14.25" customHeight="1">
      <c r="A1046" s="8"/>
      <c r="B1046" s="9"/>
      <c r="C1046" s="3" t="s">
        <v>166</v>
      </c>
      <c r="D1046" s="58" t="s">
        <v>198</v>
      </c>
      <c r="E1046" s="65"/>
      <c r="F1046" s="13">
        <v>48000.0</v>
      </c>
      <c r="G1046" s="13">
        <v>48000.0</v>
      </c>
      <c r="H1046" s="15">
        <f t="shared" si="100"/>
        <v>0</v>
      </c>
      <c r="K1046" s="16"/>
    </row>
    <row r="1047" ht="14.25" customHeight="1">
      <c r="A1047" s="8"/>
      <c r="B1047" s="9"/>
      <c r="C1047" s="3" t="s">
        <v>4</v>
      </c>
      <c r="D1047" s="58" t="s">
        <v>168</v>
      </c>
      <c r="E1047" s="65"/>
      <c r="F1047" s="13">
        <v>60000.0</v>
      </c>
      <c r="G1047" s="36">
        <v>40000.0</v>
      </c>
      <c r="H1047" s="15">
        <f t="shared" si="100"/>
        <v>-0.3333333333</v>
      </c>
      <c r="K1047" s="16"/>
    </row>
    <row r="1048" ht="14.25" customHeight="1">
      <c r="A1048" s="8"/>
      <c r="B1048" s="9"/>
      <c r="C1048" s="96" t="s">
        <v>249</v>
      </c>
      <c r="D1048" s="97" t="s">
        <v>267</v>
      </c>
      <c r="E1048" s="65"/>
      <c r="F1048" s="36">
        <v>0.0</v>
      </c>
      <c r="G1048" s="36">
        <v>20000.0</v>
      </c>
      <c r="H1048" s="15"/>
      <c r="K1048" s="16"/>
    </row>
    <row r="1049" ht="14.25" customHeight="1">
      <c r="A1049" s="8"/>
      <c r="B1049" s="9"/>
      <c r="C1049" s="3" t="s">
        <v>169</v>
      </c>
      <c r="D1049" s="46" t="s">
        <v>170</v>
      </c>
      <c r="E1049" s="37"/>
      <c r="F1049" s="13">
        <v>3500.0</v>
      </c>
      <c r="G1049" s="13">
        <v>3500.0</v>
      </c>
      <c r="H1049" s="15">
        <f t="shared" ref="H1049:H1138" si="105">IFERROR(((G1049-F1049)/F1049), "")</f>
        <v>0</v>
      </c>
      <c r="K1049" s="16"/>
    </row>
    <row r="1050" ht="14.25" customHeight="1">
      <c r="A1050" s="8"/>
      <c r="B1050" s="9"/>
      <c r="C1050" s="3" t="s">
        <v>171</v>
      </c>
      <c r="D1050" s="58" t="s">
        <v>172</v>
      </c>
      <c r="E1050" s="65"/>
      <c r="F1050" s="13">
        <v>2600.0</v>
      </c>
      <c r="G1050" s="13">
        <v>2600.0</v>
      </c>
      <c r="H1050" s="15">
        <f t="shared" si="105"/>
        <v>0</v>
      </c>
      <c r="K1050" s="16"/>
    </row>
    <row r="1051" ht="14.25" customHeight="1">
      <c r="A1051" s="8"/>
      <c r="B1051" s="9"/>
      <c r="C1051" s="3" t="s">
        <v>173</v>
      </c>
      <c r="D1051" s="58" t="s">
        <v>174</v>
      </c>
      <c r="E1051" s="65"/>
      <c r="F1051" s="13">
        <v>25000.0</v>
      </c>
      <c r="G1051" s="13">
        <v>25000.0</v>
      </c>
      <c r="H1051" s="15">
        <f t="shared" si="105"/>
        <v>0</v>
      </c>
      <c r="K1051" s="16"/>
    </row>
    <row r="1052" ht="14.25" customHeight="1">
      <c r="A1052" s="8"/>
      <c r="B1052" s="9"/>
      <c r="C1052" s="3" t="s">
        <v>175</v>
      </c>
      <c r="D1052" s="58" t="s">
        <v>176</v>
      </c>
      <c r="E1052" s="65"/>
      <c r="F1052" s="13">
        <v>2800.0</v>
      </c>
      <c r="G1052" s="13">
        <v>2800.0</v>
      </c>
      <c r="H1052" s="15">
        <f t="shared" si="105"/>
        <v>0</v>
      </c>
      <c r="K1052" s="16"/>
    </row>
    <row r="1053" ht="14.25" customHeight="1">
      <c r="A1053" s="8"/>
      <c r="B1053" s="9"/>
      <c r="C1053" s="3">
        <v>224.0</v>
      </c>
      <c r="D1053" s="58" t="s">
        <v>179</v>
      </c>
      <c r="E1053" s="65"/>
      <c r="F1053" s="13">
        <v>800.0</v>
      </c>
      <c r="G1053" s="13">
        <v>800.0</v>
      </c>
      <c r="H1053" s="15">
        <f t="shared" si="105"/>
        <v>0</v>
      </c>
      <c r="K1053" s="16"/>
    </row>
    <row r="1054" ht="14.25" customHeight="1">
      <c r="A1054" s="8"/>
      <c r="B1054" s="9"/>
      <c r="C1054" s="3" t="s">
        <v>180</v>
      </c>
      <c r="D1054" s="46" t="s">
        <v>181</v>
      </c>
      <c r="E1054" s="65"/>
      <c r="F1054" s="13">
        <v>500.0</v>
      </c>
      <c r="G1054" s="13">
        <v>500.0</v>
      </c>
      <c r="H1054" s="15">
        <f t="shared" si="105"/>
        <v>0</v>
      </c>
      <c r="K1054" s="16"/>
    </row>
    <row r="1055" ht="14.25" customHeight="1">
      <c r="A1055" s="8"/>
      <c r="B1055" s="9"/>
      <c r="C1055" s="3" t="s">
        <v>186</v>
      </c>
      <c r="D1055" s="58" t="s">
        <v>187</v>
      </c>
      <c r="E1055" s="65"/>
      <c r="F1055" s="13">
        <v>10.0</v>
      </c>
      <c r="G1055" s="13">
        <v>10.0</v>
      </c>
      <c r="H1055" s="15">
        <f t="shared" si="105"/>
        <v>0</v>
      </c>
      <c r="K1055" s="16"/>
    </row>
    <row r="1056" ht="14.25" customHeight="1">
      <c r="A1056" s="8"/>
      <c r="B1056" s="9"/>
      <c r="C1056" s="3" t="s">
        <v>188</v>
      </c>
      <c r="D1056" s="58" t="s">
        <v>189</v>
      </c>
      <c r="E1056" s="65"/>
      <c r="F1056" s="13">
        <v>1800.0</v>
      </c>
      <c r="G1056" s="13">
        <v>1800.0</v>
      </c>
      <c r="H1056" s="15">
        <f t="shared" si="105"/>
        <v>0</v>
      </c>
      <c r="K1056" s="16"/>
    </row>
    <row r="1057" ht="14.25" customHeight="1">
      <c r="A1057" s="8"/>
      <c r="B1057" s="9"/>
      <c r="C1057" s="3" t="s">
        <v>190</v>
      </c>
      <c r="D1057" s="58" t="s">
        <v>191</v>
      </c>
      <c r="E1057" s="65"/>
      <c r="F1057" s="13">
        <v>70000.0</v>
      </c>
      <c r="G1057" s="13">
        <v>70000.0</v>
      </c>
      <c r="H1057" s="15">
        <f t="shared" si="105"/>
        <v>0</v>
      </c>
      <c r="K1057" s="16"/>
    </row>
    <row r="1058" ht="14.25" customHeight="1">
      <c r="A1058" s="8"/>
      <c r="B1058" s="9"/>
      <c r="C1058" s="3" t="s">
        <v>192</v>
      </c>
      <c r="D1058" s="58" t="s">
        <v>193</v>
      </c>
      <c r="E1058" s="65"/>
      <c r="F1058" s="13">
        <v>500.0</v>
      </c>
      <c r="G1058" s="13">
        <v>500.0</v>
      </c>
      <c r="H1058" s="15">
        <f t="shared" si="105"/>
        <v>0</v>
      </c>
      <c r="K1058" s="16"/>
    </row>
    <row r="1059" ht="14.25" customHeight="1">
      <c r="A1059" s="8"/>
      <c r="B1059" s="38">
        <v>3420.0</v>
      </c>
      <c r="E1059" s="35"/>
      <c r="F1059" s="40">
        <f t="shared" ref="F1059:G1059" si="106">SUM(F1038:F1058)</f>
        <v>453810</v>
      </c>
      <c r="G1059" s="40">
        <f t="shared" si="106"/>
        <v>477810</v>
      </c>
      <c r="H1059" s="15">
        <f t="shared" si="105"/>
        <v>0.05288556885</v>
      </c>
      <c r="K1059" s="16"/>
    </row>
    <row r="1060" ht="14.25" customHeight="1">
      <c r="A1060" s="8"/>
      <c r="B1060" s="9"/>
      <c r="C1060" s="45"/>
      <c r="D1060" s="46"/>
      <c r="E1060" s="37"/>
      <c r="F1060" s="13"/>
      <c r="G1060" s="13"/>
      <c r="H1060" s="15" t="str">
        <f t="shared" si="105"/>
        <v/>
      </c>
      <c r="K1060" s="16"/>
    </row>
    <row r="1061" ht="14.25" customHeight="1">
      <c r="A1061" s="8"/>
      <c r="B1061" s="51">
        <v>4220.0</v>
      </c>
      <c r="C1061" s="52"/>
      <c r="D1061" s="53" t="s">
        <v>272</v>
      </c>
      <c r="E1061" s="54"/>
      <c r="F1061" s="53">
        <v>2023.0</v>
      </c>
      <c r="G1061" s="55">
        <v>2024.0</v>
      </c>
      <c r="H1061" s="15">
        <f t="shared" si="105"/>
        <v>0.0004943153732</v>
      </c>
      <c r="K1061" s="16"/>
    </row>
    <row r="1062" ht="14.25" customHeight="1">
      <c r="A1062" s="8"/>
      <c r="B1062" s="9"/>
      <c r="C1062" s="3" t="s">
        <v>188</v>
      </c>
      <c r="D1062" s="58" t="s">
        <v>189</v>
      </c>
      <c r="E1062" s="65"/>
      <c r="F1062" s="13">
        <v>30000.0</v>
      </c>
      <c r="G1062" s="36">
        <v>100000.0</v>
      </c>
      <c r="H1062" s="15">
        <f t="shared" si="105"/>
        <v>2.333333333</v>
      </c>
      <c r="K1062" s="16"/>
    </row>
    <row r="1063" ht="14.25" customHeight="1">
      <c r="A1063" s="8"/>
      <c r="B1063" s="38">
        <v>4210.0</v>
      </c>
      <c r="E1063" s="35"/>
      <c r="F1063" s="40">
        <f t="shared" ref="F1063:G1063" si="107">SUM(F1062)</f>
        <v>30000</v>
      </c>
      <c r="G1063" s="40">
        <f t="shared" si="107"/>
        <v>100000</v>
      </c>
      <c r="H1063" s="15">
        <f t="shared" si="105"/>
        <v>2.333333333</v>
      </c>
      <c r="K1063" s="16"/>
    </row>
    <row r="1064" ht="14.25" customHeight="1">
      <c r="A1064" s="8"/>
      <c r="B1064" s="9"/>
      <c r="C1064" s="3"/>
      <c r="D1064" s="58"/>
      <c r="E1064" s="65"/>
      <c r="F1064" s="13"/>
      <c r="G1064" s="13"/>
      <c r="H1064" s="15" t="str">
        <f t="shared" si="105"/>
        <v/>
      </c>
      <c r="K1064" s="16"/>
    </row>
    <row r="1065" ht="14.25" customHeight="1">
      <c r="A1065" s="8"/>
      <c r="B1065" s="51">
        <v>4310.0</v>
      </c>
      <c r="C1065" s="52"/>
      <c r="D1065" s="53" t="s">
        <v>273</v>
      </c>
      <c r="E1065" s="54"/>
      <c r="F1065" s="53">
        <v>2023.0</v>
      </c>
      <c r="G1065" s="55">
        <v>2024.0</v>
      </c>
      <c r="H1065" s="15">
        <f t="shared" si="105"/>
        <v>0.0004943153732</v>
      </c>
      <c r="K1065" s="16"/>
    </row>
    <row r="1066" ht="14.25" customHeight="1">
      <c r="A1066" s="8"/>
      <c r="B1066" s="9"/>
      <c r="C1066" s="11">
        <v>203.0</v>
      </c>
      <c r="D1066" s="58" t="s">
        <v>158</v>
      </c>
      <c r="E1066" s="37"/>
      <c r="F1066" s="13">
        <v>1300.0</v>
      </c>
      <c r="G1066" s="13">
        <v>1300.0</v>
      </c>
      <c r="H1066" s="15">
        <f t="shared" si="105"/>
        <v>0</v>
      </c>
      <c r="K1066" s="16"/>
    </row>
    <row r="1067" ht="14.25" customHeight="1">
      <c r="A1067" s="99"/>
      <c r="B1067" s="99"/>
      <c r="C1067" s="100" t="s">
        <v>184</v>
      </c>
      <c r="D1067" s="101" t="s">
        <v>274</v>
      </c>
      <c r="E1067" s="101"/>
      <c r="F1067" s="112">
        <v>0.0</v>
      </c>
      <c r="G1067" s="112">
        <v>3000.0</v>
      </c>
      <c r="H1067" s="114" t="str">
        <f t="shared" si="105"/>
        <v/>
      </c>
      <c r="I1067" s="106"/>
      <c r="J1067" s="106"/>
      <c r="K1067" s="108"/>
      <c r="L1067" s="106"/>
      <c r="M1067" s="106"/>
      <c r="N1067" s="106"/>
      <c r="O1067" s="106"/>
      <c r="P1067" s="106"/>
      <c r="Q1067" s="106"/>
      <c r="R1067" s="106"/>
      <c r="S1067" s="106"/>
      <c r="T1067" s="106"/>
      <c r="U1067" s="106"/>
    </row>
    <row r="1068" ht="14.25" customHeight="1">
      <c r="A1068" s="8"/>
      <c r="B1068" s="9"/>
      <c r="C1068" s="3" t="s">
        <v>186</v>
      </c>
      <c r="D1068" s="58" t="s">
        <v>187</v>
      </c>
      <c r="E1068" s="65"/>
      <c r="F1068" s="13">
        <v>200.0</v>
      </c>
      <c r="G1068" s="13">
        <v>200.0</v>
      </c>
      <c r="H1068" s="15">
        <f t="shared" si="105"/>
        <v>0</v>
      </c>
      <c r="K1068" s="16"/>
    </row>
    <row r="1069" ht="14.25" customHeight="1">
      <c r="A1069" s="8"/>
      <c r="B1069" s="9"/>
      <c r="C1069" s="3" t="s">
        <v>188</v>
      </c>
      <c r="D1069" s="58" t="s">
        <v>189</v>
      </c>
      <c r="E1069" s="65"/>
      <c r="F1069" s="13">
        <v>4500.0</v>
      </c>
      <c r="G1069" s="36">
        <v>44500.0</v>
      </c>
      <c r="H1069" s="15">
        <f t="shared" si="105"/>
        <v>8.888888889</v>
      </c>
      <c r="K1069" s="16"/>
    </row>
    <row r="1070" ht="14.25" customHeight="1">
      <c r="A1070" s="8"/>
      <c r="B1070" s="38">
        <v>4310.0</v>
      </c>
      <c r="E1070" s="35"/>
      <c r="F1070" s="40">
        <f t="shared" ref="F1070:G1070" si="108">SUM(F1066:F1069)</f>
        <v>6000</v>
      </c>
      <c r="G1070" s="40">
        <f t="shared" si="108"/>
        <v>49000</v>
      </c>
      <c r="H1070" s="15">
        <f t="shared" si="105"/>
        <v>7.166666667</v>
      </c>
      <c r="K1070" s="16"/>
    </row>
    <row r="1071" ht="14.25" customHeight="1">
      <c r="A1071" s="8"/>
      <c r="B1071" s="9"/>
      <c r="C1071" s="45"/>
      <c r="D1071" s="46"/>
      <c r="E1071" s="37"/>
      <c r="F1071" s="13"/>
      <c r="G1071" s="13"/>
      <c r="H1071" s="15" t="str">
        <f t="shared" si="105"/>
        <v/>
      </c>
      <c r="K1071" s="16"/>
    </row>
    <row r="1072" ht="14.25" customHeight="1">
      <c r="A1072" s="8"/>
      <c r="B1072" s="51">
        <v>4311.0</v>
      </c>
      <c r="C1072" s="52"/>
      <c r="D1072" s="53" t="s">
        <v>275</v>
      </c>
      <c r="E1072" s="54"/>
      <c r="F1072" s="53">
        <v>2023.0</v>
      </c>
      <c r="G1072" s="55">
        <v>2024.0</v>
      </c>
      <c r="H1072" s="15">
        <f t="shared" si="105"/>
        <v>0.0004943153732</v>
      </c>
      <c r="K1072" s="16"/>
    </row>
    <row r="1073" ht="14.25" customHeight="1">
      <c r="A1073" s="8"/>
      <c r="B1073" s="9"/>
      <c r="C1073" s="3" t="s">
        <v>188</v>
      </c>
      <c r="D1073" s="58" t="s">
        <v>189</v>
      </c>
      <c r="E1073" s="65"/>
      <c r="F1073" s="13">
        <v>150000.0</v>
      </c>
      <c r="G1073" s="13">
        <v>150000.0</v>
      </c>
      <c r="H1073" s="15">
        <f t="shared" si="105"/>
        <v>0</v>
      </c>
      <c r="K1073" s="16"/>
    </row>
    <row r="1074" ht="14.25" customHeight="1">
      <c r="A1074" s="8"/>
      <c r="B1074" s="38">
        <v>4311.0</v>
      </c>
      <c r="E1074" s="8"/>
      <c r="F1074" s="40">
        <f t="shared" ref="F1074:G1074" si="109">SUM(F1073)</f>
        <v>150000</v>
      </c>
      <c r="G1074" s="40">
        <f t="shared" si="109"/>
        <v>150000</v>
      </c>
      <c r="H1074" s="15">
        <f t="shared" si="105"/>
        <v>0</v>
      </c>
      <c r="K1074" s="16"/>
    </row>
    <row r="1075" ht="14.25" customHeight="1">
      <c r="A1075" s="8"/>
      <c r="B1075" s="9"/>
      <c r="C1075" s="11"/>
      <c r="D1075" s="12"/>
      <c r="E1075" s="8"/>
      <c r="F1075" s="13"/>
      <c r="G1075" s="13"/>
      <c r="H1075" s="15" t="str">
        <f t="shared" si="105"/>
        <v/>
      </c>
      <c r="K1075" s="16"/>
    </row>
    <row r="1076" ht="14.25" customHeight="1">
      <c r="A1076" s="8"/>
      <c r="B1076" s="51">
        <v>4320.0</v>
      </c>
      <c r="C1076" s="52"/>
      <c r="D1076" s="53" t="s">
        <v>127</v>
      </c>
      <c r="E1076" s="54"/>
      <c r="F1076" s="53">
        <v>2023.0</v>
      </c>
      <c r="G1076" s="55">
        <v>2024.0</v>
      </c>
      <c r="H1076" s="15">
        <f t="shared" si="105"/>
        <v>0.0004943153732</v>
      </c>
      <c r="K1076" s="16"/>
    </row>
    <row r="1077" ht="14.25" customHeight="1">
      <c r="A1077" s="8"/>
      <c r="B1077" s="9"/>
      <c r="C1077" s="3">
        <v>202.0</v>
      </c>
      <c r="D1077" s="58" t="s">
        <v>245</v>
      </c>
      <c r="E1077" s="37"/>
      <c r="F1077" s="13">
        <v>3700.0</v>
      </c>
      <c r="G1077" s="36">
        <v>6000.0</v>
      </c>
      <c r="H1077" s="15">
        <f t="shared" si="105"/>
        <v>0.6216216216</v>
      </c>
      <c r="K1077" s="16"/>
    </row>
    <row r="1078" ht="14.25" customHeight="1">
      <c r="A1078" s="8"/>
      <c r="B1078" s="9"/>
      <c r="C1078" s="11">
        <v>203.0</v>
      </c>
      <c r="D1078" s="58" t="s">
        <v>158</v>
      </c>
      <c r="E1078" s="37"/>
      <c r="F1078" s="13">
        <v>3800.0</v>
      </c>
      <c r="G1078" s="13">
        <v>3800.0</v>
      </c>
      <c r="H1078" s="15">
        <f t="shared" si="105"/>
        <v>0</v>
      </c>
      <c r="K1078" s="16"/>
    </row>
    <row r="1079" ht="14.25" customHeight="1">
      <c r="A1079" s="8"/>
      <c r="B1079" s="9"/>
      <c r="C1079" s="3">
        <v>212.0</v>
      </c>
      <c r="D1079" s="58" t="s">
        <v>159</v>
      </c>
      <c r="E1079" s="37"/>
      <c r="F1079" s="13">
        <v>6700.0</v>
      </c>
      <c r="G1079" s="36">
        <v>6700.0</v>
      </c>
      <c r="H1079" s="15">
        <f t="shared" si="105"/>
        <v>0</v>
      </c>
      <c r="K1079" s="16"/>
    </row>
    <row r="1080" ht="14.25" customHeight="1">
      <c r="A1080" s="8"/>
      <c r="B1080" s="9"/>
      <c r="C1080" s="3">
        <v>213.0</v>
      </c>
      <c r="D1080" s="58" t="s">
        <v>160</v>
      </c>
      <c r="E1080" s="37"/>
      <c r="F1080" s="13">
        <v>1000.0</v>
      </c>
      <c r="G1080" s="36">
        <v>3000.0</v>
      </c>
      <c r="H1080" s="15">
        <f t="shared" si="105"/>
        <v>2</v>
      </c>
      <c r="K1080" s="16"/>
    </row>
    <row r="1081" ht="14.25" customHeight="1">
      <c r="A1081" s="8"/>
      <c r="B1081" s="9"/>
      <c r="C1081" s="3" t="s">
        <v>164</v>
      </c>
      <c r="D1081" s="58" t="s">
        <v>165</v>
      </c>
      <c r="E1081" s="65"/>
      <c r="F1081" s="13">
        <v>500.0</v>
      </c>
      <c r="G1081" s="36">
        <v>500.0</v>
      </c>
      <c r="H1081" s="15">
        <f t="shared" si="105"/>
        <v>0</v>
      </c>
      <c r="K1081" s="16"/>
    </row>
    <row r="1082" ht="14.25" customHeight="1">
      <c r="A1082" s="8"/>
      <c r="B1082" s="9"/>
      <c r="C1082" s="3" t="s">
        <v>166</v>
      </c>
      <c r="D1082" s="58" t="s">
        <v>198</v>
      </c>
      <c r="E1082" s="65"/>
      <c r="F1082" s="13">
        <v>1000.0</v>
      </c>
      <c r="G1082" s="13">
        <v>1000.0</v>
      </c>
      <c r="H1082" s="15">
        <f t="shared" si="105"/>
        <v>0</v>
      </c>
      <c r="K1082" s="16"/>
    </row>
    <row r="1083" ht="14.25" customHeight="1">
      <c r="A1083" s="8"/>
      <c r="B1083" s="9"/>
      <c r="C1083" s="3" t="s">
        <v>173</v>
      </c>
      <c r="D1083" s="58" t="s">
        <v>174</v>
      </c>
      <c r="E1083" s="65"/>
      <c r="F1083" s="13">
        <v>2000.0</v>
      </c>
      <c r="G1083" s="13">
        <v>2000.0</v>
      </c>
      <c r="H1083" s="15">
        <f t="shared" si="105"/>
        <v>0</v>
      </c>
      <c r="K1083" s="16"/>
    </row>
    <row r="1084" ht="14.25" customHeight="1">
      <c r="A1084" s="8"/>
      <c r="B1084" s="9"/>
      <c r="C1084" s="3" t="s">
        <v>175</v>
      </c>
      <c r="D1084" s="46" t="s">
        <v>176</v>
      </c>
      <c r="E1084" s="37"/>
      <c r="F1084" s="13">
        <v>600.0</v>
      </c>
      <c r="G1084" s="36">
        <v>500.0</v>
      </c>
      <c r="H1084" s="15">
        <f t="shared" si="105"/>
        <v>-0.1666666667</v>
      </c>
      <c r="K1084" s="16"/>
    </row>
    <row r="1085" ht="14.25" customHeight="1">
      <c r="A1085" s="8"/>
      <c r="B1085" s="9"/>
      <c r="C1085" s="3">
        <v>224.0</v>
      </c>
      <c r="D1085" s="58" t="s">
        <v>179</v>
      </c>
      <c r="E1085" s="37"/>
      <c r="F1085" s="13">
        <v>1200.0</v>
      </c>
      <c r="G1085" s="13">
        <v>1200.0</v>
      </c>
      <c r="H1085" s="15">
        <f t="shared" si="105"/>
        <v>0</v>
      </c>
      <c r="K1085" s="16"/>
    </row>
    <row r="1086" ht="14.25" customHeight="1">
      <c r="A1086" s="8"/>
      <c r="B1086" s="9"/>
      <c r="C1086" s="3" t="s">
        <v>182</v>
      </c>
      <c r="D1086" s="46" t="s">
        <v>183</v>
      </c>
      <c r="E1086" s="37"/>
      <c r="F1086" s="13">
        <v>1600.0</v>
      </c>
      <c r="G1086" s="13">
        <v>1600.0</v>
      </c>
      <c r="H1086" s="15">
        <f t="shared" si="105"/>
        <v>0</v>
      </c>
      <c r="K1086" s="16"/>
    </row>
    <row r="1087" ht="14.25" customHeight="1">
      <c r="A1087" s="8"/>
      <c r="B1087" s="9"/>
      <c r="C1087" s="3" t="s">
        <v>184</v>
      </c>
      <c r="D1087" s="58" t="s">
        <v>274</v>
      </c>
      <c r="E1087" s="8"/>
      <c r="F1087" s="13">
        <v>150000.0</v>
      </c>
      <c r="G1087" s="36">
        <v>200000.0</v>
      </c>
      <c r="H1087" s="15">
        <f t="shared" si="105"/>
        <v>0.3333333333</v>
      </c>
      <c r="K1087" s="16"/>
    </row>
    <row r="1088" ht="14.25" customHeight="1">
      <c r="A1088" s="8"/>
      <c r="B1088" s="9"/>
      <c r="C1088" s="3" t="s">
        <v>188</v>
      </c>
      <c r="D1088" s="58" t="s">
        <v>276</v>
      </c>
      <c r="E1088" s="65"/>
      <c r="F1088" s="13">
        <v>168000.0</v>
      </c>
      <c r="G1088" s="36">
        <v>220000.0</v>
      </c>
      <c r="H1088" s="15">
        <f t="shared" si="105"/>
        <v>0.3095238095</v>
      </c>
      <c r="K1088" s="16"/>
    </row>
    <row r="1089" ht="14.25" customHeight="1">
      <c r="A1089" s="8"/>
      <c r="B1089" s="9"/>
      <c r="C1089" s="3" t="s">
        <v>203</v>
      </c>
      <c r="D1089" s="58" t="s">
        <v>277</v>
      </c>
      <c r="E1089" s="65"/>
      <c r="F1089" s="13">
        <v>15000.0</v>
      </c>
      <c r="G1089" s="36">
        <v>16000.0</v>
      </c>
      <c r="H1089" s="15">
        <f t="shared" si="105"/>
        <v>0.06666666667</v>
      </c>
      <c r="K1089" s="16"/>
    </row>
    <row r="1090" ht="14.25" customHeight="1">
      <c r="A1090" s="8"/>
      <c r="B1090" s="9"/>
      <c r="C1090" s="3" t="s">
        <v>192</v>
      </c>
      <c r="D1090" s="58" t="s">
        <v>193</v>
      </c>
      <c r="E1090" s="65"/>
      <c r="F1090" s="13">
        <v>500.0</v>
      </c>
      <c r="G1090" s="36">
        <v>1500.0</v>
      </c>
      <c r="H1090" s="15">
        <f t="shared" si="105"/>
        <v>2</v>
      </c>
      <c r="K1090" s="16"/>
    </row>
    <row r="1091" ht="14.25" customHeight="1">
      <c r="A1091" s="8"/>
      <c r="B1091" s="38">
        <v>4320.0</v>
      </c>
      <c r="E1091" s="35"/>
      <c r="F1091" s="40">
        <f t="shared" ref="F1091:G1091" si="110">SUM(F1077:F1090)</f>
        <v>355600</v>
      </c>
      <c r="G1091" s="40">
        <f t="shared" si="110"/>
        <v>463800</v>
      </c>
      <c r="H1091" s="15">
        <f t="shared" si="105"/>
        <v>0.3042744657</v>
      </c>
      <c r="K1091" s="16"/>
    </row>
    <row r="1092" ht="14.25" customHeight="1">
      <c r="A1092" s="8"/>
      <c r="B1092" s="9"/>
      <c r="C1092" s="11"/>
      <c r="D1092" s="12"/>
      <c r="E1092" s="8"/>
      <c r="F1092" s="13"/>
      <c r="G1092" s="13"/>
      <c r="H1092" s="15" t="str">
        <f t="shared" si="105"/>
        <v/>
      </c>
      <c r="K1092" s="16"/>
    </row>
    <row r="1093" ht="14.25" customHeight="1">
      <c r="A1093" s="8"/>
      <c r="B1093" s="51">
        <v>4321.0</v>
      </c>
      <c r="C1093" s="52"/>
      <c r="D1093" s="53" t="s">
        <v>278</v>
      </c>
      <c r="E1093" s="54"/>
      <c r="F1093" s="53">
        <v>2023.0</v>
      </c>
      <c r="G1093" s="55">
        <v>2024.0</v>
      </c>
      <c r="H1093" s="15">
        <f t="shared" si="105"/>
        <v>0.0004943153732</v>
      </c>
      <c r="K1093" s="16"/>
    </row>
    <row r="1094" ht="14.25" customHeight="1">
      <c r="A1094" s="8"/>
      <c r="B1094" s="9"/>
      <c r="C1094" s="3" t="s">
        <v>182</v>
      </c>
      <c r="D1094" s="46" t="s">
        <v>183</v>
      </c>
      <c r="E1094" s="37"/>
      <c r="F1094" s="13">
        <v>5000.0</v>
      </c>
      <c r="G1094" s="13">
        <v>5000.0</v>
      </c>
      <c r="H1094" s="15">
        <f t="shared" si="105"/>
        <v>0</v>
      </c>
      <c r="K1094" s="16"/>
    </row>
    <row r="1095" ht="14.25" customHeight="1">
      <c r="A1095" s="8"/>
      <c r="B1095" s="9"/>
      <c r="C1095" s="3" t="s">
        <v>184</v>
      </c>
      <c r="D1095" s="58" t="s">
        <v>185</v>
      </c>
      <c r="E1095" s="37"/>
      <c r="F1095" s="13">
        <v>200.0</v>
      </c>
      <c r="G1095" s="13">
        <v>200.0</v>
      </c>
      <c r="H1095" s="15">
        <f t="shared" si="105"/>
        <v>0</v>
      </c>
      <c r="K1095" s="16"/>
    </row>
    <row r="1096" ht="14.25" customHeight="1">
      <c r="A1096" s="8"/>
      <c r="B1096" s="9"/>
      <c r="C1096" s="3" t="s">
        <v>240</v>
      </c>
      <c r="D1096" s="46" t="s">
        <v>241</v>
      </c>
      <c r="E1096" s="37"/>
      <c r="F1096" s="13">
        <v>20000.0</v>
      </c>
      <c r="G1096" s="36">
        <v>28500.0</v>
      </c>
      <c r="H1096" s="15">
        <f t="shared" si="105"/>
        <v>0.425</v>
      </c>
      <c r="K1096" s="16"/>
    </row>
    <row r="1097" ht="14.25" customHeight="1">
      <c r="A1097" s="8"/>
      <c r="B1097" s="9"/>
      <c r="C1097" s="3" t="s">
        <v>188</v>
      </c>
      <c r="D1097" s="58" t="s">
        <v>189</v>
      </c>
      <c r="E1097" s="65"/>
      <c r="F1097" s="13">
        <v>10000.0</v>
      </c>
      <c r="G1097" s="13">
        <v>10000.0</v>
      </c>
      <c r="H1097" s="15">
        <f t="shared" si="105"/>
        <v>0</v>
      </c>
      <c r="K1097" s="16"/>
    </row>
    <row r="1098" ht="14.25" customHeight="1">
      <c r="A1098" s="8"/>
      <c r="B1098" s="38">
        <v>4321.0</v>
      </c>
      <c r="E1098" s="35"/>
      <c r="F1098" s="40">
        <f t="shared" ref="F1098:G1098" si="111">SUM(F1094:F1097)</f>
        <v>35200</v>
      </c>
      <c r="G1098" s="40">
        <f t="shared" si="111"/>
        <v>43700</v>
      </c>
      <c r="H1098" s="15">
        <f t="shared" si="105"/>
        <v>0.2414772727</v>
      </c>
      <c r="K1098" s="16"/>
    </row>
    <row r="1099" ht="14.25" customHeight="1">
      <c r="A1099" s="8"/>
      <c r="B1099" s="9"/>
      <c r="C1099" s="11"/>
      <c r="D1099" s="12"/>
      <c r="E1099" s="8"/>
      <c r="F1099" s="13"/>
      <c r="G1099" s="13"/>
      <c r="H1099" s="15" t="str">
        <f t="shared" si="105"/>
        <v/>
      </c>
      <c r="K1099" s="16"/>
    </row>
    <row r="1100" ht="14.25" customHeight="1">
      <c r="A1100" s="8"/>
      <c r="B1100" s="51">
        <v>4330.0</v>
      </c>
      <c r="C1100" s="52"/>
      <c r="D1100" s="53" t="s">
        <v>128</v>
      </c>
      <c r="E1100" s="54"/>
      <c r="F1100" s="53">
        <v>2023.0</v>
      </c>
      <c r="G1100" s="55">
        <v>2024.0</v>
      </c>
      <c r="H1100" s="15">
        <f t="shared" si="105"/>
        <v>0.0004943153732</v>
      </c>
      <c r="K1100" s="16"/>
    </row>
    <row r="1101" ht="14.25" customHeight="1">
      <c r="A1101" s="8"/>
      <c r="B1101" s="9"/>
      <c r="C1101" s="11">
        <v>203.0</v>
      </c>
      <c r="D1101" s="58" t="s">
        <v>158</v>
      </c>
      <c r="E1101" s="37"/>
      <c r="F1101" s="13">
        <v>39000.0</v>
      </c>
      <c r="G1101" s="13">
        <v>39000.0</v>
      </c>
      <c r="H1101" s="15">
        <f t="shared" si="105"/>
        <v>0</v>
      </c>
      <c r="K1101" s="16"/>
    </row>
    <row r="1102" ht="14.25" customHeight="1">
      <c r="A1102" s="8"/>
      <c r="B1102" s="9"/>
      <c r="C1102" s="3">
        <v>212.0</v>
      </c>
      <c r="D1102" s="58" t="s">
        <v>159</v>
      </c>
      <c r="E1102" s="65"/>
      <c r="F1102" s="13">
        <v>33100.0</v>
      </c>
      <c r="G1102" s="36">
        <v>100000.0</v>
      </c>
      <c r="H1102" s="15">
        <f t="shared" si="105"/>
        <v>2.021148036</v>
      </c>
      <c r="K1102" s="16"/>
    </row>
    <row r="1103" ht="14.25" customHeight="1">
      <c r="A1103" s="8"/>
      <c r="B1103" s="9"/>
      <c r="C1103" s="3" t="s">
        <v>164</v>
      </c>
      <c r="D1103" s="58" t="s">
        <v>165</v>
      </c>
      <c r="E1103" s="65"/>
      <c r="F1103" s="13">
        <v>3000.0</v>
      </c>
      <c r="G1103" s="36">
        <v>3600.0</v>
      </c>
      <c r="H1103" s="15">
        <f t="shared" si="105"/>
        <v>0.2</v>
      </c>
      <c r="K1103" s="16"/>
    </row>
    <row r="1104" ht="14.25" customHeight="1">
      <c r="A1104" s="8"/>
      <c r="B1104" s="9"/>
      <c r="C1104" s="3" t="s">
        <v>200</v>
      </c>
      <c r="D1104" s="46" t="s">
        <v>255</v>
      </c>
      <c r="E1104" s="65"/>
      <c r="F1104" s="13">
        <v>2100.0</v>
      </c>
      <c r="G1104" s="36">
        <v>4000.0</v>
      </c>
      <c r="H1104" s="15">
        <f t="shared" si="105"/>
        <v>0.9047619048</v>
      </c>
      <c r="K1104" s="16"/>
    </row>
    <row r="1105" ht="14.25" customHeight="1">
      <c r="A1105" s="8"/>
      <c r="B1105" s="9"/>
      <c r="C1105" s="3" t="s">
        <v>166</v>
      </c>
      <c r="D1105" s="58" t="s">
        <v>198</v>
      </c>
      <c r="E1105" s="65"/>
      <c r="F1105" s="13">
        <v>18000.0</v>
      </c>
      <c r="G1105" s="13">
        <v>18000.0</v>
      </c>
      <c r="H1105" s="15">
        <f t="shared" si="105"/>
        <v>0</v>
      </c>
      <c r="K1105" s="16"/>
    </row>
    <row r="1106" ht="14.25" customHeight="1">
      <c r="A1106" s="8"/>
      <c r="B1106" s="9"/>
      <c r="C1106" s="3" t="s">
        <v>4</v>
      </c>
      <c r="D1106" s="58" t="s">
        <v>168</v>
      </c>
      <c r="E1106" s="65"/>
      <c r="F1106" s="13">
        <v>26000.0</v>
      </c>
      <c r="G1106" s="13">
        <v>26000.0</v>
      </c>
      <c r="H1106" s="15">
        <f t="shared" si="105"/>
        <v>0</v>
      </c>
      <c r="K1106" s="16"/>
    </row>
    <row r="1107" ht="14.25" customHeight="1">
      <c r="A1107" s="8"/>
      <c r="B1107" s="9"/>
      <c r="C1107" s="3" t="s">
        <v>173</v>
      </c>
      <c r="D1107" s="58" t="s">
        <v>174</v>
      </c>
      <c r="E1107" s="65"/>
      <c r="F1107" s="13">
        <v>5500.0</v>
      </c>
      <c r="G1107" s="13">
        <v>5500.0</v>
      </c>
      <c r="H1107" s="15">
        <f t="shared" si="105"/>
        <v>0</v>
      </c>
      <c r="K1107" s="16"/>
    </row>
    <row r="1108" ht="14.25" customHeight="1">
      <c r="A1108" s="8"/>
      <c r="B1108" s="9"/>
      <c r="C1108" s="3" t="s">
        <v>175</v>
      </c>
      <c r="D1108" s="46" t="s">
        <v>176</v>
      </c>
      <c r="E1108" s="37"/>
      <c r="F1108" s="13">
        <v>5500.0</v>
      </c>
      <c r="G1108" s="13">
        <v>5500.0</v>
      </c>
      <c r="H1108" s="15">
        <f t="shared" si="105"/>
        <v>0</v>
      </c>
      <c r="K1108" s="16"/>
    </row>
    <row r="1109" ht="14.25" customHeight="1">
      <c r="A1109" s="8"/>
      <c r="B1109" s="9"/>
      <c r="C1109" s="3" t="s">
        <v>180</v>
      </c>
      <c r="D1109" s="46" t="s">
        <v>181</v>
      </c>
      <c r="E1109" s="37"/>
      <c r="F1109" s="13">
        <v>300.0</v>
      </c>
      <c r="G1109" s="13">
        <v>300.0</v>
      </c>
      <c r="H1109" s="15">
        <f t="shared" si="105"/>
        <v>0</v>
      </c>
      <c r="K1109" s="16"/>
    </row>
    <row r="1110" ht="14.25" customHeight="1">
      <c r="A1110" s="8"/>
      <c r="B1110" s="9"/>
      <c r="C1110" s="3" t="s">
        <v>182</v>
      </c>
      <c r="D1110" s="58" t="s">
        <v>183</v>
      </c>
      <c r="E1110" s="65"/>
      <c r="F1110" s="13">
        <v>9900.0</v>
      </c>
      <c r="G1110" s="36">
        <v>12000.0</v>
      </c>
      <c r="H1110" s="15">
        <f t="shared" si="105"/>
        <v>0.2121212121</v>
      </c>
      <c r="K1110" s="16"/>
    </row>
    <row r="1111" ht="14.25" customHeight="1">
      <c r="A1111" s="8"/>
      <c r="B1111" s="9"/>
      <c r="C1111" s="3" t="s">
        <v>184</v>
      </c>
      <c r="D1111" s="58" t="s">
        <v>185</v>
      </c>
      <c r="E1111" s="65"/>
      <c r="F1111" s="13">
        <v>30000.0</v>
      </c>
      <c r="G1111" s="36">
        <v>230000.0</v>
      </c>
      <c r="H1111" s="15">
        <f t="shared" si="105"/>
        <v>6.666666667</v>
      </c>
      <c r="K1111" s="16"/>
    </row>
    <row r="1112" ht="14.25" customHeight="1">
      <c r="A1112" s="8"/>
      <c r="B1112" s="9"/>
      <c r="C1112" s="3" t="s">
        <v>240</v>
      </c>
      <c r="D1112" s="58" t="s">
        <v>241</v>
      </c>
      <c r="E1112" s="65"/>
      <c r="F1112" s="13">
        <v>40000.0</v>
      </c>
      <c r="G1112" s="13">
        <v>40000.0</v>
      </c>
      <c r="H1112" s="15">
        <f t="shared" si="105"/>
        <v>0</v>
      </c>
      <c r="K1112" s="16"/>
    </row>
    <row r="1113" ht="14.25" customHeight="1">
      <c r="A1113" s="8"/>
      <c r="B1113" s="9"/>
      <c r="C1113" s="3" t="s">
        <v>188</v>
      </c>
      <c r="D1113" s="58" t="s">
        <v>189</v>
      </c>
      <c r="E1113" s="65"/>
      <c r="F1113" s="13">
        <v>120000.0</v>
      </c>
      <c r="G1113" s="113">
        <v>120000.0</v>
      </c>
      <c r="H1113" s="15">
        <f t="shared" si="105"/>
        <v>0</v>
      </c>
      <c r="K1113" s="16"/>
    </row>
    <row r="1114" ht="14.25" customHeight="1">
      <c r="A1114" s="8"/>
      <c r="B1114" s="9"/>
      <c r="C1114" s="3" t="s">
        <v>203</v>
      </c>
      <c r="D1114" s="58" t="s">
        <v>204</v>
      </c>
      <c r="E1114" s="65"/>
      <c r="F1114" s="13">
        <v>15000.0</v>
      </c>
      <c r="G1114" s="36">
        <v>60000.0</v>
      </c>
      <c r="H1114" s="15">
        <f t="shared" si="105"/>
        <v>3</v>
      </c>
      <c r="K1114" s="16"/>
    </row>
    <row r="1115" ht="14.25" customHeight="1">
      <c r="A1115" s="8"/>
      <c r="B1115" s="9"/>
      <c r="C1115" s="3" t="s">
        <v>192</v>
      </c>
      <c r="D1115" s="58" t="s">
        <v>193</v>
      </c>
      <c r="E1115" s="65"/>
      <c r="F1115" s="13">
        <v>500.0</v>
      </c>
      <c r="G1115" s="13">
        <v>500.0</v>
      </c>
      <c r="H1115" s="15">
        <f t="shared" si="105"/>
        <v>0</v>
      </c>
      <c r="K1115" s="16"/>
    </row>
    <row r="1116" ht="14.25" customHeight="1">
      <c r="A1116" s="8"/>
      <c r="B1116" s="38">
        <v>4330.0</v>
      </c>
      <c r="E1116" s="35"/>
      <c r="F1116" s="40">
        <f t="shared" ref="F1116:G1116" si="112">SUM(F1101:F1115)</f>
        <v>347900</v>
      </c>
      <c r="G1116" s="40">
        <f t="shared" si="112"/>
        <v>664400</v>
      </c>
      <c r="H1116" s="15">
        <f t="shared" si="105"/>
        <v>0.9097441794</v>
      </c>
      <c r="K1116" s="16"/>
    </row>
    <row r="1117" ht="14.25" customHeight="1">
      <c r="A1117" s="8"/>
      <c r="B1117" s="9"/>
      <c r="C1117" s="11"/>
      <c r="D1117" s="12"/>
      <c r="E1117" s="8"/>
      <c r="F1117" s="13"/>
      <c r="G1117" s="13"/>
      <c r="H1117" s="15" t="str">
        <f t="shared" si="105"/>
        <v/>
      </c>
      <c r="K1117" s="16"/>
    </row>
    <row r="1118" ht="14.25" customHeight="1">
      <c r="A1118" s="8"/>
      <c r="B1118" s="51">
        <v>4411.0</v>
      </c>
      <c r="C1118" s="52"/>
      <c r="D1118" s="53" t="s">
        <v>279</v>
      </c>
      <c r="E1118" s="54"/>
      <c r="F1118" s="53">
        <v>2023.0</v>
      </c>
      <c r="G1118" s="55">
        <v>2024.0</v>
      </c>
      <c r="H1118" s="15">
        <f t="shared" si="105"/>
        <v>0.0004943153732</v>
      </c>
      <c r="K1118" s="16"/>
    </row>
    <row r="1119" ht="14.25" customHeight="1">
      <c r="A1119" s="8"/>
      <c r="B1119" s="9"/>
      <c r="C1119" s="3" t="s">
        <v>190</v>
      </c>
      <c r="D1119" s="58" t="s">
        <v>191</v>
      </c>
      <c r="E1119" s="115"/>
      <c r="F1119" s="13">
        <v>335000.0</v>
      </c>
      <c r="G1119" s="36">
        <v>350000.0</v>
      </c>
      <c r="H1119" s="15">
        <f t="shared" si="105"/>
        <v>0.0447761194</v>
      </c>
      <c r="K1119" s="16"/>
    </row>
    <row r="1120" ht="14.25" customHeight="1">
      <c r="A1120" s="8"/>
      <c r="B1120" s="38">
        <v>4411.0</v>
      </c>
      <c r="E1120" s="35"/>
      <c r="F1120" s="40">
        <f t="shared" ref="F1120:G1120" si="113">SUM(F1119)</f>
        <v>335000</v>
      </c>
      <c r="G1120" s="40">
        <f t="shared" si="113"/>
        <v>350000</v>
      </c>
      <c r="H1120" s="15">
        <f t="shared" si="105"/>
        <v>0.0447761194</v>
      </c>
      <c r="K1120" s="16"/>
    </row>
    <row r="1121" ht="14.25" customHeight="1">
      <c r="A1121" s="8"/>
      <c r="B1121" s="9"/>
      <c r="C1121" s="45"/>
      <c r="D1121" s="46"/>
      <c r="E1121" s="37"/>
      <c r="F1121" s="49"/>
      <c r="G1121" s="49"/>
      <c r="H1121" s="15" t="str">
        <f t="shared" si="105"/>
        <v/>
      </c>
      <c r="K1121" s="16"/>
    </row>
    <row r="1122" ht="14.25" customHeight="1">
      <c r="A1122" s="8"/>
      <c r="B1122" s="51">
        <v>4930.0</v>
      </c>
      <c r="C1122" s="52"/>
      <c r="D1122" s="53" t="s">
        <v>129</v>
      </c>
      <c r="E1122" s="54"/>
      <c r="F1122" s="53">
        <v>2023.0</v>
      </c>
      <c r="G1122" s="55">
        <v>2024.0</v>
      </c>
      <c r="H1122" s="15">
        <f t="shared" si="105"/>
        <v>0.0004943153732</v>
      </c>
      <c r="K1122" s="16"/>
    </row>
    <row r="1123" ht="14.25" customHeight="1">
      <c r="A1123" s="8"/>
      <c r="B1123" s="9"/>
      <c r="C1123" s="3">
        <v>202.0</v>
      </c>
      <c r="D1123" s="58" t="s">
        <v>245</v>
      </c>
      <c r="E1123" s="37"/>
      <c r="F1123" s="13">
        <v>200.0</v>
      </c>
      <c r="G1123" s="13">
        <v>200.0</v>
      </c>
      <c r="H1123" s="15">
        <f t="shared" si="105"/>
        <v>0</v>
      </c>
      <c r="K1123" s="16"/>
    </row>
    <row r="1124" ht="14.25" customHeight="1">
      <c r="A1124" s="8"/>
      <c r="B1124" s="9"/>
      <c r="C1124" s="11">
        <v>203.0</v>
      </c>
      <c r="D1124" s="58" t="s">
        <v>158</v>
      </c>
      <c r="E1124" s="37"/>
      <c r="F1124" s="13">
        <v>500.0</v>
      </c>
      <c r="G1124" s="13">
        <v>500.0</v>
      </c>
      <c r="H1124" s="15">
        <f t="shared" si="105"/>
        <v>0</v>
      </c>
      <c r="K1124" s="16"/>
    </row>
    <row r="1125" ht="14.25" customHeight="1">
      <c r="A1125" s="8"/>
      <c r="B1125" s="9"/>
      <c r="C1125" s="3">
        <v>209.0</v>
      </c>
      <c r="D1125" s="58" t="s">
        <v>254</v>
      </c>
      <c r="E1125" s="37"/>
      <c r="F1125" s="13">
        <v>200.0</v>
      </c>
      <c r="G1125" s="13">
        <v>200.0</v>
      </c>
      <c r="H1125" s="15">
        <f t="shared" si="105"/>
        <v>0</v>
      </c>
      <c r="K1125" s="16"/>
    </row>
    <row r="1126" ht="14.25" customHeight="1">
      <c r="A1126" s="8"/>
      <c r="B1126" s="9"/>
      <c r="C1126" s="3" t="s">
        <v>164</v>
      </c>
      <c r="D1126" s="46" t="s">
        <v>165</v>
      </c>
      <c r="E1126" s="37"/>
      <c r="F1126" s="13">
        <v>2000.0</v>
      </c>
      <c r="G1126" s="13">
        <v>2000.0</v>
      </c>
      <c r="H1126" s="15">
        <f t="shared" si="105"/>
        <v>0</v>
      </c>
      <c r="K1126" s="16"/>
    </row>
    <row r="1127" ht="14.25" customHeight="1">
      <c r="A1127" s="8"/>
      <c r="B1127" s="9"/>
      <c r="C1127" s="3" t="s">
        <v>200</v>
      </c>
      <c r="D1127" s="46" t="s">
        <v>255</v>
      </c>
      <c r="E1127" s="37"/>
      <c r="F1127" s="13">
        <v>100.0</v>
      </c>
      <c r="G1127" s="13">
        <v>100.0</v>
      </c>
      <c r="H1127" s="15">
        <f t="shared" si="105"/>
        <v>0</v>
      </c>
      <c r="K1127" s="16"/>
    </row>
    <row r="1128" ht="14.25" customHeight="1">
      <c r="A1128" s="8"/>
      <c r="B1128" s="9"/>
      <c r="C1128" s="3" t="s">
        <v>173</v>
      </c>
      <c r="D1128" s="58" t="s">
        <v>174</v>
      </c>
      <c r="E1128" s="37"/>
      <c r="F1128" s="13">
        <v>800.0</v>
      </c>
      <c r="G1128" s="13">
        <v>800.0</v>
      </c>
      <c r="H1128" s="15">
        <f t="shared" si="105"/>
        <v>0</v>
      </c>
      <c r="K1128" s="16"/>
    </row>
    <row r="1129" ht="14.25" customHeight="1">
      <c r="A1129" s="8"/>
      <c r="B1129" s="9"/>
      <c r="C1129" s="3" t="s">
        <v>175</v>
      </c>
      <c r="D1129" s="46" t="s">
        <v>176</v>
      </c>
      <c r="E1129" s="37"/>
      <c r="F1129" s="13">
        <v>1600.0</v>
      </c>
      <c r="G1129" s="13">
        <v>1600.0</v>
      </c>
      <c r="H1129" s="15">
        <f t="shared" si="105"/>
        <v>0</v>
      </c>
      <c r="K1129" s="16"/>
    </row>
    <row r="1130" ht="14.25" customHeight="1">
      <c r="A1130" s="8"/>
      <c r="B1130" s="9"/>
      <c r="C1130" s="3" t="s">
        <v>182</v>
      </c>
      <c r="D1130" s="58" t="s">
        <v>183</v>
      </c>
      <c r="E1130" s="37"/>
      <c r="F1130" s="13">
        <v>700.0</v>
      </c>
      <c r="G1130" s="13">
        <v>700.0</v>
      </c>
      <c r="H1130" s="15">
        <f t="shared" si="105"/>
        <v>0</v>
      </c>
      <c r="K1130" s="16"/>
    </row>
    <row r="1131" ht="14.25" customHeight="1">
      <c r="A1131" s="8"/>
      <c r="B1131" s="9"/>
      <c r="C1131" s="3" t="s">
        <v>184</v>
      </c>
      <c r="D1131" s="58" t="s">
        <v>185</v>
      </c>
      <c r="E1131" s="37"/>
      <c r="F1131" s="13">
        <v>9300.0</v>
      </c>
      <c r="G1131" s="13">
        <v>9300.0</v>
      </c>
      <c r="H1131" s="15">
        <f t="shared" si="105"/>
        <v>0</v>
      </c>
      <c r="K1131" s="16"/>
    </row>
    <row r="1132" ht="14.25" customHeight="1">
      <c r="A1132" s="8"/>
      <c r="B1132" s="9"/>
      <c r="C1132" s="3" t="s">
        <v>256</v>
      </c>
      <c r="D1132" s="46" t="s">
        <v>265</v>
      </c>
      <c r="E1132" s="37"/>
      <c r="F1132" s="13">
        <v>100.0</v>
      </c>
      <c r="G1132" s="13">
        <v>100.0</v>
      </c>
      <c r="H1132" s="15">
        <f t="shared" si="105"/>
        <v>0</v>
      </c>
      <c r="K1132" s="16"/>
    </row>
    <row r="1133" ht="14.25" customHeight="1">
      <c r="A1133" s="8"/>
      <c r="B1133" s="9"/>
      <c r="C1133" s="3" t="s">
        <v>240</v>
      </c>
      <c r="D1133" s="46" t="s">
        <v>241</v>
      </c>
      <c r="E1133" s="37"/>
      <c r="F1133" s="13">
        <v>2000.0</v>
      </c>
      <c r="G1133" s="13">
        <v>2000.0</v>
      </c>
      <c r="H1133" s="15">
        <f t="shared" si="105"/>
        <v>0</v>
      </c>
      <c r="K1133" s="16"/>
    </row>
    <row r="1134" ht="14.25" customHeight="1">
      <c r="A1134" s="8"/>
      <c r="B1134" s="9"/>
      <c r="C1134" s="3" t="s">
        <v>188</v>
      </c>
      <c r="D1134" s="58" t="s">
        <v>189</v>
      </c>
      <c r="E1134" s="65"/>
      <c r="F1134" s="13">
        <v>12000.0</v>
      </c>
      <c r="G1134" s="13">
        <v>12000.0</v>
      </c>
      <c r="H1134" s="15">
        <f t="shared" si="105"/>
        <v>0</v>
      </c>
      <c r="K1134" s="16"/>
    </row>
    <row r="1135" ht="14.25" customHeight="1">
      <c r="A1135" s="8"/>
      <c r="B1135" s="9"/>
      <c r="C1135" s="3" t="s">
        <v>192</v>
      </c>
      <c r="D1135" s="58" t="s">
        <v>193</v>
      </c>
      <c r="E1135" s="65"/>
      <c r="F1135" s="13">
        <v>600.0</v>
      </c>
      <c r="G1135" s="13">
        <v>600.0</v>
      </c>
      <c r="H1135" s="15">
        <f t="shared" si="105"/>
        <v>0</v>
      </c>
      <c r="K1135" s="16"/>
    </row>
    <row r="1136" ht="14.25" customHeight="1">
      <c r="A1136" s="8"/>
      <c r="B1136" s="38">
        <v>4930.0</v>
      </c>
      <c r="E1136" s="35"/>
      <c r="F1136" s="40">
        <f t="shared" ref="F1136:G1136" si="114">SUM(F1123:F1135)</f>
        <v>30100</v>
      </c>
      <c r="G1136" s="40">
        <f t="shared" si="114"/>
        <v>30100</v>
      </c>
      <c r="H1136" s="15">
        <f t="shared" si="105"/>
        <v>0</v>
      </c>
      <c r="K1136" s="16"/>
    </row>
    <row r="1137" ht="14.25" customHeight="1">
      <c r="A1137" s="8"/>
      <c r="B1137" s="9"/>
      <c r="C1137" s="45"/>
      <c r="D1137" s="46"/>
      <c r="E1137" s="37"/>
      <c r="F1137" s="49"/>
      <c r="G1137" s="49"/>
      <c r="H1137" s="15" t="str">
        <f t="shared" si="105"/>
        <v/>
      </c>
      <c r="K1137" s="16"/>
    </row>
    <row r="1138" ht="14.25" customHeight="1">
      <c r="A1138" s="8"/>
      <c r="B1138" s="51">
        <v>9120.0</v>
      </c>
      <c r="C1138" s="52"/>
      <c r="D1138" s="53" t="s">
        <v>130</v>
      </c>
      <c r="E1138" s="54"/>
      <c r="F1138" s="53">
        <v>2023.0</v>
      </c>
      <c r="G1138" s="55">
        <v>2024.0</v>
      </c>
      <c r="H1138" s="15">
        <f t="shared" si="105"/>
        <v>0.0004943153732</v>
      </c>
      <c r="K1138" s="16"/>
    </row>
    <row r="1139" ht="14.25" customHeight="1">
      <c r="A1139" s="8"/>
      <c r="B1139" s="9"/>
      <c r="C1139" s="96">
        <v>203.0</v>
      </c>
      <c r="D1139" s="58" t="s">
        <v>158</v>
      </c>
      <c r="E1139" s="37"/>
      <c r="F1139" s="36">
        <v>0.0</v>
      </c>
      <c r="G1139" s="36">
        <v>3600.0</v>
      </c>
      <c r="H1139" s="15"/>
      <c r="K1139" s="16"/>
    </row>
    <row r="1140" ht="14.25" customHeight="1">
      <c r="A1140" s="8"/>
      <c r="B1140" s="9"/>
      <c r="C1140" s="3">
        <v>204.0</v>
      </c>
      <c r="D1140" s="46" t="s">
        <v>209</v>
      </c>
      <c r="E1140" s="37"/>
      <c r="F1140" s="13">
        <v>10000.0</v>
      </c>
      <c r="G1140" s="36">
        <v>10000.0</v>
      </c>
      <c r="H1140" s="15">
        <f t="shared" ref="H1140:H1151" si="115">IFERROR(((G1140-F1140)/F1140), "")</f>
        <v>0</v>
      </c>
      <c r="K1140" s="16"/>
    </row>
    <row r="1141" ht="14.25" customHeight="1">
      <c r="A1141" s="8"/>
      <c r="B1141" s="9"/>
      <c r="C1141" s="3">
        <v>214.0</v>
      </c>
      <c r="D1141" s="58" t="s">
        <v>161</v>
      </c>
      <c r="E1141" s="37"/>
      <c r="F1141" s="13">
        <v>1300.0</v>
      </c>
      <c r="G1141" s="13">
        <v>1300.0</v>
      </c>
      <c r="H1141" s="15">
        <f t="shared" si="115"/>
        <v>0</v>
      </c>
      <c r="K1141" s="16"/>
    </row>
    <row r="1142" ht="14.25" customHeight="1">
      <c r="A1142" s="8"/>
      <c r="B1142" s="9"/>
      <c r="C1142" s="3" t="s">
        <v>164</v>
      </c>
      <c r="D1142" s="58" t="s">
        <v>165</v>
      </c>
      <c r="E1142" s="65"/>
      <c r="F1142" s="13">
        <v>2500.0</v>
      </c>
      <c r="G1142" s="13">
        <v>2500.0</v>
      </c>
      <c r="H1142" s="15">
        <f t="shared" si="115"/>
        <v>0</v>
      </c>
      <c r="K1142" s="16"/>
    </row>
    <row r="1143" ht="14.25" customHeight="1">
      <c r="A1143" s="8"/>
      <c r="B1143" s="9"/>
      <c r="C1143" s="3" t="s">
        <v>200</v>
      </c>
      <c r="D1143" s="46" t="s">
        <v>255</v>
      </c>
      <c r="E1143" s="65"/>
      <c r="F1143" s="13">
        <v>1500.0</v>
      </c>
      <c r="G1143" s="13">
        <v>1500.0</v>
      </c>
      <c r="H1143" s="15">
        <f t="shared" si="115"/>
        <v>0</v>
      </c>
      <c r="K1143" s="16"/>
    </row>
    <row r="1144" ht="14.25" customHeight="1">
      <c r="A1144" s="8"/>
      <c r="B1144" s="9"/>
      <c r="C1144" s="3" t="s">
        <v>169</v>
      </c>
      <c r="D1144" s="58" t="s">
        <v>170</v>
      </c>
      <c r="E1144" s="65"/>
      <c r="F1144" s="13">
        <v>4000.0</v>
      </c>
      <c r="G1144" s="13">
        <v>4000.0</v>
      </c>
      <c r="H1144" s="15">
        <f t="shared" si="115"/>
        <v>0</v>
      </c>
      <c r="K1144" s="16"/>
    </row>
    <row r="1145" ht="14.25" customHeight="1">
      <c r="A1145" s="8"/>
      <c r="B1145" s="9"/>
      <c r="C1145" s="3" t="s">
        <v>173</v>
      </c>
      <c r="D1145" s="58" t="s">
        <v>174</v>
      </c>
      <c r="E1145" s="65"/>
      <c r="F1145" s="13">
        <v>500.0</v>
      </c>
      <c r="G1145" s="13">
        <v>500.0</v>
      </c>
      <c r="H1145" s="15">
        <f t="shared" si="115"/>
        <v>0</v>
      </c>
      <c r="K1145" s="16"/>
    </row>
    <row r="1146" ht="14.25" customHeight="1">
      <c r="A1146" s="8"/>
      <c r="B1146" s="9"/>
      <c r="C1146" s="3" t="s">
        <v>175</v>
      </c>
      <c r="D1146" s="58" t="s">
        <v>176</v>
      </c>
      <c r="E1146" s="65"/>
      <c r="F1146" s="13">
        <v>2000.0</v>
      </c>
      <c r="G1146" s="13">
        <v>2000.0</v>
      </c>
      <c r="H1146" s="15">
        <f t="shared" si="115"/>
        <v>0</v>
      </c>
      <c r="K1146" s="16"/>
    </row>
    <row r="1147" ht="14.25" customHeight="1">
      <c r="A1147" s="8"/>
      <c r="B1147" s="9"/>
      <c r="C1147" s="3" t="s">
        <v>280</v>
      </c>
      <c r="D1147" s="58" t="s">
        <v>281</v>
      </c>
      <c r="E1147" s="65"/>
      <c r="F1147" s="13">
        <v>310000.0</v>
      </c>
      <c r="G1147" s="36">
        <v>318220.0</v>
      </c>
      <c r="H1147" s="15">
        <f t="shared" si="115"/>
        <v>0.02651612903</v>
      </c>
      <c r="I1147" s="10">
        <f>F1147-G1147+(J1149-F1147)</f>
        <v>1080</v>
      </c>
      <c r="J1147" s="14">
        <f>J381*12*1360</f>
        <v>0</v>
      </c>
      <c r="K1147" s="50" t="s">
        <v>282</v>
      </c>
    </row>
    <row r="1148" ht="14.25" customHeight="1">
      <c r="A1148" s="8"/>
      <c r="B1148" s="9"/>
      <c r="C1148" s="3">
        <v>224.0</v>
      </c>
      <c r="D1148" s="58" t="s">
        <v>179</v>
      </c>
      <c r="E1148" s="65"/>
      <c r="F1148" s="13">
        <v>10500.0</v>
      </c>
      <c r="G1148" s="13">
        <v>10500.0</v>
      </c>
      <c r="H1148" s="15">
        <f t="shared" si="115"/>
        <v>0</v>
      </c>
      <c r="K1148" s="16"/>
    </row>
    <row r="1149" ht="14.25" customHeight="1">
      <c r="A1149" s="8"/>
      <c r="B1149" s="9"/>
      <c r="C1149" s="3" t="s">
        <v>182</v>
      </c>
      <c r="D1149" s="58" t="s">
        <v>183</v>
      </c>
      <c r="E1149" s="65"/>
      <c r="F1149" s="13">
        <v>20000.0</v>
      </c>
      <c r="G1149" s="36">
        <v>30000.0</v>
      </c>
      <c r="H1149" s="15">
        <f t="shared" si="115"/>
        <v>0.5</v>
      </c>
      <c r="J1149" s="14">
        <f>F1147*1.03</f>
        <v>319300</v>
      </c>
      <c r="K1149" s="16"/>
    </row>
    <row r="1150" ht="14.25" customHeight="1">
      <c r="A1150" s="8"/>
      <c r="B1150" s="9"/>
      <c r="C1150" s="3" t="s">
        <v>184</v>
      </c>
      <c r="D1150" s="58" t="s">
        <v>185</v>
      </c>
      <c r="E1150" s="65"/>
      <c r="F1150" s="13">
        <v>30000.0</v>
      </c>
      <c r="G1150" s="36">
        <v>60000.0</v>
      </c>
      <c r="H1150" s="15">
        <f t="shared" si="115"/>
        <v>1</v>
      </c>
      <c r="K1150" s="16"/>
    </row>
    <row r="1151" ht="14.25" customHeight="1">
      <c r="A1151" s="8"/>
      <c r="B1151" s="9"/>
      <c r="C1151" s="3" t="s">
        <v>188</v>
      </c>
      <c r="D1151" s="58" t="s">
        <v>189</v>
      </c>
      <c r="E1151" s="65"/>
      <c r="F1151" s="13">
        <v>6000.0</v>
      </c>
      <c r="G1151" s="13">
        <v>6000.0</v>
      </c>
      <c r="H1151" s="15">
        <f t="shared" si="115"/>
        <v>0</v>
      </c>
      <c r="K1151" s="16"/>
    </row>
    <row r="1152" ht="14.25" customHeight="1">
      <c r="A1152" s="8"/>
      <c r="B1152" s="9"/>
      <c r="C1152" s="100" t="s">
        <v>203</v>
      </c>
      <c r="D1152" s="101" t="s">
        <v>204</v>
      </c>
      <c r="E1152" s="101"/>
      <c r="F1152" s="112">
        <v>0.0</v>
      </c>
      <c r="G1152" s="112">
        <v>20000.0</v>
      </c>
      <c r="H1152" s="15"/>
      <c r="K1152" s="16"/>
    </row>
    <row r="1153" ht="14.25" customHeight="1">
      <c r="A1153" s="8"/>
      <c r="B1153" s="9"/>
      <c r="C1153" s="3" t="s">
        <v>283</v>
      </c>
      <c r="D1153" s="58" t="s">
        <v>284</v>
      </c>
      <c r="E1153" s="65"/>
      <c r="F1153" s="13">
        <v>3500.0</v>
      </c>
      <c r="G1153" s="13">
        <v>3500.0</v>
      </c>
      <c r="H1153" s="15">
        <f t="shared" ref="H1153:H1262" si="116">IFERROR(((G1153-F1153)/F1153), "")</f>
        <v>0</v>
      </c>
      <c r="K1153" s="16"/>
    </row>
    <row r="1154" ht="14.25" customHeight="1">
      <c r="A1154" s="8"/>
      <c r="B1154" s="9"/>
      <c r="C1154" s="3" t="s">
        <v>192</v>
      </c>
      <c r="D1154" s="58" t="s">
        <v>193</v>
      </c>
      <c r="E1154" s="65"/>
      <c r="F1154" s="13">
        <v>1500.0</v>
      </c>
      <c r="G1154" s="13">
        <v>1500.0</v>
      </c>
      <c r="H1154" s="15">
        <f t="shared" si="116"/>
        <v>0</v>
      </c>
      <c r="K1154" s="16"/>
    </row>
    <row r="1155" ht="14.25" customHeight="1">
      <c r="A1155" s="8"/>
      <c r="B1155" s="38">
        <v>9120.0</v>
      </c>
      <c r="E1155" s="35"/>
      <c r="F1155" s="40">
        <f>SUM(F1140:F1154)</f>
        <v>403300</v>
      </c>
      <c r="G1155" s="40">
        <f>SUM(G1139:G1154)</f>
        <v>475120</v>
      </c>
      <c r="H1155" s="15">
        <f t="shared" si="116"/>
        <v>0.1780808331</v>
      </c>
      <c r="K1155" s="16"/>
    </row>
    <row r="1156" ht="14.25" customHeight="1">
      <c r="A1156" s="8"/>
      <c r="B1156" s="9"/>
      <c r="C1156" s="11"/>
      <c r="D1156" s="12"/>
      <c r="E1156" s="8"/>
      <c r="F1156" s="13"/>
      <c r="G1156" s="13"/>
      <c r="H1156" s="15" t="str">
        <f t="shared" si="116"/>
        <v/>
      </c>
      <c r="K1156" s="16"/>
    </row>
    <row r="1157" ht="14.25" customHeight="1">
      <c r="A1157" s="8"/>
      <c r="B1157" s="51">
        <v>9200.0</v>
      </c>
      <c r="C1157" s="52"/>
      <c r="D1157" s="53" t="s">
        <v>147</v>
      </c>
      <c r="E1157" s="54"/>
      <c r="F1157" s="53">
        <v>2023.0</v>
      </c>
      <c r="G1157" s="55">
        <v>2024.0</v>
      </c>
      <c r="H1157" s="15">
        <f t="shared" si="116"/>
        <v>0.0004943153732</v>
      </c>
      <c r="K1157" s="16"/>
    </row>
    <row r="1158" ht="14.25" customHeight="1">
      <c r="A1158" s="8"/>
      <c r="B1158" s="9"/>
      <c r="C1158" s="11">
        <v>203.0</v>
      </c>
      <c r="D1158" s="58" t="s">
        <v>158</v>
      </c>
      <c r="E1158" s="65"/>
      <c r="F1158" s="13">
        <v>1600.0</v>
      </c>
      <c r="G1158" s="13">
        <v>1600.0</v>
      </c>
      <c r="H1158" s="15">
        <f t="shared" si="116"/>
        <v>0</v>
      </c>
      <c r="K1158" s="16"/>
    </row>
    <row r="1159" ht="14.25" customHeight="1">
      <c r="A1159" s="8"/>
      <c r="B1159" s="9"/>
      <c r="C1159" s="3">
        <v>212.0</v>
      </c>
      <c r="D1159" s="58" t="s">
        <v>159</v>
      </c>
      <c r="E1159" s="65"/>
      <c r="F1159" s="13">
        <v>91100.0</v>
      </c>
      <c r="G1159" s="13">
        <v>91100.0</v>
      </c>
      <c r="H1159" s="15">
        <f t="shared" si="116"/>
        <v>0</v>
      </c>
      <c r="K1159" s="16"/>
    </row>
    <row r="1160" ht="14.25" customHeight="1">
      <c r="A1160" s="8"/>
      <c r="B1160" s="9"/>
      <c r="C1160" s="3">
        <v>213.0</v>
      </c>
      <c r="D1160" s="58" t="s">
        <v>160</v>
      </c>
      <c r="E1160" s="65"/>
      <c r="F1160" s="13">
        <v>1800.0</v>
      </c>
      <c r="G1160" s="13">
        <v>1800.0</v>
      </c>
      <c r="H1160" s="15">
        <f t="shared" si="116"/>
        <v>0</v>
      </c>
      <c r="K1160" s="16"/>
    </row>
    <row r="1161" ht="14.25" customHeight="1">
      <c r="A1161" s="8"/>
      <c r="B1161" s="9"/>
      <c r="C1161" s="3">
        <v>214.0</v>
      </c>
      <c r="D1161" s="58" t="s">
        <v>161</v>
      </c>
      <c r="E1161" s="65"/>
      <c r="F1161" s="13">
        <v>500.0</v>
      </c>
      <c r="G1161" s="13">
        <v>500.0</v>
      </c>
      <c r="H1161" s="15">
        <f t="shared" si="116"/>
        <v>0</v>
      </c>
      <c r="K1161" s="16"/>
    </row>
    <row r="1162" ht="14.25" customHeight="1">
      <c r="A1162" s="8"/>
      <c r="B1162" s="9"/>
      <c r="C1162" s="3">
        <v>215.0</v>
      </c>
      <c r="D1162" s="58" t="s">
        <v>285</v>
      </c>
      <c r="E1162" s="65"/>
      <c r="F1162" s="13">
        <v>200.0</v>
      </c>
      <c r="G1162" s="13">
        <v>200.0</v>
      </c>
      <c r="H1162" s="15">
        <f t="shared" si="116"/>
        <v>0</v>
      </c>
      <c r="K1162" s="16"/>
    </row>
    <row r="1163" ht="14.25" customHeight="1">
      <c r="A1163" s="8"/>
      <c r="B1163" s="9"/>
      <c r="C1163" s="3">
        <v>216.0</v>
      </c>
      <c r="D1163" s="58" t="s">
        <v>199</v>
      </c>
      <c r="E1163" s="65"/>
      <c r="F1163" s="13">
        <v>55000.0</v>
      </c>
      <c r="G1163" s="36">
        <v>130000.0</v>
      </c>
      <c r="H1163" s="15">
        <f t="shared" si="116"/>
        <v>1.363636364</v>
      </c>
      <c r="K1163" s="16"/>
    </row>
    <row r="1164" ht="14.25" customHeight="1">
      <c r="A1164" s="8"/>
      <c r="B1164" s="9"/>
      <c r="C1164" s="3" t="s">
        <v>164</v>
      </c>
      <c r="D1164" s="58" t="s">
        <v>165</v>
      </c>
      <c r="E1164" s="65"/>
      <c r="F1164" s="13">
        <v>33000.0</v>
      </c>
      <c r="G1164" s="13">
        <v>33000.0</v>
      </c>
      <c r="H1164" s="15">
        <f t="shared" si="116"/>
        <v>0</v>
      </c>
      <c r="K1164" s="16"/>
    </row>
    <row r="1165" ht="14.25" customHeight="1">
      <c r="A1165" s="8"/>
      <c r="B1165" s="9"/>
      <c r="C1165" s="3" t="s">
        <v>200</v>
      </c>
      <c r="D1165" s="46" t="s">
        <v>255</v>
      </c>
      <c r="E1165" s="65"/>
      <c r="F1165" s="13">
        <v>4300.0</v>
      </c>
      <c r="G1165" s="36">
        <v>4300.0</v>
      </c>
      <c r="H1165" s="15">
        <f t="shared" si="116"/>
        <v>0</v>
      </c>
      <c r="K1165" s="16"/>
    </row>
    <row r="1166" ht="14.25" customHeight="1">
      <c r="A1166" s="8"/>
      <c r="B1166" s="9"/>
      <c r="C1166" s="3" t="s">
        <v>228</v>
      </c>
      <c r="D1166" s="58" t="s">
        <v>229</v>
      </c>
      <c r="E1166" s="65"/>
      <c r="F1166" s="13">
        <v>1500.0</v>
      </c>
      <c r="G1166" s="13">
        <v>1500.0</v>
      </c>
      <c r="H1166" s="15">
        <f t="shared" si="116"/>
        <v>0</v>
      </c>
      <c r="K1166" s="16"/>
    </row>
    <row r="1167" ht="14.25" customHeight="1">
      <c r="A1167" s="8"/>
      <c r="B1167" s="9"/>
      <c r="C1167" s="3" t="s">
        <v>166</v>
      </c>
      <c r="D1167" s="58" t="s">
        <v>198</v>
      </c>
      <c r="E1167" s="65"/>
      <c r="F1167" s="13">
        <v>15000.0</v>
      </c>
      <c r="G1167" s="13">
        <v>15000.0</v>
      </c>
      <c r="H1167" s="15">
        <f t="shared" si="116"/>
        <v>0</v>
      </c>
      <c r="K1167" s="16"/>
    </row>
    <row r="1168" ht="14.25" customHeight="1">
      <c r="A1168" s="8"/>
      <c r="B1168" s="9"/>
      <c r="C1168" s="3" t="s">
        <v>4</v>
      </c>
      <c r="D1168" s="58" t="s">
        <v>168</v>
      </c>
      <c r="E1168" s="65"/>
      <c r="F1168" s="13">
        <v>23000.0</v>
      </c>
      <c r="G1168" s="13">
        <v>23000.0</v>
      </c>
      <c r="H1168" s="15">
        <f t="shared" si="116"/>
        <v>0</v>
      </c>
      <c r="K1168" s="16"/>
    </row>
    <row r="1169" ht="14.25" customHeight="1">
      <c r="A1169" s="8"/>
      <c r="B1169" s="9"/>
      <c r="C1169" s="3" t="s">
        <v>169</v>
      </c>
      <c r="D1169" s="58" t="s">
        <v>170</v>
      </c>
      <c r="E1169" s="65"/>
      <c r="F1169" s="13">
        <v>1000.0</v>
      </c>
      <c r="G1169" s="13">
        <v>1000.0</v>
      </c>
      <c r="H1169" s="15">
        <f t="shared" si="116"/>
        <v>0</v>
      </c>
      <c r="K1169" s="16"/>
    </row>
    <row r="1170" ht="14.25" customHeight="1">
      <c r="A1170" s="8"/>
      <c r="B1170" s="9"/>
      <c r="C1170" s="3" t="s">
        <v>171</v>
      </c>
      <c r="D1170" s="58" t="s">
        <v>172</v>
      </c>
      <c r="E1170" s="65"/>
      <c r="F1170" s="13">
        <v>300.0</v>
      </c>
      <c r="G1170" s="13">
        <v>300.0</v>
      </c>
      <c r="H1170" s="15">
        <f t="shared" si="116"/>
        <v>0</v>
      </c>
      <c r="K1170" s="16"/>
    </row>
    <row r="1171" ht="14.25" customHeight="1">
      <c r="A1171" s="8"/>
      <c r="B1171" s="9"/>
      <c r="C1171" s="3" t="s">
        <v>173</v>
      </c>
      <c r="D1171" s="58" t="s">
        <v>174</v>
      </c>
      <c r="E1171" s="65"/>
      <c r="F1171" s="13">
        <v>8000.0</v>
      </c>
      <c r="G1171" s="13">
        <v>8000.0</v>
      </c>
      <c r="H1171" s="15">
        <f t="shared" si="116"/>
        <v>0</v>
      </c>
      <c r="K1171" s="16"/>
    </row>
    <row r="1172" ht="14.25" customHeight="1">
      <c r="A1172" s="8"/>
      <c r="B1172" s="9"/>
      <c r="C1172" s="3" t="s">
        <v>175</v>
      </c>
      <c r="D1172" s="58" t="s">
        <v>176</v>
      </c>
      <c r="E1172" s="65"/>
      <c r="F1172" s="13">
        <v>9500.0</v>
      </c>
      <c r="G1172" s="13">
        <v>9500.0</v>
      </c>
      <c r="H1172" s="15">
        <f t="shared" si="116"/>
        <v>0</v>
      </c>
      <c r="K1172" s="16"/>
    </row>
    <row r="1173" ht="14.25" customHeight="1">
      <c r="A1173" s="8"/>
      <c r="B1173" s="9"/>
      <c r="C1173" s="3" t="s">
        <v>177</v>
      </c>
      <c r="D1173" s="58" t="s">
        <v>178</v>
      </c>
      <c r="E1173" s="8"/>
      <c r="F1173" s="13">
        <v>10000.0</v>
      </c>
      <c r="G1173" s="13">
        <v>10000.0</v>
      </c>
      <c r="H1173" s="15">
        <f t="shared" si="116"/>
        <v>0</v>
      </c>
      <c r="K1173" s="16"/>
    </row>
    <row r="1174" ht="14.25" customHeight="1">
      <c r="A1174" s="8"/>
      <c r="B1174" s="9"/>
      <c r="C1174" s="3">
        <v>224.0</v>
      </c>
      <c r="D1174" s="58" t="s">
        <v>179</v>
      </c>
      <c r="E1174" s="65"/>
      <c r="F1174" s="13">
        <v>130000.0</v>
      </c>
      <c r="G1174" s="36">
        <v>180000.0</v>
      </c>
      <c r="H1174" s="15">
        <f t="shared" si="116"/>
        <v>0.3846153846</v>
      </c>
      <c r="K1174" s="16"/>
    </row>
    <row r="1175" ht="14.25" customHeight="1">
      <c r="A1175" s="8"/>
      <c r="B1175" s="9"/>
      <c r="C1175" s="3" t="s">
        <v>221</v>
      </c>
      <c r="D1175" s="46" t="s">
        <v>222</v>
      </c>
      <c r="E1175" s="65"/>
      <c r="F1175" s="13">
        <v>600.0</v>
      </c>
      <c r="G1175" s="13">
        <v>600.0</v>
      </c>
      <c r="H1175" s="15">
        <f t="shared" si="116"/>
        <v>0</v>
      </c>
      <c r="K1175" s="16"/>
    </row>
    <row r="1176" ht="14.25" customHeight="1">
      <c r="A1176" s="8"/>
      <c r="B1176" s="9"/>
      <c r="C1176" s="3" t="s">
        <v>180</v>
      </c>
      <c r="D1176" s="46" t="s">
        <v>181</v>
      </c>
      <c r="E1176" s="65"/>
      <c r="F1176" s="13">
        <v>200.0</v>
      </c>
      <c r="G1176" s="13">
        <v>200.0</v>
      </c>
      <c r="H1176" s="15">
        <f t="shared" si="116"/>
        <v>0</v>
      </c>
      <c r="K1176" s="16"/>
    </row>
    <row r="1177" ht="14.25" customHeight="1">
      <c r="A1177" s="8"/>
      <c r="B1177" s="9"/>
      <c r="C1177" s="3" t="s">
        <v>184</v>
      </c>
      <c r="D1177" s="58" t="s">
        <v>185</v>
      </c>
      <c r="E1177" s="65"/>
      <c r="F1177" s="13">
        <v>2000.0</v>
      </c>
      <c r="G1177" s="13">
        <v>2000.0</v>
      </c>
      <c r="H1177" s="15">
        <f t="shared" si="116"/>
        <v>0</v>
      </c>
      <c r="K1177" s="16"/>
    </row>
    <row r="1178" ht="14.25" customHeight="1">
      <c r="A1178" s="8"/>
      <c r="B1178" s="9"/>
      <c r="C1178" s="3" t="s">
        <v>186</v>
      </c>
      <c r="D1178" s="58" t="s">
        <v>187</v>
      </c>
      <c r="E1178" s="65"/>
      <c r="F1178" s="13">
        <v>3000.0</v>
      </c>
      <c r="G1178" s="13">
        <v>3000.0</v>
      </c>
      <c r="H1178" s="15">
        <f t="shared" si="116"/>
        <v>0</v>
      </c>
      <c r="K1178" s="16"/>
    </row>
    <row r="1179" ht="14.25" customHeight="1">
      <c r="A1179" s="8"/>
      <c r="B1179" s="9"/>
      <c r="C1179" s="3" t="s">
        <v>286</v>
      </c>
      <c r="D1179" s="58" t="s">
        <v>287</v>
      </c>
      <c r="E1179" s="65"/>
      <c r="F1179" s="13">
        <v>70000.0</v>
      </c>
      <c r="G1179" s="36">
        <v>91000.0</v>
      </c>
      <c r="H1179" s="15">
        <f t="shared" si="116"/>
        <v>0.3</v>
      </c>
      <c r="K1179" s="16"/>
    </row>
    <row r="1180" ht="14.25" customHeight="1">
      <c r="A1180" s="8"/>
      <c r="B1180" s="9"/>
      <c r="C1180" s="3" t="s">
        <v>288</v>
      </c>
      <c r="D1180" s="58" t="s">
        <v>289</v>
      </c>
      <c r="E1180" s="65"/>
      <c r="F1180" s="13">
        <v>15000.0</v>
      </c>
      <c r="G1180" s="13">
        <v>15000.0</v>
      </c>
      <c r="H1180" s="15">
        <f t="shared" si="116"/>
        <v>0</v>
      </c>
      <c r="K1180" s="16"/>
    </row>
    <row r="1181" ht="14.25" customHeight="1">
      <c r="A1181" s="8"/>
      <c r="B1181" s="9"/>
      <c r="C1181" s="3" t="s">
        <v>188</v>
      </c>
      <c r="D1181" s="58" t="s">
        <v>189</v>
      </c>
      <c r="E1181" s="65"/>
      <c r="F1181" s="13">
        <v>15000.0</v>
      </c>
      <c r="G1181" s="13">
        <v>15000.0</v>
      </c>
      <c r="H1181" s="15">
        <f t="shared" si="116"/>
        <v>0</v>
      </c>
      <c r="K1181" s="16"/>
    </row>
    <row r="1182" ht="14.25" customHeight="1">
      <c r="A1182" s="8"/>
      <c r="B1182" s="9"/>
      <c r="C1182" s="3" t="s">
        <v>203</v>
      </c>
      <c r="D1182" s="58" t="s">
        <v>204</v>
      </c>
      <c r="E1182" s="65"/>
      <c r="F1182" s="13">
        <v>15000.0</v>
      </c>
      <c r="G1182" s="13">
        <v>15000.0</v>
      </c>
      <c r="H1182" s="15">
        <f t="shared" si="116"/>
        <v>0</v>
      </c>
      <c r="K1182" s="16"/>
    </row>
    <row r="1183" ht="14.25" customHeight="1">
      <c r="A1183" s="8"/>
      <c r="B1183" s="9"/>
      <c r="C1183" s="3" t="s">
        <v>190</v>
      </c>
      <c r="D1183" s="58" t="s">
        <v>191</v>
      </c>
      <c r="E1183" s="65"/>
      <c r="F1183" s="13">
        <f>8000</f>
        <v>8000</v>
      </c>
      <c r="G1183" s="36">
        <v>53000.0</v>
      </c>
      <c r="H1183" s="15">
        <f t="shared" si="116"/>
        <v>5.625</v>
      </c>
      <c r="I1183" s="5" t="s">
        <v>290</v>
      </c>
      <c r="K1183" s="16"/>
    </row>
    <row r="1184" ht="14.25" customHeight="1">
      <c r="A1184" s="8"/>
      <c r="B1184" s="9"/>
      <c r="C1184" s="3" t="s">
        <v>192</v>
      </c>
      <c r="D1184" s="58" t="s">
        <v>193</v>
      </c>
      <c r="E1184" s="65"/>
      <c r="F1184" s="13">
        <v>1500.0</v>
      </c>
      <c r="G1184" s="13">
        <v>1500.0</v>
      </c>
      <c r="H1184" s="15">
        <f t="shared" si="116"/>
        <v>0</v>
      </c>
      <c r="K1184" s="16"/>
    </row>
    <row r="1185" ht="14.25" customHeight="1">
      <c r="A1185" s="8"/>
      <c r="B1185" s="9"/>
      <c r="C1185" s="3">
        <v>233.0</v>
      </c>
      <c r="D1185" s="58" t="s">
        <v>213</v>
      </c>
      <c r="E1185" s="65"/>
      <c r="F1185" s="13">
        <v>900.0</v>
      </c>
      <c r="G1185" s="13">
        <v>900.0</v>
      </c>
      <c r="H1185" s="15">
        <f t="shared" si="116"/>
        <v>0</v>
      </c>
      <c r="K1185" s="16"/>
    </row>
    <row r="1186" ht="14.25" customHeight="1">
      <c r="A1186" s="8"/>
      <c r="B1186" s="38">
        <v>9200.0</v>
      </c>
      <c r="E1186" s="35"/>
      <c r="F1186" s="40">
        <f t="shared" ref="F1186:G1186" si="117">SUM(F1158:F1185)</f>
        <v>517000</v>
      </c>
      <c r="G1186" s="40">
        <f t="shared" si="117"/>
        <v>708000</v>
      </c>
      <c r="H1186" s="15">
        <f t="shared" si="116"/>
        <v>0.3694390716</v>
      </c>
      <c r="K1186" s="16"/>
    </row>
    <row r="1187" ht="14.25" customHeight="1">
      <c r="A1187" s="8"/>
      <c r="B1187" s="9"/>
      <c r="C1187" s="11"/>
      <c r="D1187" s="12"/>
      <c r="E1187" s="8"/>
      <c r="F1187" s="13"/>
      <c r="G1187" s="13"/>
      <c r="H1187" s="15" t="str">
        <f t="shared" si="116"/>
        <v/>
      </c>
      <c r="K1187" s="16"/>
    </row>
    <row r="1188" ht="14.25" customHeight="1">
      <c r="A1188" s="8"/>
      <c r="B1188" s="51">
        <v>9240.0</v>
      </c>
      <c r="C1188" s="52"/>
      <c r="D1188" s="53" t="s">
        <v>291</v>
      </c>
      <c r="E1188" s="54"/>
      <c r="F1188" s="53">
        <v>2023.0</v>
      </c>
      <c r="G1188" s="55">
        <v>2024.0</v>
      </c>
      <c r="H1188" s="15">
        <f t="shared" si="116"/>
        <v>0.0004943153732</v>
      </c>
      <c r="K1188" s="16"/>
    </row>
    <row r="1189" ht="14.25" customHeight="1">
      <c r="A1189" s="8"/>
      <c r="B1189" s="9"/>
      <c r="C1189" s="3">
        <v>202.0</v>
      </c>
      <c r="D1189" s="58" t="s">
        <v>245</v>
      </c>
      <c r="E1189" s="65"/>
      <c r="F1189" s="13">
        <v>28000.0</v>
      </c>
      <c r="G1189" s="13">
        <v>28000.0</v>
      </c>
      <c r="H1189" s="15">
        <f t="shared" si="116"/>
        <v>0</v>
      </c>
      <c r="K1189" s="16"/>
    </row>
    <row r="1190" ht="14.25" customHeight="1">
      <c r="A1190" s="8"/>
      <c r="B1190" s="9"/>
      <c r="C1190" s="3">
        <v>212.0</v>
      </c>
      <c r="D1190" s="58" t="s">
        <v>159</v>
      </c>
      <c r="E1190" s="65"/>
      <c r="F1190" s="13">
        <v>19000.0</v>
      </c>
      <c r="G1190" s="36">
        <v>21500.0</v>
      </c>
      <c r="H1190" s="15">
        <f t="shared" si="116"/>
        <v>0.1315789474</v>
      </c>
      <c r="K1190" s="16"/>
    </row>
    <row r="1191" ht="14.25" customHeight="1">
      <c r="A1191" s="8"/>
      <c r="B1191" s="9"/>
      <c r="C1191" s="3" t="s">
        <v>166</v>
      </c>
      <c r="D1191" s="58" t="s">
        <v>198</v>
      </c>
      <c r="E1191" s="65"/>
      <c r="F1191" s="13">
        <v>11000.0</v>
      </c>
      <c r="G1191" s="13">
        <v>11000.0</v>
      </c>
      <c r="H1191" s="15">
        <f t="shared" si="116"/>
        <v>0</v>
      </c>
      <c r="K1191" s="16"/>
    </row>
    <row r="1192" ht="14.25" customHeight="1">
      <c r="A1192" s="8"/>
      <c r="B1192" s="9"/>
      <c r="C1192" s="3" t="s">
        <v>4</v>
      </c>
      <c r="D1192" s="58" t="s">
        <v>168</v>
      </c>
      <c r="E1192" s="65"/>
      <c r="F1192" s="13">
        <v>11000.0</v>
      </c>
      <c r="G1192" s="13">
        <v>11000.0</v>
      </c>
      <c r="H1192" s="15">
        <f t="shared" si="116"/>
        <v>0</v>
      </c>
      <c r="K1192" s="16"/>
    </row>
    <row r="1193" ht="14.25" customHeight="1">
      <c r="A1193" s="8"/>
      <c r="B1193" s="9"/>
      <c r="C1193" s="3" t="s">
        <v>173</v>
      </c>
      <c r="D1193" s="58" t="s">
        <v>174</v>
      </c>
      <c r="E1193" s="65"/>
      <c r="F1193" s="13">
        <v>700.0</v>
      </c>
      <c r="G1193" s="13">
        <v>700.0</v>
      </c>
      <c r="H1193" s="15">
        <f t="shared" si="116"/>
        <v>0</v>
      </c>
      <c r="K1193" s="16"/>
    </row>
    <row r="1194" ht="14.25" customHeight="1">
      <c r="A1194" s="8"/>
      <c r="B1194" s="9"/>
      <c r="C1194" s="3" t="s">
        <v>175</v>
      </c>
      <c r="D1194" s="46" t="s">
        <v>176</v>
      </c>
      <c r="E1194" s="37"/>
      <c r="F1194" s="13">
        <v>600.0</v>
      </c>
      <c r="G1194" s="13">
        <v>600.0</v>
      </c>
      <c r="H1194" s="15">
        <f t="shared" si="116"/>
        <v>0</v>
      </c>
      <c r="K1194" s="16"/>
    </row>
    <row r="1195" ht="14.25" customHeight="1">
      <c r="A1195" s="8"/>
      <c r="B1195" s="9"/>
      <c r="C1195" s="3" t="s">
        <v>180</v>
      </c>
      <c r="D1195" s="46" t="s">
        <v>181</v>
      </c>
      <c r="E1195" s="37"/>
      <c r="F1195" s="13">
        <v>1800.0</v>
      </c>
      <c r="G1195" s="13">
        <v>1800.0</v>
      </c>
      <c r="H1195" s="15">
        <f t="shared" si="116"/>
        <v>0</v>
      </c>
      <c r="K1195" s="16"/>
    </row>
    <row r="1196" ht="14.25" customHeight="1">
      <c r="A1196" s="8"/>
      <c r="B1196" s="9"/>
      <c r="C1196" s="3" t="s">
        <v>184</v>
      </c>
      <c r="D1196" s="58" t="s">
        <v>185</v>
      </c>
      <c r="E1196" s="37"/>
      <c r="F1196" s="13">
        <v>800.0</v>
      </c>
      <c r="G1196" s="13">
        <v>800.0</v>
      </c>
      <c r="H1196" s="15">
        <f t="shared" si="116"/>
        <v>0</v>
      </c>
      <c r="K1196" s="16"/>
    </row>
    <row r="1197" ht="14.25" customHeight="1">
      <c r="A1197" s="8"/>
      <c r="B1197" s="9"/>
      <c r="C1197" s="3" t="s">
        <v>188</v>
      </c>
      <c r="D1197" s="58" t="s">
        <v>189</v>
      </c>
      <c r="E1197" s="65"/>
      <c r="F1197" s="13">
        <v>200.0</v>
      </c>
      <c r="G1197" s="13">
        <v>200.0</v>
      </c>
      <c r="H1197" s="15">
        <f t="shared" si="116"/>
        <v>0</v>
      </c>
      <c r="K1197" s="16"/>
    </row>
    <row r="1198" ht="14.25" customHeight="1">
      <c r="A1198" s="8"/>
      <c r="B1198" s="38">
        <v>9240.0</v>
      </c>
      <c r="E1198" s="35"/>
      <c r="F1198" s="40">
        <f t="shared" ref="F1198:G1198" si="118">SUM(F1189:F1197)</f>
        <v>73100</v>
      </c>
      <c r="G1198" s="40">
        <f t="shared" si="118"/>
        <v>75600</v>
      </c>
      <c r="H1198" s="15">
        <f t="shared" si="116"/>
        <v>0.0341997264</v>
      </c>
      <c r="K1198" s="16"/>
    </row>
    <row r="1199" ht="14.25" customHeight="1">
      <c r="A1199" s="8"/>
      <c r="B1199" s="9"/>
      <c r="C1199" s="45"/>
      <c r="D1199" s="12"/>
      <c r="E1199" s="8"/>
      <c r="F1199" s="13"/>
      <c r="G1199" s="13"/>
      <c r="H1199" s="15" t="str">
        <f t="shared" si="116"/>
        <v/>
      </c>
      <c r="K1199" s="16"/>
    </row>
    <row r="1200" ht="14.25" customHeight="1">
      <c r="A1200" s="8"/>
      <c r="B1200" s="51">
        <v>9250.0</v>
      </c>
      <c r="C1200" s="52"/>
      <c r="D1200" s="53" t="s">
        <v>292</v>
      </c>
      <c r="E1200" s="54"/>
      <c r="F1200" s="53">
        <v>2023.0</v>
      </c>
      <c r="G1200" s="55">
        <v>2024.0</v>
      </c>
      <c r="H1200" s="15">
        <f t="shared" si="116"/>
        <v>0.0004943153732</v>
      </c>
      <c r="K1200" s="16"/>
    </row>
    <row r="1201" ht="14.25" customHeight="1">
      <c r="A1201" s="8"/>
      <c r="B1201" s="9"/>
      <c r="C1201" s="3">
        <v>216.0</v>
      </c>
      <c r="D1201" s="58" t="s">
        <v>199</v>
      </c>
      <c r="E1201" s="37"/>
      <c r="F1201" s="13">
        <v>20500.0</v>
      </c>
      <c r="G1201" s="36">
        <v>50000.0</v>
      </c>
      <c r="H1201" s="15">
        <f t="shared" si="116"/>
        <v>1.43902439</v>
      </c>
      <c r="K1201" s="16"/>
    </row>
    <row r="1202" ht="14.25" customHeight="1">
      <c r="A1202" s="8"/>
      <c r="B1202" s="9"/>
      <c r="C1202" s="3" t="s">
        <v>175</v>
      </c>
      <c r="D1202" s="58" t="s">
        <v>176</v>
      </c>
      <c r="E1202" s="65"/>
      <c r="F1202" s="13">
        <v>200.0</v>
      </c>
      <c r="G1202" s="13">
        <v>200.0</v>
      </c>
      <c r="H1202" s="15">
        <f t="shared" si="116"/>
        <v>0</v>
      </c>
      <c r="K1202" s="16"/>
    </row>
    <row r="1203" ht="14.25" customHeight="1">
      <c r="A1203" s="8"/>
      <c r="B1203" s="9"/>
      <c r="C1203" s="3" t="s">
        <v>190</v>
      </c>
      <c r="D1203" s="58" t="s">
        <v>191</v>
      </c>
      <c r="E1203" s="65"/>
      <c r="F1203" s="13">
        <v>2000.0</v>
      </c>
      <c r="G1203" s="13">
        <v>2000.0</v>
      </c>
      <c r="H1203" s="15">
        <f t="shared" si="116"/>
        <v>0</v>
      </c>
      <c r="K1203" s="16"/>
    </row>
    <row r="1204" ht="14.25" customHeight="1">
      <c r="A1204" s="8"/>
      <c r="B1204" s="38">
        <v>9250.0</v>
      </c>
      <c r="E1204" s="35"/>
      <c r="F1204" s="40">
        <f t="shared" ref="F1204:G1204" si="119">SUM(F1201:F1203)</f>
        <v>22700</v>
      </c>
      <c r="G1204" s="40">
        <f t="shared" si="119"/>
        <v>52200</v>
      </c>
      <c r="H1204" s="15">
        <f t="shared" si="116"/>
        <v>1.299559471</v>
      </c>
      <c r="K1204" s="16"/>
    </row>
    <row r="1205" ht="14.25" customHeight="1">
      <c r="A1205" s="8"/>
      <c r="B1205" s="9"/>
      <c r="C1205" s="11"/>
      <c r="D1205" s="12"/>
      <c r="E1205" s="8"/>
      <c r="F1205" s="13"/>
      <c r="G1205" s="13"/>
      <c r="H1205" s="15" t="str">
        <f t="shared" si="116"/>
        <v/>
      </c>
      <c r="K1205" s="16"/>
    </row>
    <row r="1206" ht="14.25" customHeight="1">
      <c r="A1206" s="8"/>
      <c r="B1206" s="51">
        <v>9290.0</v>
      </c>
      <c r="C1206" s="52"/>
      <c r="D1206" s="53" t="s">
        <v>293</v>
      </c>
      <c r="E1206" s="54"/>
      <c r="F1206" s="53">
        <v>2023.0</v>
      </c>
      <c r="G1206" s="55">
        <v>2024.0</v>
      </c>
      <c r="H1206" s="15">
        <f t="shared" si="116"/>
        <v>0.0004943153732</v>
      </c>
      <c r="K1206" s="16"/>
    </row>
    <row r="1207" ht="14.25" customHeight="1">
      <c r="A1207" s="8"/>
      <c r="B1207" s="9"/>
      <c r="C1207" s="3">
        <v>202.0</v>
      </c>
      <c r="D1207" s="58" t="s">
        <v>245</v>
      </c>
      <c r="E1207" s="65"/>
      <c r="F1207" s="13">
        <v>200.0</v>
      </c>
      <c r="G1207" s="13">
        <v>200.0</v>
      </c>
      <c r="H1207" s="15">
        <f t="shared" si="116"/>
        <v>0</v>
      </c>
      <c r="K1207" s="16"/>
    </row>
    <row r="1208" ht="14.25" customHeight="1">
      <c r="A1208" s="8"/>
      <c r="B1208" s="9"/>
      <c r="C1208" s="3">
        <v>212.0</v>
      </c>
      <c r="D1208" s="58" t="s">
        <v>159</v>
      </c>
      <c r="E1208" s="65"/>
      <c r="F1208" s="13">
        <f>3900+5000</f>
        <v>8900</v>
      </c>
      <c r="G1208" s="36">
        <v>9400.0</v>
      </c>
      <c r="H1208" s="15">
        <f t="shared" si="116"/>
        <v>0.05617977528</v>
      </c>
      <c r="K1208" s="16"/>
    </row>
    <row r="1209" ht="14.25" customHeight="1">
      <c r="A1209" s="8"/>
      <c r="B1209" s="9"/>
      <c r="C1209" s="3">
        <v>213.0</v>
      </c>
      <c r="D1209" s="58" t="s">
        <v>160</v>
      </c>
      <c r="E1209" s="65"/>
      <c r="F1209" s="13">
        <v>100.0</v>
      </c>
      <c r="G1209" s="13">
        <v>100.0</v>
      </c>
      <c r="H1209" s="15">
        <f t="shared" si="116"/>
        <v>0</v>
      </c>
      <c r="K1209" s="16"/>
    </row>
    <row r="1210" ht="14.25" customHeight="1">
      <c r="A1210" s="8"/>
      <c r="B1210" s="9"/>
      <c r="C1210" s="3" t="s">
        <v>166</v>
      </c>
      <c r="D1210" s="58" t="s">
        <v>167</v>
      </c>
      <c r="E1210" s="65"/>
      <c r="F1210" s="13">
        <v>6000.0</v>
      </c>
      <c r="G1210" s="13">
        <v>6000.0</v>
      </c>
      <c r="H1210" s="15">
        <f t="shared" si="116"/>
        <v>0</v>
      </c>
      <c r="K1210" s="16"/>
    </row>
    <row r="1211" ht="14.25" customHeight="1">
      <c r="A1211" s="8"/>
      <c r="B1211" s="9"/>
      <c r="C1211" s="3" t="s">
        <v>4</v>
      </c>
      <c r="D1211" s="58" t="s">
        <v>168</v>
      </c>
      <c r="E1211" s="65"/>
      <c r="F1211" s="13">
        <v>600.0</v>
      </c>
      <c r="G1211" s="13">
        <v>600.0</v>
      </c>
      <c r="H1211" s="15">
        <f t="shared" si="116"/>
        <v>0</v>
      </c>
      <c r="K1211" s="16"/>
    </row>
    <row r="1212" ht="14.25" customHeight="1">
      <c r="A1212" s="8"/>
      <c r="B1212" s="9"/>
      <c r="C1212" s="3" t="s">
        <v>173</v>
      </c>
      <c r="D1212" s="58" t="s">
        <v>174</v>
      </c>
      <c r="E1212" s="65"/>
      <c r="F1212" s="13">
        <v>300.0</v>
      </c>
      <c r="G1212" s="13">
        <v>300.0</v>
      </c>
      <c r="H1212" s="15">
        <f t="shared" si="116"/>
        <v>0</v>
      </c>
      <c r="K1212" s="16"/>
    </row>
    <row r="1213" ht="14.25" customHeight="1">
      <c r="A1213" s="8"/>
      <c r="B1213" s="9"/>
      <c r="C1213" s="3">
        <v>223.0</v>
      </c>
      <c r="D1213" s="58" t="s">
        <v>211</v>
      </c>
      <c r="E1213" s="65"/>
      <c r="F1213" s="13">
        <v>200.0</v>
      </c>
      <c r="G1213" s="13">
        <v>200.0</v>
      </c>
      <c r="H1213" s="15">
        <f t="shared" si="116"/>
        <v>0</v>
      </c>
      <c r="K1213" s="16"/>
    </row>
    <row r="1214" ht="14.25" customHeight="1">
      <c r="A1214" s="8"/>
      <c r="B1214" s="9"/>
      <c r="C1214" s="3">
        <v>224.0</v>
      </c>
      <c r="D1214" s="58" t="s">
        <v>179</v>
      </c>
      <c r="E1214" s="65"/>
      <c r="F1214" s="13">
        <v>200.0</v>
      </c>
      <c r="G1214" s="13">
        <v>200.0</v>
      </c>
      <c r="H1214" s="15">
        <f t="shared" si="116"/>
        <v>0</v>
      </c>
      <c r="K1214" s="16"/>
    </row>
    <row r="1215" ht="14.25" customHeight="1">
      <c r="A1215" s="8"/>
      <c r="B1215" s="9"/>
      <c r="C1215" s="3" t="s">
        <v>180</v>
      </c>
      <c r="D1215" s="46" t="s">
        <v>181</v>
      </c>
      <c r="E1215" s="65"/>
      <c r="F1215" s="13">
        <v>1100.0</v>
      </c>
      <c r="G1215" s="13">
        <v>1100.0</v>
      </c>
      <c r="H1215" s="15">
        <f t="shared" si="116"/>
        <v>0</v>
      </c>
      <c r="K1215" s="16"/>
    </row>
    <row r="1216" ht="14.25" customHeight="1">
      <c r="A1216" s="8"/>
      <c r="B1216" s="38">
        <v>9290.0</v>
      </c>
      <c r="E1216" s="35"/>
      <c r="F1216" s="40">
        <f t="shared" ref="F1216:G1216" si="120">SUM(F1207:F1215)</f>
        <v>17600</v>
      </c>
      <c r="G1216" s="40">
        <f t="shared" si="120"/>
        <v>18100</v>
      </c>
      <c r="H1216" s="15">
        <f t="shared" si="116"/>
        <v>0.02840909091</v>
      </c>
      <c r="K1216" s="16"/>
    </row>
    <row r="1217" ht="14.25" customHeight="1">
      <c r="A1217" s="8"/>
      <c r="B1217" s="9"/>
      <c r="C1217" s="11"/>
      <c r="D1217" s="12"/>
      <c r="E1217" s="8"/>
      <c r="F1217" s="13"/>
      <c r="G1217" s="13"/>
      <c r="H1217" s="15" t="str">
        <f t="shared" si="116"/>
        <v/>
      </c>
      <c r="K1217" s="16"/>
    </row>
    <row r="1218" ht="14.25" customHeight="1">
      <c r="A1218" s="8"/>
      <c r="B1218" s="51">
        <v>9300.0</v>
      </c>
      <c r="C1218" s="52"/>
      <c r="D1218" s="53" t="s">
        <v>294</v>
      </c>
      <c r="E1218" s="54"/>
      <c r="F1218" s="53">
        <v>2023.0</v>
      </c>
      <c r="G1218" s="55">
        <v>2024.0</v>
      </c>
      <c r="H1218" s="15">
        <f t="shared" si="116"/>
        <v>0.0004943153732</v>
      </c>
      <c r="K1218" s="16"/>
    </row>
    <row r="1219" ht="14.25" customHeight="1">
      <c r="A1219" s="8"/>
      <c r="B1219" s="9"/>
      <c r="C1219" s="3">
        <v>212.0</v>
      </c>
      <c r="D1219" s="58" t="s">
        <v>159</v>
      </c>
      <c r="E1219" s="65"/>
      <c r="F1219" s="13">
        <v>30000.0</v>
      </c>
      <c r="G1219" s="36">
        <v>80000.0</v>
      </c>
      <c r="H1219" s="15">
        <f t="shared" si="116"/>
        <v>1.666666667</v>
      </c>
      <c r="K1219" s="16"/>
    </row>
    <row r="1220" ht="14.25" customHeight="1">
      <c r="A1220" s="8"/>
      <c r="B1220" s="9"/>
      <c r="C1220" s="3" t="s">
        <v>166</v>
      </c>
      <c r="D1220" s="58" t="s">
        <v>167</v>
      </c>
      <c r="E1220" s="65"/>
      <c r="F1220" s="13">
        <v>4200.0</v>
      </c>
      <c r="G1220" s="36">
        <v>10000.0</v>
      </c>
      <c r="H1220" s="15">
        <f t="shared" si="116"/>
        <v>1.380952381</v>
      </c>
      <c r="K1220" s="16"/>
    </row>
    <row r="1221" ht="14.25" customHeight="1">
      <c r="A1221" s="8"/>
      <c r="B1221" s="9"/>
      <c r="C1221" s="3" t="s">
        <v>4</v>
      </c>
      <c r="D1221" s="58" t="s">
        <v>168</v>
      </c>
      <c r="E1221" s="65"/>
      <c r="F1221" s="13">
        <v>6000.0</v>
      </c>
      <c r="G1221" s="36">
        <v>0.0</v>
      </c>
      <c r="H1221" s="15">
        <f t="shared" si="116"/>
        <v>-1</v>
      </c>
      <c r="K1221" s="16"/>
    </row>
    <row r="1222" ht="14.25" customHeight="1">
      <c r="A1222" s="8"/>
      <c r="B1222" s="9"/>
      <c r="C1222" s="3" t="s">
        <v>175</v>
      </c>
      <c r="D1222" s="46" t="s">
        <v>176</v>
      </c>
      <c r="E1222" s="37"/>
      <c r="F1222" s="13">
        <v>2000.0</v>
      </c>
      <c r="G1222" s="13">
        <v>2000.0</v>
      </c>
      <c r="H1222" s="15">
        <f t="shared" si="116"/>
        <v>0</v>
      </c>
      <c r="K1222" s="16"/>
    </row>
    <row r="1223" ht="14.25" customHeight="1">
      <c r="A1223" s="8"/>
      <c r="B1223" s="38">
        <v>9300.0</v>
      </c>
      <c r="E1223" s="35"/>
      <c r="F1223" s="40">
        <f t="shared" ref="F1223:G1223" si="121">SUM(F1219:F1222)</f>
        <v>42200</v>
      </c>
      <c r="G1223" s="40">
        <f t="shared" si="121"/>
        <v>92000</v>
      </c>
      <c r="H1223" s="15">
        <f t="shared" si="116"/>
        <v>1.180094787</v>
      </c>
      <c r="K1223" s="16"/>
    </row>
    <row r="1224" ht="14.25" customHeight="1">
      <c r="A1224" s="8"/>
      <c r="B1224" s="9"/>
      <c r="C1224" s="11"/>
      <c r="D1224" s="12"/>
      <c r="E1224" s="8"/>
      <c r="F1224" s="13"/>
      <c r="G1224" s="13"/>
      <c r="H1224" s="15" t="str">
        <f t="shared" si="116"/>
        <v/>
      </c>
      <c r="K1224" s="16"/>
    </row>
    <row r="1225" ht="14.25" customHeight="1">
      <c r="A1225" s="8"/>
      <c r="B1225" s="51">
        <v>9310.0</v>
      </c>
      <c r="C1225" s="52"/>
      <c r="D1225" s="53" t="s">
        <v>151</v>
      </c>
      <c r="E1225" s="54"/>
      <c r="F1225" s="53">
        <v>2023.0</v>
      </c>
      <c r="G1225" s="55">
        <v>2024.0</v>
      </c>
      <c r="H1225" s="15">
        <f t="shared" si="116"/>
        <v>0.0004943153732</v>
      </c>
      <c r="K1225" s="16"/>
    </row>
    <row r="1226" ht="14.25" customHeight="1">
      <c r="A1226" s="8"/>
      <c r="B1226" s="9"/>
      <c r="C1226" s="3">
        <v>216.0</v>
      </c>
      <c r="D1226" s="58" t="s">
        <v>199</v>
      </c>
      <c r="E1226" s="65"/>
      <c r="F1226" s="13">
        <v>8700.0</v>
      </c>
      <c r="G1226" s="36">
        <v>10000.0</v>
      </c>
      <c r="H1226" s="15">
        <f t="shared" si="116"/>
        <v>0.1494252874</v>
      </c>
      <c r="K1226" s="16"/>
    </row>
    <row r="1227" ht="14.25" customHeight="1">
      <c r="A1227" s="8"/>
      <c r="B1227" s="9"/>
      <c r="C1227" s="3" t="s">
        <v>164</v>
      </c>
      <c r="D1227" s="46" t="s">
        <v>165</v>
      </c>
      <c r="E1227" s="37"/>
      <c r="F1227" s="13">
        <v>4200.0</v>
      </c>
      <c r="G1227" s="13">
        <v>4200.0</v>
      </c>
      <c r="H1227" s="15">
        <f t="shared" si="116"/>
        <v>0</v>
      </c>
      <c r="K1227" s="16"/>
    </row>
    <row r="1228" ht="14.25" customHeight="1">
      <c r="A1228" s="8"/>
      <c r="B1228" s="9"/>
      <c r="C1228" s="3" t="s">
        <v>200</v>
      </c>
      <c r="D1228" s="46" t="s">
        <v>255</v>
      </c>
      <c r="E1228" s="37"/>
      <c r="F1228" s="13">
        <v>100.0</v>
      </c>
      <c r="G1228" s="13">
        <v>100.0</v>
      </c>
      <c r="H1228" s="15">
        <f t="shared" si="116"/>
        <v>0</v>
      </c>
      <c r="K1228" s="16"/>
    </row>
    <row r="1229" ht="14.25" customHeight="1">
      <c r="A1229" s="8"/>
      <c r="B1229" s="9"/>
      <c r="C1229" s="3" t="s">
        <v>175</v>
      </c>
      <c r="D1229" s="46" t="s">
        <v>176</v>
      </c>
      <c r="E1229" s="37"/>
      <c r="F1229" s="13">
        <v>250.0</v>
      </c>
      <c r="G1229" s="13">
        <v>250.0</v>
      </c>
      <c r="H1229" s="15">
        <f t="shared" si="116"/>
        <v>0</v>
      </c>
      <c r="K1229" s="16"/>
    </row>
    <row r="1230" ht="14.25" customHeight="1">
      <c r="A1230" s="8"/>
      <c r="B1230" s="9"/>
      <c r="C1230" s="3" t="s">
        <v>186</v>
      </c>
      <c r="D1230" s="58" t="s">
        <v>187</v>
      </c>
      <c r="E1230" s="65"/>
      <c r="F1230" s="13">
        <v>500.0</v>
      </c>
      <c r="G1230" s="13">
        <v>500.0</v>
      </c>
      <c r="H1230" s="15">
        <f t="shared" si="116"/>
        <v>0</v>
      </c>
      <c r="K1230" s="16"/>
    </row>
    <row r="1231" ht="14.25" customHeight="1">
      <c r="A1231" s="8"/>
      <c r="B1231" s="9"/>
      <c r="C1231" s="3" t="s">
        <v>203</v>
      </c>
      <c r="D1231" s="58" t="s">
        <v>204</v>
      </c>
      <c r="E1231" s="65"/>
      <c r="F1231" s="13">
        <v>15000.0</v>
      </c>
      <c r="G1231" s="36">
        <v>30000.0</v>
      </c>
      <c r="H1231" s="15">
        <f t="shared" si="116"/>
        <v>1</v>
      </c>
      <c r="K1231" s="16"/>
    </row>
    <row r="1232" ht="14.25" customHeight="1">
      <c r="A1232" s="8"/>
      <c r="B1232" s="9"/>
      <c r="C1232" s="3" t="s">
        <v>192</v>
      </c>
      <c r="D1232" s="58" t="s">
        <v>193</v>
      </c>
      <c r="E1232" s="65"/>
      <c r="F1232" s="13">
        <v>200.0</v>
      </c>
      <c r="G1232" s="13">
        <v>200.0</v>
      </c>
      <c r="H1232" s="15">
        <f t="shared" si="116"/>
        <v>0</v>
      </c>
      <c r="K1232" s="16"/>
    </row>
    <row r="1233" ht="14.25" customHeight="1">
      <c r="A1233" s="8"/>
      <c r="B1233" s="38">
        <v>9310.0</v>
      </c>
      <c r="E1233" s="35"/>
      <c r="F1233" s="40">
        <f t="shared" ref="F1233:G1233" si="122">SUM(F1226:F1232)</f>
        <v>28950</v>
      </c>
      <c r="G1233" s="40">
        <f t="shared" si="122"/>
        <v>45250</v>
      </c>
      <c r="H1233" s="15">
        <f t="shared" si="116"/>
        <v>0.5630397237</v>
      </c>
      <c r="K1233" s="16"/>
    </row>
    <row r="1234" ht="14.25" customHeight="1">
      <c r="A1234" s="8"/>
      <c r="B1234" s="9"/>
      <c r="C1234" s="11"/>
      <c r="D1234" s="12"/>
      <c r="E1234" s="8"/>
      <c r="F1234" s="13"/>
      <c r="G1234" s="13"/>
      <c r="H1234" s="15" t="str">
        <f t="shared" si="116"/>
        <v/>
      </c>
      <c r="K1234" s="16"/>
    </row>
    <row r="1235" ht="14.25" customHeight="1">
      <c r="A1235" s="8"/>
      <c r="B1235" s="51">
        <v>9320.0</v>
      </c>
      <c r="C1235" s="52"/>
      <c r="D1235" s="53" t="s">
        <v>152</v>
      </c>
      <c r="E1235" s="54"/>
      <c r="F1235" s="53">
        <v>2023.0</v>
      </c>
      <c r="G1235" s="55">
        <v>2024.0</v>
      </c>
      <c r="H1235" s="15">
        <f t="shared" si="116"/>
        <v>0.0004943153732</v>
      </c>
      <c r="K1235" s="16"/>
    </row>
    <row r="1236" ht="14.25" customHeight="1">
      <c r="A1236" s="8"/>
      <c r="B1236" s="9"/>
      <c r="C1236" s="3">
        <v>216.0</v>
      </c>
      <c r="D1236" s="58" t="s">
        <v>199</v>
      </c>
      <c r="E1236" s="65"/>
      <c r="F1236" s="13">
        <f>4000+9600</f>
        <v>13600</v>
      </c>
      <c r="G1236" s="36">
        <v>38000.0</v>
      </c>
      <c r="H1236" s="15">
        <f t="shared" si="116"/>
        <v>1.794117647</v>
      </c>
      <c r="K1236" s="16"/>
    </row>
    <row r="1237" ht="14.25" customHeight="1">
      <c r="A1237" s="8"/>
      <c r="B1237" s="9"/>
      <c r="C1237" s="3" t="s">
        <v>164</v>
      </c>
      <c r="D1237" s="58" t="s">
        <v>165</v>
      </c>
      <c r="E1237" s="65"/>
      <c r="F1237" s="13">
        <f>10000+10000</f>
        <v>20000</v>
      </c>
      <c r="G1237" s="36">
        <v>13000.0</v>
      </c>
      <c r="H1237" s="15">
        <f t="shared" si="116"/>
        <v>-0.35</v>
      </c>
      <c r="K1237" s="16"/>
    </row>
    <row r="1238" ht="14.25" customHeight="1">
      <c r="A1238" s="8"/>
      <c r="B1238" s="9"/>
      <c r="C1238" s="3" t="s">
        <v>200</v>
      </c>
      <c r="D1238" s="46" t="s">
        <v>255</v>
      </c>
      <c r="E1238" s="65"/>
      <c r="F1238" s="13">
        <f t="shared" ref="F1238:G1238" si="123">500+600</f>
        <v>1100</v>
      </c>
      <c r="G1238" s="13">
        <f t="shared" si="123"/>
        <v>1100</v>
      </c>
      <c r="H1238" s="15">
        <f t="shared" si="116"/>
        <v>0</v>
      </c>
      <c r="K1238" s="16"/>
    </row>
    <row r="1239" ht="14.25" customHeight="1">
      <c r="A1239" s="8"/>
      <c r="B1239" s="9"/>
      <c r="C1239" s="3" t="s">
        <v>4</v>
      </c>
      <c r="D1239" s="58" t="s">
        <v>168</v>
      </c>
      <c r="E1239" s="65"/>
      <c r="F1239" s="13">
        <v>19000.0</v>
      </c>
      <c r="G1239" s="36">
        <v>0.0</v>
      </c>
      <c r="H1239" s="15">
        <f t="shared" si="116"/>
        <v>-1</v>
      </c>
      <c r="K1239" s="16"/>
    </row>
    <row r="1240" ht="14.25" customHeight="1">
      <c r="A1240" s="8"/>
      <c r="B1240" s="9"/>
      <c r="C1240" s="3" t="s">
        <v>175</v>
      </c>
      <c r="D1240" s="58" t="s">
        <v>176</v>
      </c>
      <c r="E1240" s="65"/>
      <c r="F1240" s="13">
        <v>2500.0</v>
      </c>
      <c r="G1240" s="13">
        <v>2500.0</v>
      </c>
      <c r="H1240" s="15">
        <f t="shared" si="116"/>
        <v>0</v>
      </c>
      <c r="K1240" s="16"/>
    </row>
    <row r="1241" ht="14.25" customHeight="1">
      <c r="A1241" s="8"/>
      <c r="B1241" s="9"/>
      <c r="C1241" s="3" t="s">
        <v>177</v>
      </c>
      <c r="D1241" s="58" t="s">
        <v>178</v>
      </c>
      <c r="E1241" s="8"/>
      <c r="F1241" s="13">
        <f>55000+16000</f>
        <v>71000</v>
      </c>
      <c r="G1241" s="36">
        <v>20000.0</v>
      </c>
      <c r="H1241" s="15">
        <f t="shared" si="116"/>
        <v>-0.7183098592</v>
      </c>
      <c r="K1241" s="16"/>
    </row>
    <row r="1242" ht="14.25" customHeight="1">
      <c r="A1242" s="8"/>
      <c r="B1242" s="9"/>
      <c r="C1242" s="3" t="s">
        <v>184</v>
      </c>
      <c r="D1242" s="58" t="s">
        <v>185</v>
      </c>
      <c r="E1242" s="65"/>
      <c r="F1242" s="13">
        <f t="shared" ref="F1242:G1242" si="124">2500+5100</f>
        <v>7600</v>
      </c>
      <c r="G1242" s="13">
        <f t="shared" si="124"/>
        <v>7600</v>
      </c>
      <c r="H1242" s="15">
        <f t="shared" si="116"/>
        <v>0</v>
      </c>
      <c r="K1242" s="16"/>
    </row>
    <row r="1243" ht="14.25" customHeight="1">
      <c r="A1243" s="8"/>
      <c r="B1243" s="9"/>
      <c r="C1243" s="3" t="s">
        <v>186</v>
      </c>
      <c r="D1243" s="58" t="s">
        <v>187</v>
      </c>
      <c r="E1243" s="65"/>
      <c r="F1243" s="13">
        <f t="shared" ref="F1243:G1243" si="125">300+200</f>
        <v>500</v>
      </c>
      <c r="G1243" s="13">
        <f t="shared" si="125"/>
        <v>500</v>
      </c>
      <c r="H1243" s="15">
        <f t="shared" si="116"/>
        <v>0</v>
      </c>
      <c r="K1243" s="16"/>
    </row>
    <row r="1244" ht="14.25" customHeight="1">
      <c r="A1244" s="8"/>
      <c r="B1244" s="9"/>
      <c r="C1244" s="3" t="s">
        <v>188</v>
      </c>
      <c r="D1244" s="58" t="s">
        <v>189</v>
      </c>
      <c r="E1244" s="65"/>
      <c r="F1244" s="13">
        <v>300.0</v>
      </c>
      <c r="G1244" s="13">
        <v>300.0</v>
      </c>
      <c r="H1244" s="15">
        <f t="shared" si="116"/>
        <v>0</v>
      </c>
      <c r="K1244" s="16"/>
    </row>
    <row r="1245" ht="14.25" customHeight="1">
      <c r="A1245" s="8"/>
      <c r="B1245" s="9"/>
      <c r="C1245" s="3" t="s">
        <v>192</v>
      </c>
      <c r="D1245" s="58" t="s">
        <v>193</v>
      </c>
      <c r="E1245" s="65"/>
      <c r="F1245" s="13">
        <f t="shared" ref="F1245:G1245" si="126">100+1000</f>
        <v>1100</v>
      </c>
      <c r="G1245" s="13">
        <f t="shared" si="126"/>
        <v>1100</v>
      </c>
      <c r="H1245" s="15">
        <f t="shared" si="116"/>
        <v>0</v>
      </c>
      <c r="K1245" s="16"/>
    </row>
    <row r="1246" ht="14.25" customHeight="1">
      <c r="A1246" s="8"/>
      <c r="B1246" s="38">
        <v>9320.0</v>
      </c>
      <c r="E1246" s="35"/>
      <c r="F1246" s="40">
        <f t="shared" ref="F1246:G1246" si="127">SUM(F1236:F1245)</f>
        <v>136700</v>
      </c>
      <c r="G1246" s="40">
        <f t="shared" si="127"/>
        <v>84100</v>
      </c>
      <c r="H1246" s="15">
        <f t="shared" si="116"/>
        <v>-0.384784199</v>
      </c>
      <c r="K1246" s="16"/>
    </row>
    <row r="1247" ht="14.25" customHeight="1">
      <c r="A1247" s="8"/>
      <c r="B1247" s="9"/>
      <c r="C1247" s="3"/>
      <c r="D1247" s="45"/>
      <c r="E1247" s="35"/>
      <c r="F1247" s="49"/>
      <c r="G1247" s="49"/>
      <c r="H1247" s="15" t="str">
        <f t="shared" si="116"/>
        <v/>
      </c>
      <c r="K1247" s="16"/>
    </row>
    <row r="1248" ht="14.25" customHeight="1">
      <c r="A1248" s="8"/>
      <c r="B1248" s="51">
        <v>9330.0</v>
      </c>
      <c r="C1248" s="52"/>
      <c r="D1248" s="53" t="s">
        <v>153</v>
      </c>
      <c r="E1248" s="54"/>
      <c r="F1248" s="53">
        <v>2023.0</v>
      </c>
      <c r="G1248" s="55">
        <v>2024.0</v>
      </c>
      <c r="H1248" s="15">
        <f t="shared" si="116"/>
        <v>0.0004943153732</v>
      </c>
      <c r="K1248" s="16"/>
    </row>
    <row r="1249" ht="14.25" customHeight="1">
      <c r="A1249" s="8"/>
      <c r="B1249" s="9"/>
      <c r="C1249" s="3" t="s">
        <v>164</v>
      </c>
      <c r="D1249" s="46" t="s">
        <v>165</v>
      </c>
      <c r="E1249" s="37"/>
      <c r="F1249" s="13">
        <v>1200.0</v>
      </c>
      <c r="G1249" s="13">
        <v>1200.0</v>
      </c>
      <c r="H1249" s="15">
        <f t="shared" si="116"/>
        <v>0</v>
      </c>
      <c r="K1249" s="16"/>
    </row>
    <row r="1250" ht="14.25" customHeight="1">
      <c r="A1250" s="8"/>
      <c r="B1250" s="9"/>
      <c r="C1250" s="3" t="s">
        <v>175</v>
      </c>
      <c r="D1250" s="46" t="s">
        <v>176</v>
      </c>
      <c r="E1250" s="37"/>
      <c r="F1250" s="13">
        <v>300.0</v>
      </c>
      <c r="G1250" s="13">
        <v>300.0</v>
      </c>
      <c r="H1250" s="15">
        <f t="shared" si="116"/>
        <v>0</v>
      </c>
      <c r="K1250" s="16"/>
    </row>
    <row r="1251" ht="14.25" customHeight="1">
      <c r="A1251" s="8"/>
      <c r="B1251" s="9"/>
      <c r="C1251" s="3" t="s">
        <v>203</v>
      </c>
      <c r="D1251" s="58" t="s">
        <v>204</v>
      </c>
      <c r="E1251" s="65"/>
      <c r="F1251" s="13">
        <v>3000.0</v>
      </c>
      <c r="G1251" s="36">
        <v>0.0</v>
      </c>
      <c r="H1251" s="15">
        <f t="shared" si="116"/>
        <v>-1</v>
      </c>
      <c r="K1251" s="16"/>
    </row>
    <row r="1252" ht="14.25" customHeight="1">
      <c r="A1252" s="8"/>
      <c r="B1252" s="9"/>
      <c r="C1252" s="3" t="s">
        <v>188</v>
      </c>
      <c r="D1252" s="58" t="s">
        <v>189</v>
      </c>
      <c r="E1252" s="65"/>
      <c r="F1252" s="13">
        <v>100.0</v>
      </c>
      <c r="G1252" s="13">
        <v>100.0</v>
      </c>
      <c r="H1252" s="15">
        <f t="shared" si="116"/>
        <v>0</v>
      </c>
      <c r="K1252" s="16"/>
    </row>
    <row r="1253" ht="14.25" customHeight="1">
      <c r="A1253" s="8"/>
      <c r="B1253" s="116">
        <v>9330.0</v>
      </c>
      <c r="E1253" s="35"/>
      <c r="F1253" s="40">
        <f t="shared" ref="F1253:G1253" si="128">SUM(F1249:F1252)</f>
        <v>4600</v>
      </c>
      <c r="G1253" s="40">
        <f t="shared" si="128"/>
        <v>1600</v>
      </c>
      <c r="H1253" s="15">
        <f t="shared" si="116"/>
        <v>-0.652173913</v>
      </c>
      <c r="K1253" s="16"/>
    </row>
    <row r="1254" ht="14.25" customHeight="1">
      <c r="A1254" s="8"/>
      <c r="B1254" s="9"/>
      <c r="C1254" s="3"/>
      <c r="D1254" s="45"/>
      <c r="E1254" s="35"/>
      <c r="F1254" s="49"/>
      <c r="G1254" s="49"/>
      <c r="H1254" s="15" t="str">
        <f t="shared" si="116"/>
        <v/>
      </c>
      <c r="K1254" s="16"/>
    </row>
    <row r="1255" ht="14.25" customHeight="1">
      <c r="A1255" s="8"/>
      <c r="B1255" s="51">
        <v>9340.0</v>
      </c>
      <c r="C1255" s="52"/>
      <c r="D1255" s="53" t="s">
        <v>154</v>
      </c>
      <c r="E1255" s="54"/>
      <c r="F1255" s="53">
        <v>2023.0</v>
      </c>
      <c r="G1255" s="55">
        <v>2024.0</v>
      </c>
      <c r="H1255" s="15">
        <f t="shared" si="116"/>
        <v>0.0004943153732</v>
      </c>
      <c r="K1255" s="16"/>
    </row>
    <row r="1256" ht="14.25" customHeight="1">
      <c r="A1256" s="8"/>
      <c r="B1256" s="74"/>
      <c r="C1256" s="3" t="s">
        <v>177</v>
      </c>
      <c r="D1256" s="58" t="s">
        <v>178</v>
      </c>
      <c r="E1256" s="8"/>
      <c r="F1256" s="13">
        <v>500.0</v>
      </c>
      <c r="G1256" s="13">
        <v>500.0</v>
      </c>
      <c r="H1256" s="15">
        <f t="shared" si="116"/>
        <v>0</v>
      </c>
      <c r="K1256" s="16"/>
    </row>
    <row r="1257" ht="14.25" customHeight="1">
      <c r="A1257" s="8"/>
      <c r="B1257" s="74"/>
      <c r="C1257" s="3" t="s">
        <v>192</v>
      </c>
      <c r="D1257" s="58" t="s">
        <v>193</v>
      </c>
      <c r="E1257" s="65"/>
      <c r="F1257" s="13">
        <v>500.0</v>
      </c>
      <c r="G1257" s="13">
        <v>500.0</v>
      </c>
      <c r="H1257" s="15">
        <f t="shared" si="116"/>
        <v>0</v>
      </c>
      <c r="J1257" s="14">
        <f>15*6*11*12</f>
        <v>11880</v>
      </c>
      <c r="K1257" s="16"/>
    </row>
    <row r="1258" ht="14.25" customHeight="1">
      <c r="A1258" s="8"/>
      <c r="B1258" s="9"/>
      <c r="C1258" s="3" t="s">
        <v>190</v>
      </c>
      <c r="D1258" s="58" t="s">
        <v>191</v>
      </c>
      <c r="E1258" s="8"/>
      <c r="F1258" s="13">
        <v>75000.0</v>
      </c>
      <c r="G1258" s="13">
        <v>75000.0</v>
      </c>
      <c r="H1258" s="15">
        <f t="shared" si="116"/>
        <v>0</v>
      </c>
      <c r="K1258" s="16"/>
    </row>
    <row r="1259" ht="14.25" customHeight="1">
      <c r="A1259" s="8"/>
      <c r="B1259" s="38">
        <v>9340.0</v>
      </c>
      <c r="E1259" s="35"/>
      <c r="F1259" s="40">
        <f t="shared" ref="F1259:G1259" si="129">SUM(F1256:F1258)</f>
        <v>76000</v>
      </c>
      <c r="G1259" s="40">
        <f t="shared" si="129"/>
        <v>76000</v>
      </c>
      <c r="H1259" s="15">
        <f t="shared" si="116"/>
        <v>0</v>
      </c>
      <c r="K1259" s="16"/>
    </row>
    <row r="1260" ht="14.25" customHeight="1">
      <c r="A1260" s="8"/>
      <c r="B1260" s="9"/>
      <c r="C1260" s="3"/>
      <c r="D1260" s="45"/>
      <c r="E1260" s="117"/>
      <c r="F1260" s="12"/>
      <c r="G1260" s="12"/>
      <c r="H1260" s="15" t="str">
        <f t="shared" si="116"/>
        <v/>
      </c>
      <c r="K1260" s="16"/>
    </row>
    <row r="1261" ht="14.25" customHeight="1">
      <c r="A1261" s="8"/>
      <c r="B1261" s="9"/>
      <c r="C1261" s="3"/>
      <c r="D1261" s="38" t="s">
        <v>295</v>
      </c>
      <c r="E1261" s="91"/>
      <c r="F1261" s="92">
        <f t="shared" ref="F1261:G1261" si="130">F1259+F1253+F1246+F1233+F1223+F1216+F1204+F1198+F1186+F1155+F1136+F1120+F1116+F1074+F1098+F1091+F1070+F1059+F1035+F1025+F1007+F1002+F996+F979+F962+F946+F930+F915+F901+F885+F868+F851+F830+F819+F807+F801+F797+F780+F768+F751+F743+F725+F721+F714+F696+F675+F661+F657+F650+F646+F623+F612+F589+F583+F574+F557+F537+F519+F512+F1063</f>
        <v>16927630</v>
      </c>
      <c r="G1261" s="92">
        <f t="shared" si="130"/>
        <v>19550670</v>
      </c>
      <c r="H1261" s="15">
        <f t="shared" si="116"/>
        <v>0.1549561279</v>
      </c>
      <c r="K1261" s="16"/>
    </row>
    <row r="1262" ht="14.25" customHeight="1">
      <c r="A1262" s="8"/>
      <c r="B1262" s="9"/>
      <c r="C1262" s="3"/>
      <c r="D1262" s="45"/>
      <c r="E1262" s="117"/>
      <c r="F1262" s="12"/>
      <c r="G1262" s="12"/>
      <c r="H1262" s="15" t="str">
        <f t="shared" si="116"/>
        <v/>
      </c>
      <c r="K1262" s="16"/>
    </row>
    <row r="1263" ht="14.25" customHeight="1">
      <c r="A1263" s="8"/>
      <c r="B1263" s="9"/>
      <c r="C1263" s="3"/>
      <c r="D1263" s="45"/>
      <c r="E1263" s="117"/>
      <c r="F1263" s="12"/>
      <c r="G1263" s="12"/>
      <c r="H1263" s="15"/>
      <c r="K1263" s="16"/>
    </row>
    <row r="1264" ht="14.25" customHeight="1">
      <c r="A1264" s="8"/>
      <c r="B1264" s="9"/>
      <c r="C1264" s="3"/>
      <c r="D1264" s="45"/>
      <c r="E1264" s="117"/>
      <c r="F1264" s="12"/>
      <c r="G1264" s="12"/>
      <c r="H1264" s="15"/>
      <c r="K1264" s="16"/>
    </row>
    <row r="1265" ht="14.25" customHeight="1">
      <c r="A1265" s="8"/>
      <c r="B1265" s="18" t="s">
        <v>16</v>
      </c>
      <c r="C1265" s="19"/>
      <c r="D1265" s="20" t="s">
        <v>296</v>
      </c>
      <c r="E1265" s="21"/>
      <c r="F1265" s="22"/>
      <c r="G1265" s="22"/>
      <c r="H1265" s="15" t="str">
        <f t="shared" ref="H1265:H1277" si="131">IFERROR(((G1265-F1265)/F1265), "")</f>
        <v/>
      </c>
      <c r="K1265" s="16"/>
    </row>
    <row r="1266" ht="14.25" customHeight="1">
      <c r="A1266" s="8"/>
      <c r="B1266" s="23" t="s">
        <v>18</v>
      </c>
      <c r="C1266" s="24" t="s">
        <v>19</v>
      </c>
      <c r="D1266" s="25"/>
      <c r="E1266" s="21"/>
      <c r="F1266" s="26">
        <v>2023.0</v>
      </c>
      <c r="G1266" s="94">
        <v>2024.0</v>
      </c>
      <c r="H1266" s="15">
        <f t="shared" si="131"/>
        <v>0.0004943153732</v>
      </c>
      <c r="K1266" s="16"/>
    </row>
    <row r="1267" ht="14.25" customHeight="1">
      <c r="A1267" s="8"/>
      <c r="B1267" s="118" t="s">
        <v>297</v>
      </c>
      <c r="C1267" s="52"/>
      <c r="D1267" s="53" t="s">
        <v>298</v>
      </c>
      <c r="E1267" s="95"/>
      <c r="F1267" s="53">
        <v>2023.0</v>
      </c>
      <c r="G1267" s="55">
        <v>2024.0</v>
      </c>
      <c r="H1267" s="15">
        <f t="shared" si="131"/>
        <v>0.0004943153732</v>
      </c>
      <c r="K1267" s="16"/>
    </row>
    <row r="1268" ht="14.25" customHeight="1">
      <c r="A1268" s="8"/>
      <c r="B1268" s="9"/>
      <c r="C1268" s="11" t="s">
        <v>299</v>
      </c>
      <c r="D1268" s="61" t="s">
        <v>300</v>
      </c>
      <c r="E1268" s="65"/>
      <c r="F1268" s="13">
        <v>156000.0</v>
      </c>
      <c r="G1268" s="36">
        <v>160000.0</v>
      </c>
      <c r="H1268" s="15">
        <f t="shared" si="131"/>
        <v>0.02564102564</v>
      </c>
      <c r="K1268" s="16"/>
    </row>
    <row r="1269" ht="14.25" customHeight="1">
      <c r="A1269" s="8"/>
      <c r="B1269" s="9"/>
      <c r="C1269" s="11" t="s">
        <v>301</v>
      </c>
      <c r="D1269" s="12" t="s">
        <v>302</v>
      </c>
      <c r="E1269" s="65"/>
      <c r="F1269" s="13">
        <v>0.0</v>
      </c>
      <c r="G1269" s="13">
        <v>0.0</v>
      </c>
      <c r="H1269" s="15" t="str">
        <f t="shared" si="131"/>
        <v/>
      </c>
      <c r="K1269" s="16"/>
    </row>
    <row r="1270" ht="14.25" customHeight="1">
      <c r="A1270" s="8"/>
      <c r="B1270" s="119" t="s">
        <v>297</v>
      </c>
      <c r="E1270" s="39"/>
      <c r="F1270" s="40">
        <f t="shared" ref="F1270:G1270" si="132">SUM(F1268:F1269)</f>
        <v>156000</v>
      </c>
      <c r="G1270" s="40">
        <f t="shared" si="132"/>
        <v>160000</v>
      </c>
      <c r="H1270" s="15">
        <f t="shared" si="131"/>
        <v>0.02564102564</v>
      </c>
      <c r="K1270" s="16"/>
    </row>
    <row r="1271" ht="14.25" customHeight="1">
      <c r="A1271" s="8"/>
      <c r="B1271" s="9"/>
      <c r="C1271" s="11"/>
      <c r="D1271" s="12"/>
      <c r="E1271" s="8"/>
      <c r="F1271" s="13"/>
      <c r="G1271" s="13"/>
      <c r="H1271" s="15" t="str">
        <f t="shared" si="131"/>
        <v/>
      </c>
      <c r="K1271" s="16"/>
    </row>
    <row r="1272" ht="14.25" customHeight="1">
      <c r="A1272" s="8"/>
      <c r="B1272" s="51">
        <v>9340.0</v>
      </c>
      <c r="C1272" s="52"/>
      <c r="D1272" s="53" t="s">
        <v>154</v>
      </c>
      <c r="E1272" s="54"/>
      <c r="F1272" s="53">
        <v>2023.0</v>
      </c>
      <c r="G1272" s="55">
        <v>2024.0</v>
      </c>
      <c r="H1272" s="15">
        <f t="shared" si="131"/>
        <v>0.0004943153732</v>
      </c>
      <c r="K1272" s="16"/>
    </row>
    <row r="1273" ht="14.25" customHeight="1">
      <c r="A1273" s="8"/>
      <c r="B1273" s="17"/>
      <c r="C1273" s="11" t="s">
        <v>303</v>
      </c>
      <c r="D1273" s="12" t="s">
        <v>304</v>
      </c>
      <c r="E1273" s="35"/>
      <c r="F1273" s="13">
        <v>10300.0</v>
      </c>
      <c r="G1273" s="13">
        <v>10300.0</v>
      </c>
      <c r="H1273" s="15">
        <f t="shared" si="131"/>
        <v>0</v>
      </c>
      <c r="K1273" s="16"/>
    </row>
    <row r="1274" ht="14.25" customHeight="1">
      <c r="A1274" s="8"/>
      <c r="B1274" s="45">
        <v>9340.0</v>
      </c>
      <c r="E1274" s="39"/>
      <c r="F1274" s="40">
        <f t="shared" ref="F1274:G1274" si="133">SUM(F1273)</f>
        <v>10300</v>
      </c>
      <c r="G1274" s="40">
        <f t="shared" si="133"/>
        <v>10300</v>
      </c>
      <c r="H1274" s="15">
        <f t="shared" si="131"/>
        <v>0</v>
      </c>
      <c r="K1274" s="16"/>
    </row>
    <row r="1275" ht="14.25" customHeight="1">
      <c r="A1275" s="8"/>
      <c r="B1275" s="9"/>
      <c r="C1275" s="11"/>
      <c r="D1275" s="12"/>
      <c r="E1275" s="8"/>
      <c r="F1275" s="13"/>
      <c r="G1275" s="13"/>
      <c r="H1275" s="15" t="str">
        <f t="shared" si="131"/>
        <v/>
      </c>
      <c r="K1275" s="16"/>
    </row>
    <row r="1276" ht="14.25" customHeight="1">
      <c r="A1276" s="8"/>
      <c r="B1276" s="9"/>
      <c r="C1276" s="3"/>
      <c r="D1276" s="38" t="s">
        <v>305</v>
      </c>
      <c r="E1276" s="91"/>
      <c r="F1276" s="92">
        <f t="shared" ref="F1276:G1276" si="134">F1274+F1270</f>
        <v>166300</v>
      </c>
      <c r="G1276" s="92">
        <f t="shared" si="134"/>
        <v>170300</v>
      </c>
      <c r="H1276" s="15">
        <f t="shared" si="131"/>
        <v>0.02405291642</v>
      </c>
      <c r="K1276" s="16"/>
    </row>
    <row r="1277" ht="14.25" customHeight="1">
      <c r="A1277" s="8"/>
      <c r="B1277" s="9"/>
      <c r="C1277" s="11"/>
      <c r="D1277" s="12"/>
      <c r="E1277" s="8"/>
      <c r="F1277" s="13"/>
      <c r="G1277" s="13"/>
      <c r="H1277" s="15" t="str">
        <f t="shared" si="131"/>
        <v/>
      </c>
      <c r="K1277" s="16"/>
    </row>
    <row r="1278" ht="14.25" customHeight="1">
      <c r="A1278" s="8"/>
      <c r="B1278" s="9"/>
      <c r="C1278" s="11"/>
      <c r="D1278" s="12"/>
      <c r="E1278" s="8"/>
      <c r="F1278" s="13"/>
      <c r="G1278" s="13"/>
      <c r="H1278" s="15"/>
      <c r="K1278" s="16"/>
    </row>
    <row r="1279" ht="14.25" customHeight="1">
      <c r="A1279" s="8"/>
      <c r="B1279" s="9"/>
      <c r="C1279" s="11"/>
      <c r="D1279" s="12"/>
      <c r="E1279" s="8"/>
      <c r="F1279" s="13"/>
      <c r="G1279" s="13"/>
      <c r="H1279" s="15"/>
      <c r="K1279" s="16"/>
    </row>
    <row r="1280" ht="14.25" customHeight="1">
      <c r="A1280" s="8"/>
      <c r="B1280" s="120" t="s">
        <v>16</v>
      </c>
      <c r="C1280" s="19"/>
      <c r="D1280" s="121" t="s">
        <v>306</v>
      </c>
      <c r="E1280" s="122"/>
      <c r="F1280" s="123"/>
      <c r="G1280" s="123"/>
      <c r="H1280" s="15" t="str">
        <f t="shared" ref="H1280:H1328" si="135">IFERROR(((G1280-F1280)/F1280), "")</f>
        <v/>
      </c>
      <c r="K1280" s="16"/>
    </row>
    <row r="1281" ht="14.25" customHeight="1">
      <c r="A1281" s="8"/>
      <c r="B1281" s="124" t="s">
        <v>18</v>
      </c>
      <c r="C1281" s="125" t="s">
        <v>19</v>
      </c>
      <c r="D1281" s="126"/>
      <c r="E1281" s="127"/>
      <c r="F1281" s="128">
        <v>2023.0</v>
      </c>
      <c r="G1281" s="129">
        <v>2024.0</v>
      </c>
      <c r="H1281" s="15">
        <f t="shared" si="135"/>
        <v>0.0004943153732</v>
      </c>
      <c r="K1281" s="16"/>
    </row>
    <row r="1282" ht="14.25" customHeight="1">
      <c r="A1282" s="8"/>
      <c r="B1282" s="130">
        <v>1610.0</v>
      </c>
      <c r="C1282" s="131"/>
      <c r="D1282" s="132" t="s">
        <v>93</v>
      </c>
      <c r="E1282" s="133"/>
      <c r="F1282" s="134">
        <v>2023.0</v>
      </c>
      <c r="G1282" s="135">
        <v>2024.0</v>
      </c>
      <c r="H1282" s="15">
        <f t="shared" si="135"/>
        <v>0.0004943153732</v>
      </c>
      <c r="K1282" s="16"/>
    </row>
    <row r="1283" ht="14.25" customHeight="1">
      <c r="A1283" s="8"/>
      <c r="B1283" s="136"/>
      <c r="C1283" s="137" t="s">
        <v>307</v>
      </c>
      <c r="D1283" s="138" t="s">
        <v>308</v>
      </c>
      <c r="E1283" s="139"/>
      <c r="F1283" s="140">
        <v>2200.0</v>
      </c>
      <c r="G1283" s="141">
        <v>8500.0</v>
      </c>
      <c r="H1283" s="15">
        <f t="shared" si="135"/>
        <v>2.863636364</v>
      </c>
      <c r="K1283" s="16"/>
    </row>
    <row r="1284" ht="14.25" customHeight="1">
      <c r="A1284" s="8"/>
      <c r="B1284" s="142">
        <v>1610.0</v>
      </c>
      <c r="E1284" s="143"/>
      <c r="F1284" s="144">
        <f t="shared" ref="F1284:G1284" si="136">SUM(F1283)</f>
        <v>2200</v>
      </c>
      <c r="G1284" s="144">
        <f t="shared" si="136"/>
        <v>8500</v>
      </c>
      <c r="H1284" s="15">
        <f t="shared" si="135"/>
        <v>2.863636364</v>
      </c>
      <c r="K1284" s="16"/>
    </row>
    <row r="1285" ht="14.25" customHeight="1">
      <c r="A1285" s="8"/>
      <c r="B1285" s="136"/>
      <c r="C1285" s="137"/>
      <c r="D1285" s="138"/>
      <c r="E1285" s="41"/>
      <c r="F1285" s="140"/>
      <c r="G1285" s="140"/>
      <c r="H1285" s="15" t="str">
        <f t="shared" si="135"/>
        <v/>
      </c>
      <c r="K1285" s="16"/>
    </row>
    <row r="1286" ht="14.25" customHeight="1">
      <c r="A1286" s="8"/>
      <c r="B1286" s="28">
        <v>1700.0</v>
      </c>
      <c r="C1286" s="30"/>
      <c r="D1286" s="31" t="s">
        <v>233</v>
      </c>
      <c r="E1286" s="33"/>
      <c r="F1286" s="31">
        <v>2023.0</v>
      </c>
      <c r="G1286" s="34">
        <v>2024.0</v>
      </c>
      <c r="H1286" s="15">
        <f t="shared" si="135"/>
        <v>0.0004943153732</v>
      </c>
      <c r="K1286" s="16"/>
    </row>
    <row r="1287" ht="14.25" customHeight="1">
      <c r="A1287" s="8"/>
      <c r="B1287" s="145"/>
      <c r="C1287" s="137" t="s">
        <v>307</v>
      </c>
      <c r="D1287" s="138" t="s">
        <v>308</v>
      </c>
      <c r="E1287" s="146"/>
      <c r="F1287" s="140">
        <v>2150.0</v>
      </c>
      <c r="G1287" s="141">
        <v>2300.0</v>
      </c>
      <c r="H1287" s="15">
        <f t="shared" si="135"/>
        <v>0.06976744186</v>
      </c>
      <c r="K1287" s="16"/>
    </row>
    <row r="1288" ht="14.25" customHeight="1">
      <c r="A1288" s="8"/>
      <c r="B1288" s="142">
        <v>1700.0</v>
      </c>
      <c r="E1288" s="143"/>
      <c r="F1288" s="144">
        <f t="shared" ref="F1288:G1288" si="137">SUM(F1287)</f>
        <v>2150</v>
      </c>
      <c r="G1288" s="144">
        <f t="shared" si="137"/>
        <v>2300</v>
      </c>
      <c r="H1288" s="15">
        <f t="shared" si="135"/>
        <v>0.06976744186</v>
      </c>
      <c r="K1288" s="16"/>
    </row>
    <row r="1289" ht="14.25" customHeight="1">
      <c r="A1289" s="8"/>
      <c r="B1289" s="136"/>
      <c r="C1289" s="147"/>
      <c r="D1289" s="148"/>
      <c r="E1289" s="149"/>
      <c r="F1289" s="150"/>
      <c r="G1289" s="150"/>
      <c r="H1289" s="15" t="str">
        <f t="shared" si="135"/>
        <v/>
      </c>
      <c r="K1289" s="16"/>
    </row>
    <row r="1290" ht="14.25" customHeight="1">
      <c r="A1290" s="8"/>
      <c r="B1290" s="28">
        <v>1710.0</v>
      </c>
      <c r="C1290" s="30"/>
      <c r="D1290" s="31" t="s">
        <v>99</v>
      </c>
      <c r="E1290" s="33"/>
      <c r="F1290" s="31">
        <v>2023.0</v>
      </c>
      <c r="G1290" s="34">
        <v>2024.0</v>
      </c>
      <c r="H1290" s="15">
        <f t="shared" si="135"/>
        <v>0.0004943153732</v>
      </c>
      <c r="K1290" s="16"/>
    </row>
    <row r="1291" ht="14.25" customHeight="1">
      <c r="A1291" s="8"/>
      <c r="B1291" s="136"/>
      <c r="C1291" s="137" t="s">
        <v>307</v>
      </c>
      <c r="D1291" s="138" t="s">
        <v>308</v>
      </c>
      <c r="E1291" s="139"/>
      <c r="F1291" s="140">
        <v>210.0</v>
      </c>
      <c r="G1291" s="140">
        <v>210.0</v>
      </c>
      <c r="H1291" s="15">
        <f t="shared" si="135"/>
        <v>0</v>
      </c>
      <c r="K1291" s="16"/>
    </row>
    <row r="1292" ht="14.25" customHeight="1">
      <c r="A1292" s="8"/>
      <c r="B1292" s="142">
        <v>1710.0</v>
      </c>
      <c r="E1292" s="143"/>
      <c r="F1292" s="144">
        <f t="shared" ref="F1292:G1292" si="138">SUM(F1291)</f>
        <v>210</v>
      </c>
      <c r="G1292" s="144">
        <f t="shared" si="138"/>
        <v>210</v>
      </c>
      <c r="H1292" s="15">
        <f t="shared" si="135"/>
        <v>0</v>
      </c>
      <c r="K1292" s="16"/>
    </row>
    <row r="1293" ht="14.25" customHeight="1">
      <c r="A1293" s="8"/>
      <c r="B1293" s="136"/>
      <c r="C1293" s="137"/>
      <c r="D1293" s="138"/>
      <c r="E1293" s="41"/>
      <c r="F1293" s="140"/>
      <c r="G1293" s="140"/>
      <c r="H1293" s="15" t="str">
        <f t="shared" si="135"/>
        <v/>
      </c>
      <c r="K1293" s="16"/>
    </row>
    <row r="1294" ht="14.25" customHeight="1">
      <c r="A1294" s="8"/>
      <c r="B1294" s="28">
        <v>2311.0</v>
      </c>
      <c r="C1294" s="30"/>
      <c r="D1294" s="31" t="s">
        <v>114</v>
      </c>
      <c r="E1294" s="33"/>
      <c r="F1294" s="31">
        <v>2023.0</v>
      </c>
      <c r="G1294" s="34">
        <v>2024.0</v>
      </c>
      <c r="H1294" s="15">
        <f t="shared" si="135"/>
        <v>0.0004943153732</v>
      </c>
      <c r="K1294" s="16"/>
    </row>
    <row r="1295" ht="14.25" customHeight="1">
      <c r="A1295" s="8"/>
      <c r="B1295" s="136"/>
      <c r="C1295" s="137" t="s">
        <v>307</v>
      </c>
      <c r="D1295" s="138" t="s">
        <v>308</v>
      </c>
      <c r="E1295" s="139"/>
      <c r="F1295" s="140">
        <v>152600.0</v>
      </c>
      <c r="G1295" s="141">
        <v>177910.0</v>
      </c>
      <c r="H1295" s="15">
        <f t="shared" si="135"/>
        <v>0.1658584535</v>
      </c>
      <c r="K1295" s="16"/>
    </row>
    <row r="1296" ht="14.25" customHeight="1">
      <c r="A1296" s="8"/>
      <c r="B1296" s="136"/>
      <c r="C1296" s="137" t="s">
        <v>309</v>
      </c>
      <c r="D1296" s="138" t="s">
        <v>310</v>
      </c>
      <c r="E1296" s="139"/>
      <c r="F1296" s="140">
        <v>26000.0</v>
      </c>
      <c r="G1296" s="141">
        <v>26000.0</v>
      </c>
      <c r="H1296" s="15">
        <f t="shared" si="135"/>
        <v>0</v>
      </c>
      <c r="K1296" s="16"/>
    </row>
    <row r="1297" ht="14.25" customHeight="1">
      <c r="A1297" s="8"/>
      <c r="B1297" s="136"/>
      <c r="C1297" s="137" t="s">
        <v>311</v>
      </c>
      <c r="D1297" s="138" t="s">
        <v>312</v>
      </c>
      <c r="E1297" s="139"/>
      <c r="F1297" s="140">
        <v>200000.0</v>
      </c>
      <c r="G1297" s="140">
        <v>200000.0</v>
      </c>
      <c r="H1297" s="15">
        <f t="shared" si="135"/>
        <v>0</v>
      </c>
      <c r="K1297" s="16"/>
    </row>
    <row r="1298" ht="14.25" customHeight="1">
      <c r="A1298" s="8"/>
      <c r="B1298" s="142">
        <v>2311.0</v>
      </c>
      <c r="E1298" s="143"/>
      <c r="F1298" s="144">
        <f t="shared" ref="F1298:G1298" si="139">SUM(F1295:F1297)</f>
        <v>378600</v>
      </c>
      <c r="G1298" s="144">
        <f t="shared" si="139"/>
        <v>403910</v>
      </c>
      <c r="H1298" s="15">
        <f t="shared" si="135"/>
        <v>0.06685155837</v>
      </c>
      <c r="K1298" s="16"/>
    </row>
    <row r="1299" ht="14.25" customHeight="1">
      <c r="A1299" s="8"/>
      <c r="B1299" s="136"/>
      <c r="C1299" s="137"/>
      <c r="D1299" s="138"/>
      <c r="E1299" s="41"/>
      <c r="F1299" s="140"/>
      <c r="G1299" s="140"/>
      <c r="H1299" s="15" t="str">
        <f t="shared" si="135"/>
        <v/>
      </c>
      <c r="K1299" s="16"/>
    </row>
    <row r="1300" ht="14.25" customHeight="1">
      <c r="A1300" s="8"/>
      <c r="B1300" s="28">
        <v>2313.0</v>
      </c>
      <c r="C1300" s="30"/>
      <c r="D1300" s="31" t="s">
        <v>243</v>
      </c>
      <c r="E1300" s="33"/>
      <c r="F1300" s="31">
        <v>2023.0</v>
      </c>
      <c r="G1300" s="34">
        <v>2024.0</v>
      </c>
      <c r="H1300" s="15">
        <f t="shared" si="135"/>
        <v>0.0004943153732</v>
      </c>
      <c r="K1300" s="16"/>
    </row>
    <row r="1301" ht="14.25" customHeight="1">
      <c r="A1301" s="8"/>
      <c r="B1301" s="136"/>
      <c r="C1301" s="137" t="s">
        <v>307</v>
      </c>
      <c r="D1301" s="138" t="s">
        <v>308</v>
      </c>
      <c r="E1301" s="139"/>
      <c r="F1301" s="140">
        <v>26700.0</v>
      </c>
      <c r="G1301" s="141">
        <f>59400+24000</f>
        <v>83400</v>
      </c>
      <c r="H1301" s="15">
        <f t="shared" si="135"/>
        <v>2.123595506</v>
      </c>
      <c r="K1301" s="16"/>
    </row>
    <row r="1302" ht="14.25" customHeight="1">
      <c r="A1302" s="8"/>
      <c r="B1302" s="142">
        <v>2313.0</v>
      </c>
      <c r="E1302" s="143"/>
      <c r="F1302" s="144">
        <f t="shared" ref="F1302:G1302" si="140">SUM(F1301)</f>
        <v>26700</v>
      </c>
      <c r="G1302" s="144">
        <f t="shared" si="140"/>
        <v>83400</v>
      </c>
      <c r="H1302" s="15">
        <f t="shared" si="135"/>
        <v>2.123595506</v>
      </c>
      <c r="K1302" s="16"/>
    </row>
    <row r="1303" ht="14.25" customHeight="1">
      <c r="A1303" s="8"/>
      <c r="B1303" s="136"/>
      <c r="C1303" s="137"/>
      <c r="D1303" s="138"/>
      <c r="E1303" s="41"/>
      <c r="F1303" s="140"/>
      <c r="G1303" s="140"/>
      <c r="H1303" s="15" t="str">
        <f t="shared" si="135"/>
        <v/>
      </c>
      <c r="K1303" s="16"/>
    </row>
    <row r="1304" ht="14.25" customHeight="1">
      <c r="A1304" s="8"/>
      <c r="B1304" s="28">
        <v>3260.0</v>
      </c>
      <c r="C1304" s="30"/>
      <c r="D1304" s="53" t="s">
        <v>251</v>
      </c>
      <c r="E1304" s="33"/>
      <c r="F1304" s="31">
        <v>2023.0</v>
      </c>
      <c r="G1304" s="34">
        <v>2024.0</v>
      </c>
      <c r="H1304" s="15">
        <f t="shared" si="135"/>
        <v>0.0004943153732</v>
      </c>
      <c r="K1304" s="16"/>
    </row>
    <row r="1305" ht="14.25" customHeight="1">
      <c r="A1305" s="8"/>
      <c r="B1305" s="136"/>
      <c r="C1305" s="137" t="s">
        <v>307</v>
      </c>
      <c r="D1305" s="138" t="s">
        <v>308</v>
      </c>
      <c r="E1305" s="139"/>
      <c r="F1305" s="140">
        <f>67700-35000</f>
        <v>32700</v>
      </c>
      <c r="G1305" s="140">
        <v>91400.0</v>
      </c>
      <c r="H1305" s="15">
        <f t="shared" si="135"/>
        <v>1.795107034</v>
      </c>
      <c r="K1305" s="16"/>
    </row>
    <row r="1306" ht="14.25" customHeight="1">
      <c r="A1306" s="8"/>
      <c r="B1306" s="142">
        <v>3260.0</v>
      </c>
      <c r="E1306" s="143"/>
      <c r="F1306" s="144">
        <f t="shared" ref="F1306:G1306" si="141">SUM(F1305)</f>
        <v>32700</v>
      </c>
      <c r="G1306" s="144">
        <f t="shared" si="141"/>
        <v>91400</v>
      </c>
      <c r="H1306" s="15">
        <f t="shared" si="135"/>
        <v>1.795107034</v>
      </c>
      <c r="K1306" s="16"/>
    </row>
    <row r="1307" ht="14.25" customHeight="1">
      <c r="A1307" s="8"/>
      <c r="B1307" s="136"/>
      <c r="C1307" s="151"/>
      <c r="D1307" s="147"/>
      <c r="E1307" s="146"/>
      <c r="F1307" s="150"/>
      <c r="G1307" s="150"/>
      <c r="H1307" s="15" t="str">
        <f t="shared" si="135"/>
        <v/>
      </c>
      <c r="K1307" s="16"/>
    </row>
    <row r="1308" ht="14.25" customHeight="1">
      <c r="A1308" s="8"/>
      <c r="B1308" s="28">
        <v>3340.0</v>
      </c>
      <c r="C1308" s="30"/>
      <c r="D1308" s="31" t="s">
        <v>121</v>
      </c>
      <c r="E1308" s="33"/>
      <c r="F1308" s="31">
        <v>2023.0</v>
      </c>
      <c r="G1308" s="34">
        <v>2024.0</v>
      </c>
      <c r="H1308" s="15">
        <f t="shared" si="135"/>
        <v>0.0004943153732</v>
      </c>
      <c r="K1308" s="16"/>
    </row>
    <row r="1309" ht="14.25" customHeight="1">
      <c r="A1309" s="8"/>
      <c r="B1309" s="136"/>
      <c r="C1309" s="137" t="s">
        <v>307</v>
      </c>
      <c r="D1309" s="138" t="s">
        <v>308</v>
      </c>
      <c r="E1309" s="149"/>
      <c r="F1309" s="140">
        <v>93400.0</v>
      </c>
      <c r="G1309" s="141">
        <f>137700-24000-9000</f>
        <v>104700</v>
      </c>
      <c r="H1309" s="15">
        <f t="shared" si="135"/>
        <v>0.1209850107</v>
      </c>
      <c r="K1309" s="16"/>
    </row>
    <row r="1310" ht="14.25" customHeight="1">
      <c r="A1310" s="8"/>
      <c r="B1310" s="142">
        <v>3340.0</v>
      </c>
      <c r="E1310" s="143"/>
      <c r="F1310" s="144">
        <f t="shared" ref="F1310:G1310" si="142">SUM(F1309)</f>
        <v>93400</v>
      </c>
      <c r="G1310" s="144">
        <f t="shared" si="142"/>
        <v>104700</v>
      </c>
      <c r="H1310" s="15">
        <f t="shared" si="135"/>
        <v>0.1209850107</v>
      </c>
      <c r="K1310" s="16"/>
    </row>
    <row r="1311" ht="14.25" customHeight="1">
      <c r="A1311" s="8"/>
      <c r="B1311" s="136"/>
      <c r="C1311" s="151"/>
      <c r="D1311" s="147"/>
      <c r="E1311" s="146"/>
      <c r="F1311" s="150"/>
      <c r="G1311" s="150"/>
      <c r="H1311" s="15" t="str">
        <f t="shared" si="135"/>
        <v/>
      </c>
      <c r="K1311" s="16"/>
    </row>
    <row r="1312" ht="14.25" customHeight="1">
      <c r="A1312" s="8"/>
      <c r="B1312" s="28">
        <v>3341.0</v>
      </c>
      <c r="C1312" s="30"/>
      <c r="D1312" s="31" t="s">
        <v>266</v>
      </c>
      <c r="E1312" s="33"/>
      <c r="F1312" s="31">
        <v>2023.0</v>
      </c>
      <c r="G1312" s="34">
        <v>2024.0</v>
      </c>
      <c r="H1312" s="15">
        <f t="shared" si="135"/>
        <v>0.0004943153732</v>
      </c>
      <c r="K1312" s="16"/>
    </row>
    <row r="1313" ht="14.25" customHeight="1">
      <c r="A1313" s="8"/>
      <c r="B1313" s="136"/>
      <c r="C1313" s="137" t="s">
        <v>307</v>
      </c>
      <c r="D1313" s="138" t="s">
        <v>308</v>
      </c>
      <c r="E1313" s="139"/>
      <c r="F1313" s="140">
        <v>100.0</v>
      </c>
      <c r="G1313" s="140">
        <v>100.0</v>
      </c>
      <c r="H1313" s="15">
        <f t="shared" si="135"/>
        <v>0</v>
      </c>
      <c r="K1313" s="16"/>
    </row>
    <row r="1314" ht="14.25" customHeight="1">
      <c r="A1314" s="8"/>
      <c r="B1314" s="142">
        <v>3341.0</v>
      </c>
      <c r="E1314" s="143"/>
      <c r="F1314" s="144">
        <f t="shared" ref="F1314:G1314" si="143">SUM(F1313)</f>
        <v>100</v>
      </c>
      <c r="G1314" s="144">
        <f t="shared" si="143"/>
        <v>100</v>
      </c>
      <c r="H1314" s="15">
        <f t="shared" si="135"/>
        <v>0</v>
      </c>
      <c r="K1314" s="16"/>
    </row>
    <row r="1315" ht="14.25" customHeight="1">
      <c r="A1315" s="8"/>
      <c r="B1315" s="136"/>
      <c r="C1315" s="137"/>
      <c r="D1315" s="138"/>
      <c r="E1315" s="41"/>
      <c r="F1315" s="138"/>
      <c r="G1315" s="138"/>
      <c r="H1315" s="15" t="str">
        <f t="shared" si="135"/>
        <v/>
      </c>
      <c r="K1315" s="16"/>
    </row>
    <row r="1316" ht="14.25" customHeight="1">
      <c r="A1316" s="8"/>
      <c r="B1316" s="28">
        <v>3373.0</v>
      </c>
      <c r="C1316" s="30"/>
      <c r="D1316" s="31" t="s">
        <v>123</v>
      </c>
      <c r="E1316" s="33"/>
      <c r="F1316" s="31">
        <v>2023.0</v>
      </c>
      <c r="G1316" s="34">
        <v>2024.0</v>
      </c>
      <c r="H1316" s="15">
        <f t="shared" si="135"/>
        <v>0.0004943153732</v>
      </c>
      <c r="K1316" s="16"/>
    </row>
    <row r="1317" ht="14.25" customHeight="1">
      <c r="A1317" s="8"/>
      <c r="B1317" s="136"/>
      <c r="C1317" s="137" t="s">
        <v>307</v>
      </c>
      <c r="D1317" s="138" t="s">
        <v>308</v>
      </c>
      <c r="E1317" s="149"/>
      <c r="F1317" s="140">
        <v>55000.0</v>
      </c>
      <c r="G1317" s="141">
        <v>180000.0</v>
      </c>
      <c r="H1317" s="15">
        <f t="shared" si="135"/>
        <v>2.272727273</v>
      </c>
      <c r="K1317" s="16"/>
    </row>
    <row r="1318" ht="14.25" customHeight="1">
      <c r="A1318" s="8"/>
      <c r="B1318" s="142">
        <v>3373.0</v>
      </c>
      <c r="E1318" s="143"/>
      <c r="F1318" s="144">
        <f t="shared" ref="F1318:G1318" si="144">SUM(F1317)</f>
        <v>55000</v>
      </c>
      <c r="G1318" s="144">
        <f t="shared" si="144"/>
        <v>180000</v>
      </c>
      <c r="H1318" s="15">
        <f t="shared" si="135"/>
        <v>2.272727273</v>
      </c>
      <c r="K1318" s="16"/>
    </row>
    <row r="1319" ht="14.25" customHeight="1">
      <c r="A1319" s="8"/>
      <c r="B1319" s="136"/>
      <c r="C1319" s="137"/>
      <c r="D1319" s="138"/>
      <c r="E1319" s="41"/>
      <c r="F1319" s="140"/>
      <c r="G1319" s="140"/>
      <c r="H1319" s="15" t="str">
        <f t="shared" si="135"/>
        <v/>
      </c>
      <c r="K1319" s="16"/>
    </row>
    <row r="1320" ht="14.25" customHeight="1">
      <c r="A1320" s="8"/>
      <c r="B1320" s="28">
        <v>3380.0</v>
      </c>
      <c r="C1320" s="30"/>
      <c r="D1320" s="31" t="s">
        <v>124</v>
      </c>
      <c r="E1320" s="33"/>
      <c r="F1320" s="31">
        <v>2023.0</v>
      </c>
      <c r="G1320" s="34">
        <v>2024.0</v>
      </c>
      <c r="H1320" s="15">
        <f t="shared" si="135"/>
        <v>0.0004943153732</v>
      </c>
      <c r="K1320" s="16"/>
    </row>
    <row r="1321" ht="14.25" customHeight="1">
      <c r="A1321" s="8"/>
      <c r="B1321" s="136"/>
      <c r="C1321" s="137" t="s">
        <v>307</v>
      </c>
      <c r="D1321" s="138" t="s">
        <v>308</v>
      </c>
      <c r="E1321" s="139"/>
      <c r="F1321" s="140">
        <v>42000.0</v>
      </c>
      <c r="G1321" s="141">
        <v>73328.0</v>
      </c>
      <c r="H1321" s="15">
        <f t="shared" si="135"/>
        <v>0.7459047619</v>
      </c>
      <c r="K1321" s="16"/>
    </row>
    <row r="1322" ht="14.25" customHeight="1">
      <c r="A1322" s="8"/>
      <c r="B1322" s="142">
        <v>3380.0</v>
      </c>
      <c r="E1322" s="143"/>
      <c r="F1322" s="144">
        <f t="shared" ref="F1322:G1322" si="145">SUM(F1321)</f>
        <v>42000</v>
      </c>
      <c r="G1322" s="144">
        <f t="shared" si="145"/>
        <v>73328</v>
      </c>
      <c r="H1322" s="15">
        <f t="shared" si="135"/>
        <v>0.7459047619</v>
      </c>
      <c r="K1322" s="16"/>
    </row>
    <row r="1323" ht="14.25" customHeight="1">
      <c r="A1323" s="8"/>
      <c r="B1323" s="136"/>
      <c r="C1323" s="137"/>
      <c r="D1323" s="138"/>
      <c r="E1323" s="41"/>
      <c r="F1323" s="140"/>
      <c r="G1323" s="140"/>
      <c r="H1323" s="15" t="str">
        <f t="shared" si="135"/>
        <v/>
      </c>
      <c r="K1323" s="16"/>
    </row>
    <row r="1324" ht="14.25" customHeight="1">
      <c r="A1324" s="8"/>
      <c r="B1324" s="28">
        <v>3410.0</v>
      </c>
      <c r="C1324" s="30"/>
      <c r="D1324" s="31" t="s">
        <v>313</v>
      </c>
      <c r="E1324" s="33"/>
      <c r="F1324" s="31">
        <v>2023.0</v>
      </c>
      <c r="G1324" s="34">
        <v>2024.0</v>
      </c>
      <c r="H1324" s="15">
        <f t="shared" si="135"/>
        <v>0.0004943153732</v>
      </c>
      <c r="K1324" s="16"/>
    </row>
    <row r="1325" ht="14.25" customHeight="1">
      <c r="A1325" s="8"/>
      <c r="B1325" s="136"/>
      <c r="C1325" s="137" t="s">
        <v>307</v>
      </c>
      <c r="D1325" s="138" t="s">
        <v>308</v>
      </c>
      <c r="E1325" s="149"/>
      <c r="F1325" s="140">
        <v>278000.0</v>
      </c>
      <c r="G1325" s="141">
        <v>339400.0</v>
      </c>
      <c r="H1325" s="15">
        <f t="shared" si="135"/>
        <v>0.2208633094</v>
      </c>
      <c r="K1325" s="16"/>
    </row>
    <row r="1326" ht="14.25" customHeight="1">
      <c r="A1326" s="8"/>
      <c r="B1326" s="142">
        <v>3410.0</v>
      </c>
      <c r="E1326" s="143"/>
      <c r="F1326" s="144">
        <f t="shared" ref="F1326:G1326" si="146">SUM(F1325)</f>
        <v>278000</v>
      </c>
      <c r="G1326" s="144">
        <f t="shared" si="146"/>
        <v>339400</v>
      </c>
      <c r="H1326" s="15">
        <f t="shared" si="135"/>
        <v>0.2208633094</v>
      </c>
      <c r="K1326" s="16"/>
    </row>
    <row r="1327" ht="14.25" customHeight="1">
      <c r="A1327" s="8"/>
      <c r="B1327" s="136"/>
      <c r="C1327" s="151"/>
      <c r="D1327" s="147"/>
      <c r="E1327" s="146"/>
      <c r="F1327" s="150"/>
      <c r="G1327" s="150"/>
      <c r="H1327" s="15" t="str">
        <f t="shared" si="135"/>
        <v/>
      </c>
      <c r="K1327" s="16"/>
    </row>
    <row r="1328" ht="14.25" customHeight="1">
      <c r="A1328" s="8"/>
      <c r="B1328" s="28">
        <v>4310.0</v>
      </c>
      <c r="C1328" s="30"/>
      <c r="D1328" s="31" t="s">
        <v>273</v>
      </c>
      <c r="E1328" s="33"/>
      <c r="F1328" s="31">
        <v>2023.0</v>
      </c>
      <c r="G1328" s="34">
        <v>2024.0</v>
      </c>
      <c r="H1328" s="15">
        <f t="shared" si="135"/>
        <v>0.0004943153732</v>
      </c>
      <c r="K1328" s="16"/>
    </row>
    <row r="1329" ht="14.25" customHeight="1">
      <c r="A1329" s="8"/>
      <c r="B1329" s="136"/>
      <c r="C1329" s="152" t="s">
        <v>314</v>
      </c>
      <c r="D1329" s="153" t="s">
        <v>315</v>
      </c>
      <c r="E1329" s="139"/>
      <c r="F1329" s="141">
        <v>0.0</v>
      </c>
      <c r="G1329" s="141">
        <v>50000.0</v>
      </c>
      <c r="H1329" s="15"/>
      <c r="I1329" s="5" t="s">
        <v>316</v>
      </c>
      <c r="K1329" s="16"/>
    </row>
    <row r="1330" ht="14.25" customHeight="1">
      <c r="A1330" s="8"/>
      <c r="B1330" s="136"/>
      <c r="C1330" s="137" t="s">
        <v>307</v>
      </c>
      <c r="D1330" s="138" t="s">
        <v>308</v>
      </c>
      <c r="E1330" s="139"/>
      <c r="F1330" s="140">
        <v>30000.0</v>
      </c>
      <c r="G1330" s="141">
        <v>50000.0</v>
      </c>
      <c r="H1330" s="15">
        <f t="shared" ref="H1330:H1358" si="147">IFERROR(((G1330-F1330)/F1330), "")</f>
        <v>0.6666666667</v>
      </c>
      <c r="K1330" s="16"/>
    </row>
    <row r="1331" ht="14.25" customHeight="1">
      <c r="A1331" s="8"/>
      <c r="B1331" s="142">
        <v>4310.0</v>
      </c>
      <c r="E1331" s="143"/>
      <c r="F1331" s="144">
        <f>SUM(F1330)</f>
        <v>30000</v>
      </c>
      <c r="G1331" s="144">
        <f>SUM(G1329:G1330)</f>
        <v>100000</v>
      </c>
      <c r="H1331" s="15">
        <f t="shared" si="147"/>
        <v>2.333333333</v>
      </c>
      <c r="K1331" s="16"/>
    </row>
    <row r="1332" ht="14.25" customHeight="1">
      <c r="A1332" s="8"/>
      <c r="B1332" s="136"/>
      <c r="C1332" s="137"/>
      <c r="D1332" s="138"/>
      <c r="E1332" s="41"/>
      <c r="F1332" s="138"/>
      <c r="G1332" s="138"/>
      <c r="H1332" s="15" t="str">
        <f t="shared" si="147"/>
        <v/>
      </c>
      <c r="K1332" s="16"/>
    </row>
    <row r="1333" ht="14.25" customHeight="1">
      <c r="A1333" s="8"/>
      <c r="B1333" s="28">
        <v>4320.0</v>
      </c>
      <c r="C1333" s="30"/>
      <c r="D1333" s="31" t="s">
        <v>127</v>
      </c>
      <c r="E1333" s="33"/>
      <c r="F1333" s="31">
        <v>2023.0</v>
      </c>
      <c r="G1333" s="34">
        <v>2024.0</v>
      </c>
      <c r="H1333" s="15">
        <f t="shared" si="147"/>
        <v>0.0004943153732</v>
      </c>
      <c r="K1333" s="16"/>
    </row>
    <row r="1334" ht="14.25" customHeight="1">
      <c r="A1334" s="8"/>
      <c r="B1334" s="136"/>
      <c r="C1334" s="137" t="s">
        <v>317</v>
      </c>
      <c r="D1334" s="138" t="s">
        <v>318</v>
      </c>
      <c r="E1334" s="41"/>
      <c r="F1334" s="140">
        <v>18000.0</v>
      </c>
      <c r="G1334" s="140">
        <v>18000.0</v>
      </c>
      <c r="H1334" s="15">
        <f t="shared" si="147"/>
        <v>0</v>
      </c>
      <c r="K1334" s="16"/>
    </row>
    <row r="1335" ht="14.25" customHeight="1">
      <c r="A1335" s="8"/>
      <c r="B1335" s="136"/>
      <c r="C1335" s="137" t="s">
        <v>307</v>
      </c>
      <c r="D1335" s="138" t="s">
        <v>308</v>
      </c>
      <c r="E1335" s="149"/>
      <c r="F1335" s="140">
        <v>7000.0</v>
      </c>
      <c r="G1335" s="140">
        <f>10400+300+24000+9000</f>
        <v>43700</v>
      </c>
      <c r="H1335" s="15">
        <f t="shared" si="147"/>
        <v>5.242857143</v>
      </c>
      <c r="K1335" s="16"/>
    </row>
    <row r="1336" ht="14.25" customHeight="1">
      <c r="A1336" s="8"/>
      <c r="B1336" s="142">
        <v>4320.0</v>
      </c>
      <c r="E1336" s="143"/>
      <c r="F1336" s="144">
        <f t="shared" ref="F1336:G1336" si="148">SUM(F1334:F1335)</f>
        <v>25000</v>
      </c>
      <c r="G1336" s="144">
        <f t="shared" si="148"/>
        <v>61700</v>
      </c>
      <c r="H1336" s="15">
        <f t="shared" si="147"/>
        <v>1.468</v>
      </c>
      <c r="K1336" s="16"/>
    </row>
    <row r="1337" ht="14.25" customHeight="1">
      <c r="A1337" s="8"/>
      <c r="B1337" s="136"/>
      <c r="C1337" s="137"/>
      <c r="D1337" s="138"/>
      <c r="E1337" s="41"/>
      <c r="F1337" s="140"/>
      <c r="G1337" s="140"/>
      <c r="H1337" s="15" t="str">
        <f t="shared" si="147"/>
        <v/>
      </c>
      <c r="K1337" s="16"/>
    </row>
    <row r="1338" ht="14.25" customHeight="1">
      <c r="A1338" s="8"/>
      <c r="B1338" s="28">
        <v>4330.0</v>
      </c>
      <c r="C1338" s="30"/>
      <c r="D1338" s="31" t="s">
        <v>128</v>
      </c>
      <c r="E1338" s="33"/>
      <c r="F1338" s="31">
        <v>2023.0</v>
      </c>
      <c r="G1338" s="34">
        <v>2024.0</v>
      </c>
      <c r="H1338" s="15">
        <f t="shared" si="147"/>
        <v>0.0004943153732</v>
      </c>
      <c r="K1338" s="16"/>
    </row>
    <row r="1339" ht="14.25" customHeight="1">
      <c r="A1339" s="8"/>
      <c r="B1339" s="136"/>
      <c r="C1339" s="137" t="s">
        <v>307</v>
      </c>
      <c r="D1339" s="138" t="s">
        <v>308</v>
      </c>
      <c r="E1339" s="149"/>
      <c r="F1339" s="140">
        <v>51000.0</v>
      </c>
      <c r="G1339" s="141">
        <v>65900.0</v>
      </c>
      <c r="H1339" s="15">
        <f t="shared" si="147"/>
        <v>0.2921568627</v>
      </c>
      <c r="K1339" s="16"/>
    </row>
    <row r="1340" ht="14.25" customHeight="1">
      <c r="A1340" s="8"/>
      <c r="B1340" s="142">
        <v>4330.0</v>
      </c>
      <c r="E1340" s="143"/>
      <c r="F1340" s="144">
        <f t="shared" ref="F1340:G1340" si="149">SUM(F1339)</f>
        <v>51000</v>
      </c>
      <c r="G1340" s="144">
        <f t="shared" si="149"/>
        <v>65900</v>
      </c>
      <c r="H1340" s="15">
        <f t="shared" si="147"/>
        <v>0.2921568627</v>
      </c>
      <c r="K1340" s="16"/>
    </row>
    <row r="1341" ht="14.25" customHeight="1">
      <c r="A1341" s="8"/>
      <c r="B1341" s="136"/>
      <c r="C1341" s="137"/>
      <c r="D1341" s="138"/>
      <c r="E1341" s="41"/>
      <c r="F1341" s="140"/>
      <c r="G1341" s="140"/>
      <c r="H1341" s="15" t="str">
        <f t="shared" si="147"/>
        <v/>
      </c>
      <c r="K1341" s="16"/>
    </row>
    <row r="1342" ht="14.25" customHeight="1">
      <c r="A1342" s="8"/>
      <c r="B1342" s="28">
        <v>9120.0</v>
      </c>
      <c r="C1342" s="30"/>
      <c r="D1342" s="31" t="s">
        <v>130</v>
      </c>
      <c r="E1342" s="33"/>
      <c r="F1342" s="31">
        <v>2023.0</v>
      </c>
      <c r="G1342" s="34">
        <v>2024.0</v>
      </c>
      <c r="H1342" s="15">
        <f t="shared" si="147"/>
        <v>0.0004943153732</v>
      </c>
      <c r="K1342" s="16"/>
    </row>
    <row r="1343" ht="14.25" customHeight="1">
      <c r="A1343" s="8"/>
      <c r="B1343" s="136"/>
      <c r="C1343" s="137" t="s">
        <v>307</v>
      </c>
      <c r="D1343" s="138" t="s">
        <v>319</v>
      </c>
      <c r="E1343" s="149"/>
      <c r="F1343" s="140">
        <v>48680.0</v>
      </c>
      <c r="G1343" s="141">
        <v>51400.0</v>
      </c>
      <c r="H1343" s="15">
        <f t="shared" si="147"/>
        <v>0.05587510271</v>
      </c>
      <c r="K1343" s="16"/>
    </row>
    <row r="1344" ht="14.25" customHeight="1">
      <c r="A1344" s="8"/>
      <c r="B1344" s="142">
        <v>9120.0</v>
      </c>
      <c r="E1344" s="143"/>
      <c r="F1344" s="144">
        <f t="shared" ref="F1344:G1344" si="150">SUM(F1343)</f>
        <v>48680</v>
      </c>
      <c r="G1344" s="144">
        <f t="shared" si="150"/>
        <v>51400</v>
      </c>
      <c r="H1344" s="15">
        <f t="shared" si="147"/>
        <v>0.05587510271</v>
      </c>
      <c r="K1344" s="16"/>
    </row>
    <row r="1345" ht="14.25" customHeight="1">
      <c r="A1345" s="8"/>
      <c r="B1345" s="136"/>
      <c r="C1345" s="151"/>
      <c r="D1345" s="147"/>
      <c r="E1345" s="146"/>
      <c r="F1345" s="150"/>
      <c r="G1345" s="150"/>
      <c r="H1345" s="15" t="str">
        <f t="shared" si="147"/>
        <v/>
      </c>
      <c r="K1345" s="16"/>
    </row>
    <row r="1346" ht="14.25" customHeight="1">
      <c r="A1346" s="8"/>
      <c r="B1346" s="28">
        <v>9200.0</v>
      </c>
      <c r="C1346" s="30"/>
      <c r="D1346" s="31" t="s">
        <v>147</v>
      </c>
      <c r="E1346" s="33"/>
      <c r="F1346" s="31">
        <v>2023.0</v>
      </c>
      <c r="G1346" s="34">
        <v>2024.0</v>
      </c>
      <c r="H1346" s="15">
        <f t="shared" si="147"/>
        <v>0.0004943153732</v>
      </c>
      <c r="K1346" s="16"/>
    </row>
    <row r="1347" ht="14.25" customHeight="1">
      <c r="A1347" s="8"/>
      <c r="B1347" s="136"/>
      <c r="C1347" s="137" t="s">
        <v>307</v>
      </c>
      <c r="D1347" s="138" t="s">
        <v>320</v>
      </c>
      <c r="E1347" s="139"/>
      <c r="F1347" s="140">
        <v>4500.0</v>
      </c>
      <c r="G1347" s="140">
        <v>4500.0</v>
      </c>
      <c r="H1347" s="15">
        <f t="shared" si="147"/>
        <v>0</v>
      </c>
      <c r="K1347" s="16"/>
    </row>
    <row r="1348" ht="14.25" customHeight="1">
      <c r="A1348" s="8"/>
      <c r="B1348" s="142">
        <v>9200.0</v>
      </c>
      <c r="E1348" s="143"/>
      <c r="F1348" s="144">
        <f t="shared" ref="F1348:G1348" si="151">SUM(F1347)</f>
        <v>4500</v>
      </c>
      <c r="G1348" s="144">
        <f t="shared" si="151"/>
        <v>4500</v>
      </c>
      <c r="H1348" s="15">
        <f t="shared" si="147"/>
        <v>0</v>
      </c>
      <c r="K1348" s="16"/>
    </row>
    <row r="1349" ht="14.25" customHeight="1">
      <c r="A1349" s="8"/>
      <c r="B1349" s="136"/>
      <c r="C1349" s="137"/>
      <c r="D1349" s="138"/>
      <c r="E1349" s="41"/>
      <c r="F1349" s="138"/>
      <c r="G1349" s="138"/>
      <c r="H1349" s="15" t="str">
        <f t="shared" si="147"/>
        <v/>
      </c>
      <c r="K1349" s="16"/>
    </row>
    <row r="1350" ht="14.25" customHeight="1">
      <c r="A1350" s="8"/>
      <c r="B1350" s="28">
        <v>9240.0</v>
      </c>
      <c r="C1350" s="30"/>
      <c r="D1350" s="31" t="s">
        <v>291</v>
      </c>
      <c r="E1350" s="33"/>
      <c r="F1350" s="31">
        <v>2023.0</v>
      </c>
      <c r="G1350" s="34">
        <v>2024.0</v>
      </c>
      <c r="H1350" s="15">
        <f t="shared" si="147"/>
        <v>0.0004943153732</v>
      </c>
      <c r="K1350" s="16"/>
    </row>
    <row r="1351" ht="14.25" customHeight="1">
      <c r="A1351" s="8"/>
      <c r="B1351" s="136"/>
      <c r="C1351" s="137" t="s">
        <v>307</v>
      </c>
      <c r="D1351" s="138" t="s">
        <v>321</v>
      </c>
      <c r="E1351" s="149"/>
      <c r="F1351" s="140">
        <v>35000.0</v>
      </c>
      <c r="G1351" s="141">
        <f>50000+35000</f>
        <v>85000</v>
      </c>
      <c r="H1351" s="15">
        <f t="shared" si="147"/>
        <v>1.428571429</v>
      </c>
      <c r="K1351" s="16"/>
    </row>
    <row r="1352" ht="14.25" customHeight="1">
      <c r="A1352" s="8"/>
      <c r="B1352" s="142">
        <v>9240.0</v>
      </c>
      <c r="E1352" s="143"/>
      <c r="F1352" s="144">
        <f t="shared" ref="F1352:G1352" si="152">SUM(F1351)</f>
        <v>35000</v>
      </c>
      <c r="G1352" s="154">
        <f t="shared" si="152"/>
        <v>85000</v>
      </c>
      <c r="H1352" s="15">
        <f t="shared" si="147"/>
        <v>1.428571429</v>
      </c>
      <c r="K1352" s="16"/>
    </row>
    <row r="1353" ht="14.25" customHeight="1">
      <c r="A1353" s="8"/>
      <c r="B1353" s="136"/>
      <c r="C1353" s="137"/>
      <c r="D1353" s="138"/>
      <c r="E1353" s="41"/>
      <c r="F1353" s="140"/>
      <c r="G1353" s="140"/>
      <c r="H1353" s="15" t="str">
        <f t="shared" si="147"/>
        <v/>
      </c>
      <c r="K1353" s="16"/>
    </row>
    <row r="1354" ht="14.25" customHeight="1">
      <c r="A1354" s="8"/>
      <c r="B1354" s="28">
        <v>9430.0</v>
      </c>
      <c r="C1354" s="30"/>
      <c r="D1354" s="31" t="s">
        <v>322</v>
      </c>
      <c r="E1354" s="33"/>
      <c r="F1354" s="31">
        <v>2023.0</v>
      </c>
      <c r="G1354" s="34">
        <v>2024.0</v>
      </c>
      <c r="H1354" s="15">
        <f t="shared" si="147"/>
        <v>0.0004943153732</v>
      </c>
      <c r="K1354" s="16"/>
    </row>
    <row r="1355" ht="14.25" customHeight="1">
      <c r="A1355" s="8"/>
      <c r="B1355" s="136"/>
      <c r="C1355" s="137" t="s">
        <v>323</v>
      </c>
      <c r="D1355" s="138" t="s">
        <v>324</v>
      </c>
      <c r="E1355" s="139"/>
      <c r="F1355" s="140">
        <v>300000.0</v>
      </c>
      <c r="G1355" s="140">
        <v>300000.0</v>
      </c>
      <c r="H1355" s="15">
        <f t="shared" si="147"/>
        <v>0</v>
      </c>
      <c r="K1355" s="16"/>
    </row>
    <row r="1356" ht="14.25" customHeight="1">
      <c r="A1356" s="8"/>
      <c r="B1356" s="142">
        <v>9430.0</v>
      </c>
      <c r="E1356" s="143"/>
      <c r="F1356" s="144">
        <f t="shared" ref="F1356:G1356" si="153">SUM(F1355)</f>
        <v>300000</v>
      </c>
      <c r="G1356" s="144">
        <f t="shared" si="153"/>
        <v>300000</v>
      </c>
      <c r="H1356" s="15">
        <f t="shared" si="147"/>
        <v>0</v>
      </c>
      <c r="K1356" s="16"/>
    </row>
    <row r="1357" ht="14.25" customHeight="1">
      <c r="A1357" s="8"/>
      <c r="B1357" s="9"/>
      <c r="C1357" s="11"/>
      <c r="D1357" s="12"/>
      <c r="E1357" s="8"/>
      <c r="F1357" s="13"/>
      <c r="G1357" s="13"/>
      <c r="H1357" s="15" t="str">
        <f t="shared" si="147"/>
        <v/>
      </c>
      <c r="K1357" s="16"/>
    </row>
    <row r="1358" ht="14.25" customHeight="1">
      <c r="A1358" s="8"/>
      <c r="B1358" s="9"/>
      <c r="C1358" s="3"/>
      <c r="D1358" s="38" t="s">
        <v>325</v>
      </c>
      <c r="E1358" s="91"/>
      <c r="F1358" s="92">
        <f t="shared" ref="F1358:G1358" si="154">F1284+F1288+F1292+F1298+F1302+F1306+F1310+F1314+F1318+F1322+F1326+F1331+F1336+F1340+F1344+F1348+F1352+F1356</f>
        <v>1405240</v>
      </c>
      <c r="G1358" s="92">
        <f t="shared" si="154"/>
        <v>1955748</v>
      </c>
      <c r="H1358" s="15">
        <f t="shared" si="147"/>
        <v>0.3917537218</v>
      </c>
      <c r="K1358" s="16"/>
    </row>
    <row r="1359" ht="14.25" customHeight="1">
      <c r="A1359" s="8"/>
      <c r="B1359" s="9"/>
      <c r="C1359" s="3"/>
      <c r="D1359" s="38"/>
      <c r="E1359" s="91"/>
      <c r="F1359" s="49"/>
      <c r="G1359" s="49"/>
      <c r="H1359" s="15"/>
      <c r="K1359" s="16"/>
    </row>
    <row r="1360" ht="14.25" customHeight="1">
      <c r="A1360" s="8"/>
      <c r="B1360" s="9"/>
      <c r="C1360" s="3"/>
      <c r="D1360" s="38"/>
      <c r="E1360" s="91"/>
      <c r="F1360" s="49"/>
      <c r="G1360" s="49"/>
      <c r="H1360" s="15" t="str">
        <f t="shared" ref="H1360:H1369" si="155">IFERROR(((G1360-F1360)/F1360), "")</f>
        <v/>
      </c>
      <c r="K1360" s="16"/>
    </row>
    <row r="1361" ht="14.25" customHeight="1">
      <c r="A1361" s="8"/>
      <c r="B1361" s="9"/>
      <c r="C1361" s="11"/>
      <c r="D1361" s="12"/>
      <c r="E1361" s="8"/>
      <c r="F1361" s="13"/>
      <c r="G1361" s="13"/>
      <c r="H1361" s="15" t="str">
        <f t="shared" si="155"/>
        <v/>
      </c>
      <c r="K1361" s="16"/>
    </row>
    <row r="1362" ht="14.25" customHeight="1">
      <c r="A1362" s="8"/>
      <c r="B1362" s="120" t="s">
        <v>16</v>
      </c>
      <c r="C1362" s="19"/>
      <c r="D1362" s="121" t="s">
        <v>326</v>
      </c>
      <c r="E1362" s="122"/>
      <c r="F1362" s="123"/>
      <c r="G1362" s="123"/>
      <c r="H1362" s="15" t="str">
        <f t="shared" si="155"/>
        <v/>
      </c>
      <c r="K1362" s="16"/>
    </row>
    <row r="1363" ht="14.25" customHeight="1">
      <c r="A1363" s="8"/>
      <c r="B1363" s="124" t="s">
        <v>18</v>
      </c>
      <c r="C1363" s="125" t="s">
        <v>19</v>
      </c>
      <c r="D1363" s="126"/>
      <c r="E1363" s="127"/>
      <c r="F1363" s="128">
        <v>2023.0</v>
      </c>
      <c r="G1363" s="129">
        <v>2024.0</v>
      </c>
      <c r="H1363" s="15">
        <f t="shared" si="155"/>
        <v>0.0004943153732</v>
      </c>
      <c r="K1363" s="16"/>
    </row>
    <row r="1364" ht="14.25" customHeight="1">
      <c r="A1364" s="8"/>
      <c r="B1364" s="130">
        <v>9290.0</v>
      </c>
      <c r="C1364" s="131"/>
      <c r="D1364" s="31" t="s">
        <v>147</v>
      </c>
      <c r="E1364" s="33"/>
      <c r="F1364" s="31">
        <v>2023.0</v>
      </c>
      <c r="G1364" s="34">
        <v>2024.0</v>
      </c>
      <c r="H1364" s="15">
        <f t="shared" si="155"/>
        <v>0.0004943153732</v>
      </c>
      <c r="K1364" s="16"/>
    </row>
    <row r="1365" ht="14.25" customHeight="1">
      <c r="A1365" s="8"/>
      <c r="B1365" s="136"/>
      <c r="C1365" s="137" t="s">
        <v>327</v>
      </c>
      <c r="D1365" s="138" t="s">
        <v>328</v>
      </c>
      <c r="E1365" s="139"/>
      <c r="F1365" s="140">
        <v>200000.0</v>
      </c>
      <c r="G1365" s="141">
        <v>100000.0</v>
      </c>
      <c r="H1365" s="15">
        <f t="shared" si="155"/>
        <v>-0.5</v>
      </c>
      <c r="K1365" s="16"/>
    </row>
    <row r="1366" ht="14.25" customHeight="1">
      <c r="A1366" s="8"/>
      <c r="B1366" s="155">
        <v>9290.0</v>
      </c>
      <c r="E1366" s="143"/>
      <c r="F1366" s="144">
        <f t="shared" ref="F1366:G1366" si="156">SUM(F1365)</f>
        <v>200000</v>
      </c>
      <c r="G1366" s="144">
        <f t="shared" si="156"/>
        <v>100000</v>
      </c>
      <c r="H1366" s="15">
        <f t="shared" si="155"/>
        <v>-0.5</v>
      </c>
      <c r="K1366" s="16"/>
    </row>
    <row r="1367" ht="14.25" customHeight="1">
      <c r="A1367" s="8"/>
      <c r="B1367" s="142"/>
      <c r="C1367" s="138"/>
      <c r="D1367" s="138"/>
      <c r="E1367" s="156"/>
      <c r="F1367" s="150"/>
      <c r="G1367" s="150"/>
      <c r="H1367" s="15" t="str">
        <f t="shared" si="155"/>
        <v/>
      </c>
      <c r="K1367" s="16"/>
    </row>
    <row r="1368" ht="14.25" customHeight="1">
      <c r="A1368" s="8"/>
      <c r="B1368" s="9"/>
      <c r="C1368" s="3"/>
      <c r="D1368" s="38" t="s">
        <v>329</v>
      </c>
      <c r="E1368" s="91"/>
      <c r="F1368" s="92">
        <f t="shared" ref="F1368:G1368" si="157">F1366</f>
        <v>200000</v>
      </c>
      <c r="G1368" s="92">
        <f t="shared" si="157"/>
        <v>100000</v>
      </c>
      <c r="H1368" s="15">
        <f t="shared" si="155"/>
        <v>-0.5</v>
      </c>
      <c r="K1368" s="16"/>
    </row>
    <row r="1369" ht="14.25" customHeight="1">
      <c r="A1369" s="8"/>
      <c r="B1369" s="9"/>
      <c r="C1369" s="11"/>
      <c r="D1369" s="12"/>
      <c r="E1369" s="8"/>
      <c r="F1369" s="13"/>
      <c r="G1369" s="13"/>
      <c r="H1369" s="15" t="str">
        <f t="shared" si="155"/>
        <v/>
      </c>
      <c r="K1369" s="16"/>
    </row>
    <row r="1370" ht="14.25" customHeight="1">
      <c r="A1370" s="8"/>
      <c r="B1370" s="9"/>
      <c r="C1370" s="11"/>
      <c r="D1370" s="12"/>
      <c r="E1370" s="8"/>
      <c r="F1370" s="13"/>
      <c r="G1370" s="13"/>
      <c r="H1370" s="15"/>
      <c r="K1370" s="16"/>
    </row>
    <row r="1371" ht="14.25" customHeight="1">
      <c r="A1371" s="8"/>
      <c r="B1371" s="9"/>
      <c r="C1371" s="11"/>
      <c r="D1371" s="12"/>
      <c r="E1371" s="8"/>
      <c r="F1371" s="13"/>
      <c r="G1371" s="13"/>
      <c r="H1371" s="15"/>
      <c r="K1371" s="16"/>
    </row>
    <row r="1372" ht="14.25" customHeight="1">
      <c r="A1372" s="8"/>
      <c r="B1372" s="120" t="s">
        <v>16</v>
      </c>
      <c r="C1372" s="19"/>
      <c r="D1372" s="121" t="s">
        <v>330</v>
      </c>
      <c r="E1372" s="122"/>
      <c r="F1372" s="123"/>
      <c r="G1372" s="123"/>
      <c r="H1372" s="15"/>
      <c r="K1372" s="16"/>
    </row>
    <row r="1373" ht="14.25" customHeight="1">
      <c r="A1373" s="8"/>
      <c r="B1373" s="124" t="s">
        <v>18</v>
      </c>
      <c r="C1373" s="125" t="s">
        <v>19</v>
      </c>
      <c r="D1373" s="126"/>
      <c r="E1373" s="127"/>
      <c r="F1373" s="128">
        <v>2023.0</v>
      </c>
      <c r="G1373" s="129">
        <v>2024.0</v>
      </c>
      <c r="H1373" s="15"/>
      <c r="K1373" s="16"/>
    </row>
    <row r="1374" ht="14.25" customHeight="1">
      <c r="A1374" s="8"/>
      <c r="B1374" s="51">
        <v>1320.0</v>
      </c>
      <c r="C1374" s="157"/>
      <c r="D1374" s="55" t="s">
        <v>46</v>
      </c>
      <c r="E1374" s="157"/>
      <c r="F1374" s="53">
        <v>2023.0</v>
      </c>
      <c r="G1374" s="55">
        <v>2024.0</v>
      </c>
      <c r="H1374" s="15"/>
      <c r="K1374" s="16"/>
    </row>
    <row r="1375" ht="14.25" customHeight="1">
      <c r="A1375" s="8"/>
      <c r="B1375" s="9"/>
      <c r="C1375" s="158">
        <v>623.0</v>
      </c>
      <c r="D1375" s="159" t="s">
        <v>331</v>
      </c>
      <c r="E1375" s="160"/>
      <c r="F1375" s="36">
        <v>0.0</v>
      </c>
      <c r="G1375" s="161">
        <f>IFERROR(__xludf.DUMMYFUNCTION("IMPORTRANGE(""https://docs.google.com/spreadsheets/d/12edwXNVQxYT-KeRPeNqQH1Kc9M3cpKVUqs2VaOEA-aw"",""2024!p1320_623"")"),34000.0)</f>
        <v>34000</v>
      </c>
      <c r="H1375" s="15"/>
      <c r="K1375" s="16"/>
    </row>
    <row r="1376" ht="14.25" customHeight="1">
      <c r="A1376" s="8"/>
      <c r="B1376" s="9"/>
      <c r="C1376" s="158">
        <v>641.0</v>
      </c>
      <c r="D1376" s="159" t="s">
        <v>332</v>
      </c>
      <c r="E1376" s="160"/>
      <c r="F1376" s="36"/>
      <c r="G1376" s="161">
        <f>IFERROR(__xludf.DUMMYFUNCTION("IMPORTRANGE(""https://docs.google.com/spreadsheets/d/12edwXNVQxYT-KeRPeNqQH1Kc9M3cpKVUqs2VaOEA-aw"",""2024!p1320_641"")"),33000.0)</f>
        <v>33000</v>
      </c>
      <c r="H1376" s="15"/>
      <c r="K1376" s="16"/>
    </row>
    <row r="1377" ht="14.25" customHeight="1">
      <c r="A1377" s="8"/>
      <c r="B1377" s="155">
        <v>1320.0</v>
      </c>
      <c r="E1377" s="162"/>
      <c r="F1377" s="40">
        <f>SUM(F1375)</f>
        <v>0</v>
      </c>
      <c r="G1377" s="40">
        <f>SUM(G1375:G1376)</f>
        <v>67000</v>
      </c>
      <c r="H1377" s="15"/>
      <c r="K1377" s="16"/>
    </row>
    <row r="1378" ht="14.25" customHeight="1">
      <c r="A1378" s="8"/>
      <c r="B1378" s="9"/>
      <c r="C1378" s="17"/>
      <c r="D1378" s="77"/>
      <c r="E1378" s="160"/>
      <c r="F1378" s="13"/>
      <c r="G1378" s="13"/>
      <c r="H1378" s="15"/>
      <c r="K1378" s="16"/>
    </row>
    <row r="1379" ht="14.25" customHeight="1">
      <c r="A1379" s="163"/>
      <c r="B1379" s="164">
        <v>1330.0</v>
      </c>
      <c r="C1379" s="165"/>
      <c r="D1379" s="166" t="s">
        <v>194</v>
      </c>
      <c r="E1379" s="165"/>
      <c r="F1379" s="167">
        <v>2023.0</v>
      </c>
      <c r="G1379" s="168">
        <v>2024.0</v>
      </c>
      <c r="H1379" s="105"/>
      <c r="I1379" s="106"/>
      <c r="J1379" s="106"/>
      <c r="K1379" s="108"/>
      <c r="L1379" s="106"/>
      <c r="M1379" s="106"/>
      <c r="N1379" s="106"/>
      <c r="O1379" s="106"/>
      <c r="P1379" s="106"/>
      <c r="Q1379" s="106"/>
      <c r="R1379" s="106"/>
      <c r="S1379" s="106"/>
      <c r="T1379" s="106"/>
      <c r="U1379" s="106"/>
    </row>
    <row r="1380" ht="14.25" customHeight="1">
      <c r="A1380" s="99"/>
      <c r="B1380" s="99"/>
      <c r="C1380" s="169">
        <v>609.0</v>
      </c>
      <c r="D1380" s="170" t="s">
        <v>333</v>
      </c>
      <c r="E1380" s="103"/>
      <c r="F1380" s="171">
        <v>0.0</v>
      </c>
      <c r="G1380" s="172">
        <f>IFERROR(__xludf.DUMMYFUNCTION("IMPORTRANGE(""https://docs.google.com/spreadsheets/d/12edwXNVQxYT-KeRPeNqQH1Kc9M3cpKVUqs2VaOEA-aw"",""2024!p1330_609"")"),25000.0)</f>
        <v>25000</v>
      </c>
      <c r="H1380" s="105"/>
      <c r="I1380" s="106"/>
      <c r="J1380" s="106"/>
      <c r="K1380" s="108"/>
      <c r="L1380" s="106"/>
      <c r="M1380" s="106"/>
      <c r="N1380" s="106"/>
      <c r="O1380" s="106"/>
      <c r="P1380" s="106"/>
      <c r="Q1380" s="106"/>
      <c r="R1380" s="106"/>
      <c r="S1380" s="106"/>
      <c r="T1380" s="106"/>
      <c r="U1380" s="106"/>
    </row>
    <row r="1381" ht="14.25" customHeight="1">
      <c r="A1381" s="99"/>
      <c r="B1381" s="173">
        <v>1330.0</v>
      </c>
      <c r="E1381" s="174"/>
      <c r="F1381" s="175">
        <f t="shared" ref="F1381:G1381" si="158">SUM(F1380)</f>
        <v>0</v>
      </c>
      <c r="G1381" s="175">
        <f t="shared" si="158"/>
        <v>25000</v>
      </c>
      <c r="H1381" s="105"/>
      <c r="I1381" s="106"/>
      <c r="J1381" s="106"/>
      <c r="K1381" s="108"/>
      <c r="L1381" s="106"/>
      <c r="M1381" s="106"/>
      <c r="N1381" s="106"/>
      <c r="O1381" s="106"/>
      <c r="P1381" s="106"/>
      <c r="Q1381" s="106"/>
      <c r="R1381" s="106"/>
      <c r="S1381" s="106"/>
      <c r="T1381" s="106"/>
      <c r="U1381" s="106"/>
    </row>
    <row r="1382" ht="14.25" customHeight="1">
      <c r="A1382" s="8"/>
      <c r="B1382" s="9"/>
      <c r="C1382" s="17"/>
      <c r="D1382" s="77"/>
      <c r="E1382" s="160"/>
      <c r="F1382" s="13"/>
      <c r="G1382" s="13"/>
      <c r="H1382" s="15"/>
      <c r="K1382" s="16"/>
    </row>
    <row r="1383" ht="14.25" customHeight="1">
      <c r="A1383" s="8"/>
      <c r="B1383" s="176">
        <v>1340.0</v>
      </c>
      <c r="C1383" s="157"/>
      <c r="D1383" s="55" t="s">
        <v>46</v>
      </c>
      <c r="E1383" s="157"/>
      <c r="F1383" s="53">
        <v>2023.0</v>
      </c>
      <c r="G1383" s="55">
        <v>2024.0</v>
      </c>
      <c r="H1383" s="15"/>
      <c r="K1383" s="16"/>
    </row>
    <row r="1384" ht="14.25" customHeight="1">
      <c r="A1384" s="8"/>
      <c r="B1384" s="9"/>
      <c r="C1384" s="158">
        <v>609.0</v>
      </c>
      <c r="D1384" s="159" t="s">
        <v>334</v>
      </c>
      <c r="E1384" s="160"/>
      <c r="F1384" s="36">
        <v>0.0</v>
      </c>
      <c r="G1384" s="161">
        <f>IFERROR(__xludf.DUMMYFUNCTION("IMPORTRANGE(""https://docs.google.com/spreadsheets/d/12edwXNVQxYT-KeRPeNqQH1Kc9M3cpKVUqs2VaOEA-aw"",""2024!p1340_609"")"),70000.0)</f>
        <v>70000</v>
      </c>
      <c r="H1384" s="15"/>
      <c r="K1384" s="16"/>
    </row>
    <row r="1385" ht="14.25" customHeight="1">
      <c r="A1385" s="8"/>
      <c r="B1385" s="155">
        <v>1340.0</v>
      </c>
      <c r="E1385" s="162"/>
      <c r="F1385" s="40">
        <f t="shared" ref="F1385:G1385" si="159">SUM(F1384)</f>
        <v>0</v>
      </c>
      <c r="G1385" s="40">
        <f t="shared" si="159"/>
        <v>70000</v>
      </c>
      <c r="H1385" s="15"/>
      <c r="K1385" s="16"/>
    </row>
    <row r="1386" ht="14.25" customHeight="1">
      <c r="A1386" s="8"/>
      <c r="B1386" s="9"/>
      <c r="C1386" s="17"/>
      <c r="D1386" s="77"/>
      <c r="E1386" s="160"/>
      <c r="F1386" s="13"/>
      <c r="G1386" s="13"/>
      <c r="H1386" s="15"/>
      <c r="K1386" s="16"/>
    </row>
    <row r="1387" ht="14.25" customHeight="1">
      <c r="A1387" s="8"/>
      <c r="B1387" s="176">
        <v>1510.0</v>
      </c>
      <c r="C1387" s="157"/>
      <c r="D1387" s="55" t="s">
        <v>82</v>
      </c>
      <c r="E1387" s="157"/>
      <c r="F1387" s="53">
        <v>2023.0</v>
      </c>
      <c r="G1387" s="55">
        <v>2024.0</v>
      </c>
      <c r="H1387" s="15"/>
      <c r="K1387" s="16"/>
    </row>
    <row r="1388" ht="14.25" customHeight="1">
      <c r="A1388" s="8"/>
      <c r="B1388" s="9"/>
      <c r="C1388" s="158">
        <v>626.0</v>
      </c>
      <c r="D1388" s="159" t="s">
        <v>335</v>
      </c>
      <c r="E1388" s="160"/>
      <c r="F1388" s="36">
        <v>0.0</v>
      </c>
      <c r="G1388" s="161">
        <f>IFERROR(__xludf.DUMMYFUNCTION("IMPORTRANGE(""https://docs.google.com/spreadsheets/d/12edwXNVQxYT-KeRPeNqQH1Kc9M3cpKVUqs2VaOEA-aw"",""2024!p1510_626"")"),11080.0)</f>
        <v>11080</v>
      </c>
      <c r="H1388" s="15"/>
      <c r="K1388" s="16"/>
    </row>
    <row r="1389" ht="14.25" customHeight="1">
      <c r="A1389" s="8"/>
      <c r="B1389" s="9"/>
      <c r="C1389" s="158">
        <v>632.0</v>
      </c>
      <c r="D1389" s="159" t="s">
        <v>336</v>
      </c>
      <c r="E1389" s="160"/>
      <c r="F1389" s="36"/>
      <c r="G1389" s="161">
        <f>IFERROR(__xludf.DUMMYFUNCTION("IMPORTRANGE(""https://docs.google.com/spreadsheets/d/12edwXNVQxYT-KeRPeNqQH1Kc9M3cpKVUqs2VaOEA-aw"",""2024!p1510_632"")"),25000.0)</f>
        <v>25000</v>
      </c>
      <c r="H1389" s="15"/>
      <c r="K1389" s="16"/>
    </row>
    <row r="1390" ht="14.25" customHeight="1">
      <c r="A1390" s="8"/>
      <c r="B1390" s="155">
        <v>1510.0</v>
      </c>
      <c r="E1390" s="162"/>
      <c r="F1390" s="40">
        <f>SUM(F1388)</f>
        <v>0</v>
      </c>
      <c r="G1390" s="40">
        <f>SUM(G1388:G1389)</f>
        <v>36080</v>
      </c>
      <c r="H1390" s="15"/>
      <c r="K1390" s="16"/>
    </row>
    <row r="1391" ht="14.25" customHeight="1">
      <c r="A1391" s="8"/>
      <c r="B1391" s="9"/>
      <c r="C1391" s="17"/>
      <c r="D1391" s="77"/>
      <c r="E1391" s="160"/>
      <c r="F1391" s="13"/>
      <c r="G1391" s="13"/>
      <c r="H1391" s="15"/>
      <c r="K1391" s="16"/>
    </row>
    <row r="1392" ht="14.25" customHeight="1">
      <c r="A1392" s="8"/>
      <c r="B1392" s="176">
        <v>1522.0</v>
      </c>
      <c r="C1392" s="157"/>
      <c r="D1392" s="55" t="s">
        <v>337</v>
      </c>
      <c r="E1392" s="157"/>
      <c r="F1392" s="53">
        <v>2023.0</v>
      </c>
      <c r="G1392" s="55">
        <v>2024.0</v>
      </c>
      <c r="H1392" s="15"/>
      <c r="K1392" s="16"/>
    </row>
    <row r="1393" ht="14.25" customHeight="1">
      <c r="A1393" s="8"/>
      <c r="B1393" s="9"/>
      <c r="C1393" s="158">
        <v>650.0</v>
      </c>
      <c r="D1393" s="159" t="s">
        <v>338</v>
      </c>
      <c r="E1393" s="160"/>
      <c r="F1393" s="36">
        <v>0.0</v>
      </c>
      <c r="G1393" s="161">
        <f>IFERROR(__xludf.DUMMYFUNCTION("IMPORTRANGE(""https://docs.google.com/spreadsheets/d/12edwXNVQxYT-KeRPeNqQH1Kc9M3cpKVUqs2VaOEA-aw"",""2024!p1522_650"")"),815333.4)</f>
        <v>815333.4</v>
      </c>
      <c r="H1393" s="15"/>
      <c r="K1393" s="16"/>
    </row>
    <row r="1394" ht="14.25" customHeight="1">
      <c r="A1394" s="8"/>
      <c r="B1394" s="155">
        <v>1522.0</v>
      </c>
      <c r="E1394" s="162"/>
      <c r="F1394" s="40">
        <f t="shared" ref="F1394:G1394" si="160">SUM(F1393)</f>
        <v>0</v>
      </c>
      <c r="G1394" s="40">
        <f t="shared" si="160"/>
        <v>815333.4</v>
      </c>
      <c r="H1394" s="15"/>
      <c r="K1394" s="16"/>
    </row>
    <row r="1395" ht="14.25" customHeight="1">
      <c r="A1395" s="8"/>
      <c r="B1395" s="9"/>
      <c r="C1395" s="17"/>
      <c r="D1395" s="77"/>
      <c r="E1395" s="160"/>
      <c r="F1395" s="13"/>
      <c r="G1395" s="13"/>
      <c r="H1395" s="15"/>
      <c r="K1395" s="16"/>
    </row>
    <row r="1396" ht="14.25" customHeight="1">
      <c r="A1396" s="8"/>
      <c r="B1396" s="176">
        <v>1530.0</v>
      </c>
      <c r="C1396" s="157"/>
      <c r="D1396" s="177" t="s">
        <v>88</v>
      </c>
      <c r="E1396" s="157"/>
      <c r="F1396" s="53">
        <v>2023.0</v>
      </c>
      <c r="G1396" s="55">
        <v>2024.0</v>
      </c>
      <c r="H1396" s="15"/>
      <c r="K1396" s="16"/>
    </row>
    <row r="1397" ht="14.25" customHeight="1">
      <c r="A1397" s="8"/>
      <c r="C1397" s="178">
        <v>619.0</v>
      </c>
      <c r="D1397" s="159" t="s">
        <v>339</v>
      </c>
      <c r="E1397" s="160"/>
      <c r="F1397" s="36">
        <v>0.0</v>
      </c>
      <c r="G1397" s="161">
        <f>IFERROR(__xludf.DUMMYFUNCTION("IMPORTRANGE(""https://docs.google.com/spreadsheets/d/12edwXNVQxYT-KeRPeNqQH1Kc9M3cpKVUqs2VaOEA-aw"",""2024!p1530_619"")"),2227402.38)</f>
        <v>2227402.38</v>
      </c>
      <c r="H1397" s="15"/>
      <c r="J1397" s="179">
        <f>2027402.38 + 230000</f>
        <v>2257402.38</v>
      </c>
      <c r="K1397" s="16"/>
    </row>
    <row r="1398" ht="14.25" customHeight="1">
      <c r="A1398" s="8"/>
      <c r="B1398" s="180">
        <v>1530.0</v>
      </c>
      <c r="E1398" s="162"/>
      <c r="F1398" s="40">
        <f t="shared" ref="F1398:G1398" si="161">SUM(F1397)</f>
        <v>0</v>
      </c>
      <c r="G1398" s="40">
        <f t="shared" si="161"/>
        <v>2227402.38</v>
      </c>
      <c r="H1398" s="15"/>
      <c r="K1398" s="16"/>
    </row>
    <row r="1399" ht="14.25" customHeight="1">
      <c r="A1399" s="8"/>
      <c r="B1399" s="9"/>
      <c r="C1399" s="17"/>
      <c r="D1399" s="77"/>
      <c r="E1399" s="160"/>
      <c r="F1399" s="13"/>
      <c r="G1399" s="13"/>
      <c r="H1399" s="15"/>
      <c r="K1399" s="16"/>
    </row>
    <row r="1400" ht="14.25" customHeight="1">
      <c r="A1400" s="8"/>
      <c r="B1400" s="176">
        <v>1600.0</v>
      </c>
      <c r="C1400" s="157"/>
      <c r="D1400" s="177" t="s">
        <v>214</v>
      </c>
      <c r="E1400" s="157"/>
      <c r="F1400" s="53">
        <v>2023.0</v>
      </c>
      <c r="G1400" s="55">
        <v>2024.0</v>
      </c>
      <c r="H1400" s="15"/>
      <c r="K1400" s="16"/>
    </row>
    <row r="1401" ht="14.25" customHeight="1">
      <c r="A1401" s="8"/>
      <c r="C1401" s="178">
        <v>619.0</v>
      </c>
      <c r="D1401" s="159" t="s">
        <v>339</v>
      </c>
      <c r="E1401" s="160"/>
      <c r="F1401" s="36">
        <v>0.0</v>
      </c>
      <c r="G1401" s="161">
        <f>IFERROR(__xludf.DUMMYFUNCTION("IMPORTRANGE(""https://docs.google.com/spreadsheets/d/12edwXNVQxYT-KeRPeNqQH1Kc9M3cpKVUqs2VaOEA-aw"",""2024!p1600_619"")"),125000.0)</f>
        <v>125000</v>
      </c>
      <c r="H1401" s="15"/>
      <c r="K1401" s="16"/>
    </row>
    <row r="1402" ht="14.25" customHeight="1">
      <c r="A1402" s="8"/>
      <c r="B1402" s="180">
        <v>1600.0</v>
      </c>
      <c r="E1402" s="162"/>
      <c r="F1402" s="40">
        <f t="shared" ref="F1402:G1402" si="162">SUM(F1401)</f>
        <v>0</v>
      </c>
      <c r="G1402" s="40">
        <f t="shared" si="162"/>
        <v>125000</v>
      </c>
      <c r="H1402" s="15"/>
      <c r="K1402" s="16"/>
    </row>
    <row r="1403" ht="14.25" customHeight="1">
      <c r="A1403" s="8"/>
      <c r="B1403" s="9"/>
      <c r="C1403" s="17"/>
      <c r="D1403" s="77"/>
      <c r="E1403" s="160"/>
      <c r="F1403" s="13"/>
      <c r="G1403" s="13"/>
      <c r="H1403" s="15"/>
      <c r="K1403" s="16"/>
    </row>
    <row r="1404" ht="14.25" customHeight="1">
      <c r="A1404" s="8"/>
      <c r="B1404" s="176">
        <v>1610.0</v>
      </c>
      <c r="C1404" s="157"/>
      <c r="D1404" s="55" t="s">
        <v>93</v>
      </c>
      <c r="E1404" s="157"/>
      <c r="F1404" s="53">
        <v>2023.0</v>
      </c>
      <c r="G1404" s="55">
        <v>2024.0</v>
      </c>
      <c r="H1404" s="15"/>
      <c r="K1404" s="16"/>
    </row>
    <row r="1405" ht="14.25" customHeight="1">
      <c r="A1405" s="8"/>
      <c r="B1405" s="9"/>
      <c r="C1405" s="158">
        <v>619.0</v>
      </c>
      <c r="D1405" s="159" t="s">
        <v>339</v>
      </c>
      <c r="E1405" s="160"/>
      <c r="F1405" s="36">
        <v>0.0</v>
      </c>
      <c r="G1405" s="161">
        <f>IFERROR(__xludf.DUMMYFUNCTION("IMPORTRANGE(""https://docs.google.com/spreadsheets/d/12edwXNVQxYT-KeRPeNqQH1Kc9M3cpKVUqs2VaOEA-aw"",""2024!p1610_619"")"),164790.0)</f>
        <v>164790</v>
      </c>
      <c r="H1405" s="15"/>
      <c r="K1405" s="16"/>
    </row>
    <row r="1406" ht="14.25" customHeight="1">
      <c r="A1406" s="8"/>
      <c r="B1406" s="9"/>
      <c r="C1406" s="158">
        <v>623.0</v>
      </c>
      <c r="D1406" s="159" t="s">
        <v>340</v>
      </c>
      <c r="E1406" s="160"/>
      <c r="F1406" s="36">
        <v>0.0</v>
      </c>
      <c r="G1406" s="161">
        <f>IFERROR(__xludf.DUMMYFUNCTION("IMPORTRANGE(""https://docs.google.com/spreadsheets/d/12edwXNVQxYT-KeRPeNqQH1Kc9M3cpKVUqs2VaOEA-aw"",""2024!p1610_623"")"),47200.0)</f>
        <v>47200</v>
      </c>
      <c r="H1406" s="15"/>
      <c r="K1406" s="16"/>
    </row>
    <row r="1407" ht="14.25" customHeight="1">
      <c r="A1407" s="8"/>
      <c r="B1407" s="155">
        <v>1610.0</v>
      </c>
      <c r="E1407" s="162"/>
      <c r="F1407" s="40">
        <f>SUM(F1406)</f>
        <v>0</v>
      </c>
      <c r="G1407" s="40">
        <f>SUM(G1405:G1406)</f>
        <v>211990</v>
      </c>
      <c r="H1407" s="15"/>
      <c r="K1407" s="16"/>
    </row>
    <row r="1408" ht="14.25" customHeight="1">
      <c r="A1408" s="8"/>
      <c r="B1408" s="9"/>
      <c r="C1408" s="17"/>
      <c r="D1408" s="77"/>
      <c r="E1408" s="160"/>
      <c r="F1408" s="13"/>
      <c r="G1408" s="13"/>
      <c r="H1408" s="15"/>
      <c r="K1408" s="16"/>
    </row>
    <row r="1409" ht="14.25" customHeight="1">
      <c r="A1409" s="8"/>
      <c r="B1409" s="176">
        <v>1640.0</v>
      </c>
      <c r="C1409" s="157"/>
      <c r="D1409" s="177" t="s">
        <v>94</v>
      </c>
      <c r="E1409" s="157"/>
      <c r="F1409" s="53">
        <v>2023.0</v>
      </c>
      <c r="G1409" s="55">
        <v>2024.0</v>
      </c>
      <c r="H1409" s="15"/>
      <c r="K1409" s="16"/>
    </row>
    <row r="1410" ht="14.25" customHeight="1">
      <c r="A1410" s="8"/>
      <c r="C1410" s="178">
        <v>622.0</v>
      </c>
      <c r="D1410" s="159" t="s">
        <v>341</v>
      </c>
      <c r="E1410" s="160"/>
      <c r="F1410" s="36">
        <v>0.0</v>
      </c>
      <c r="G1410" s="161">
        <f>IFERROR(__xludf.DUMMYFUNCTION("IMPORTRANGE(""https://docs.google.com/spreadsheets/d/12edwXNVQxYT-KeRPeNqQH1Kc9M3cpKVUqs2VaOEA-aw"",""2024!p1640_622"")"),182000.0)</f>
        <v>182000</v>
      </c>
      <c r="H1410" s="15"/>
      <c r="K1410" s="16"/>
    </row>
    <row r="1411" ht="14.25" customHeight="1">
      <c r="A1411" s="8"/>
      <c r="B1411" s="180">
        <v>1640.0</v>
      </c>
      <c r="E1411" s="162"/>
      <c r="F1411" s="40">
        <f t="shared" ref="F1411:G1411" si="163">SUM(F1410)</f>
        <v>0</v>
      </c>
      <c r="G1411" s="40">
        <f t="shared" si="163"/>
        <v>182000</v>
      </c>
      <c r="H1411" s="15"/>
      <c r="K1411" s="16"/>
    </row>
    <row r="1412" ht="14.25" customHeight="1">
      <c r="A1412" s="8"/>
      <c r="B1412" s="9"/>
      <c r="C1412" s="17"/>
      <c r="D1412" s="77"/>
      <c r="E1412" s="160"/>
      <c r="F1412" s="13"/>
      <c r="G1412" s="13"/>
      <c r="H1412" s="15"/>
      <c r="K1412" s="16"/>
    </row>
    <row r="1413" ht="14.25" customHeight="1">
      <c r="A1413" s="8"/>
      <c r="B1413" s="176">
        <v>1650.0</v>
      </c>
      <c r="C1413" s="157"/>
      <c r="D1413" s="177" t="s">
        <v>342</v>
      </c>
      <c r="E1413" s="157"/>
      <c r="F1413" s="53">
        <v>2023.0</v>
      </c>
      <c r="G1413" s="55">
        <v>2024.0</v>
      </c>
      <c r="H1413" s="15"/>
      <c r="K1413" s="16"/>
    </row>
    <row r="1414" ht="14.25" customHeight="1">
      <c r="A1414" s="8"/>
      <c r="C1414" s="178">
        <v>609.0</v>
      </c>
      <c r="D1414" s="159" t="s">
        <v>333</v>
      </c>
      <c r="E1414" s="160"/>
      <c r="F1414" s="36">
        <v>0.0</v>
      </c>
      <c r="G1414" s="161">
        <f>IFERROR(__xludf.DUMMYFUNCTION("IMPORTRANGE(""https://docs.google.com/spreadsheets/d/12edwXNVQxYT-KeRPeNqQH1Kc9M3cpKVUqs2VaOEA-aw"",""2024!p1650_609"")"),30000.0)</f>
        <v>30000</v>
      </c>
      <c r="H1414" s="15"/>
      <c r="K1414" s="16"/>
    </row>
    <row r="1415" ht="14.25" customHeight="1">
      <c r="A1415" s="8"/>
      <c r="B1415" s="180">
        <v>1650.0</v>
      </c>
      <c r="E1415" s="162"/>
      <c r="F1415" s="40">
        <f t="shared" ref="F1415:G1415" si="164">SUM(F1414)</f>
        <v>0</v>
      </c>
      <c r="G1415" s="40">
        <f t="shared" si="164"/>
        <v>30000</v>
      </c>
      <c r="H1415" s="15"/>
      <c r="K1415" s="16"/>
    </row>
    <row r="1416" ht="14.25" customHeight="1">
      <c r="A1416" s="8"/>
      <c r="B1416" s="9"/>
      <c r="C1416" s="17"/>
      <c r="D1416" s="77"/>
      <c r="E1416" s="160"/>
      <c r="F1416" s="13"/>
      <c r="G1416" s="13"/>
      <c r="H1416" s="15"/>
      <c r="K1416" s="16"/>
    </row>
    <row r="1417" ht="14.25" customHeight="1">
      <c r="A1417" s="163"/>
      <c r="B1417" s="164">
        <v>1710.0</v>
      </c>
      <c r="C1417" s="165"/>
      <c r="D1417" s="166" t="s">
        <v>99</v>
      </c>
      <c r="E1417" s="165"/>
      <c r="F1417" s="167">
        <v>2023.0</v>
      </c>
      <c r="G1417" s="168">
        <v>2024.0</v>
      </c>
      <c r="H1417" s="181"/>
      <c r="I1417" s="106"/>
      <c r="J1417" s="106"/>
      <c r="K1417" s="108"/>
      <c r="L1417" s="106"/>
      <c r="M1417" s="106"/>
      <c r="N1417" s="106"/>
      <c r="O1417" s="106"/>
      <c r="P1417" s="106"/>
      <c r="Q1417" s="106"/>
      <c r="R1417" s="106"/>
      <c r="S1417" s="106"/>
      <c r="T1417" s="106"/>
      <c r="U1417" s="106"/>
    </row>
    <row r="1418" ht="14.25" customHeight="1">
      <c r="A1418" s="99"/>
      <c r="B1418" s="182"/>
      <c r="C1418" s="183">
        <v>619.0</v>
      </c>
      <c r="D1418" s="170" t="s">
        <v>336</v>
      </c>
      <c r="E1418" s="103"/>
      <c r="F1418" s="171">
        <v>0.0</v>
      </c>
      <c r="G1418" s="161">
        <f>IFERROR(__xludf.DUMMYFUNCTION("IMPORTRANGE(""https://docs.google.com/spreadsheets/d/12edwXNVQxYT-KeRPeNqQH1Kc9M3cpKVUqs2VaOEA-aw"",""2024!p1710_619"")"),620000.0)</f>
        <v>620000</v>
      </c>
      <c r="H1418" s="105"/>
      <c r="I1418" s="106"/>
      <c r="J1418" s="106"/>
      <c r="K1418" s="108"/>
      <c r="L1418" s="106"/>
      <c r="M1418" s="106"/>
      <c r="N1418" s="106"/>
      <c r="O1418" s="106"/>
      <c r="P1418" s="106"/>
      <c r="Q1418" s="106"/>
      <c r="R1418" s="106"/>
      <c r="S1418" s="106"/>
      <c r="T1418" s="106"/>
      <c r="U1418" s="106"/>
    </row>
    <row r="1419" ht="14.25" customHeight="1">
      <c r="A1419" s="99"/>
      <c r="B1419" s="184">
        <v>1710.0</v>
      </c>
      <c r="E1419" s="174"/>
      <c r="F1419" s="175">
        <f t="shared" ref="F1419:G1419" si="165">SUM(F1418)</f>
        <v>0</v>
      </c>
      <c r="G1419" s="175">
        <f t="shared" si="165"/>
        <v>620000</v>
      </c>
      <c r="H1419" s="105"/>
      <c r="I1419" s="106"/>
      <c r="J1419" s="106"/>
      <c r="K1419" s="108"/>
      <c r="L1419" s="106"/>
      <c r="M1419" s="106"/>
      <c r="N1419" s="106"/>
      <c r="O1419" s="106"/>
      <c r="P1419" s="106"/>
      <c r="Q1419" s="106"/>
      <c r="R1419" s="106"/>
      <c r="S1419" s="106"/>
      <c r="T1419" s="106"/>
      <c r="U1419" s="106"/>
    </row>
    <row r="1420" ht="14.25" customHeight="1">
      <c r="A1420" s="8"/>
      <c r="B1420" s="9"/>
      <c r="C1420" s="17"/>
      <c r="D1420" s="77"/>
      <c r="E1420" s="160"/>
      <c r="F1420" s="13"/>
      <c r="G1420" s="13"/>
      <c r="H1420" s="15"/>
      <c r="K1420" s="16"/>
    </row>
    <row r="1421" ht="14.25" customHeight="1">
      <c r="A1421" s="163"/>
      <c r="B1421" s="164">
        <v>2310.0</v>
      </c>
      <c r="C1421" s="165"/>
      <c r="D1421" s="166" t="s">
        <v>113</v>
      </c>
      <c r="E1421" s="165"/>
      <c r="F1421" s="167">
        <v>2023.0</v>
      </c>
      <c r="G1421" s="168">
        <v>2024.0</v>
      </c>
      <c r="H1421" s="181"/>
      <c r="I1421" s="106"/>
      <c r="J1421" s="106"/>
      <c r="K1421" s="108"/>
      <c r="L1421" s="106"/>
      <c r="M1421" s="106"/>
      <c r="N1421" s="106"/>
      <c r="O1421" s="106"/>
      <c r="P1421" s="106"/>
      <c r="Q1421" s="106"/>
      <c r="R1421" s="106"/>
      <c r="S1421" s="106"/>
      <c r="T1421" s="106"/>
      <c r="U1421" s="106"/>
    </row>
    <row r="1422" ht="14.25" customHeight="1">
      <c r="A1422" s="99"/>
      <c r="B1422" s="182"/>
      <c r="C1422" s="183">
        <v>632.0</v>
      </c>
      <c r="D1422" s="170" t="s">
        <v>341</v>
      </c>
      <c r="E1422" s="103"/>
      <c r="F1422" s="171">
        <v>0.0</v>
      </c>
      <c r="G1422" s="161">
        <f>IFERROR(__xludf.DUMMYFUNCTION("IMPORTRANGE(""https://docs.google.com/spreadsheets/d/12edwXNVQxYT-KeRPeNqQH1Kc9M3cpKVUqs2VaOEA-aw"",""2024!p2310_632"")"),18000.0)</f>
        <v>18000</v>
      </c>
      <c r="H1422" s="105"/>
      <c r="I1422" s="106"/>
      <c r="J1422" s="106"/>
      <c r="K1422" s="108"/>
      <c r="L1422" s="106"/>
      <c r="M1422" s="106"/>
      <c r="N1422" s="106"/>
      <c r="O1422" s="106"/>
      <c r="P1422" s="106"/>
      <c r="Q1422" s="106"/>
      <c r="R1422" s="106"/>
      <c r="S1422" s="106"/>
      <c r="T1422" s="106"/>
      <c r="U1422" s="106"/>
    </row>
    <row r="1423" ht="14.25" customHeight="1">
      <c r="A1423" s="99"/>
      <c r="B1423" s="184">
        <v>2310.0</v>
      </c>
      <c r="E1423" s="174"/>
      <c r="F1423" s="175">
        <f t="shared" ref="F1423:G1423" si="166">SUM(F1422)</f>
        <v>0</v>
      </c>
      <c r="G1423" s="175">
        <f t="shared" si="166"/>
        <v>18000</v>
      </c>
      <c r="H1423" s="105"/>
      <c r="I1423" s="106"/>
      <c r="J1423" s="106"/>
      <c r="K1423" s="108"/>
      <c r="L1423" s="106"/>
      <c r="M1423" s="106"/>
      <c r="N1423" s="106"/>
      <c r="O1423" s="106"/>
      <c r="P1423" s="106"/>
      <c r="Q1423" s="106"/>
      <c r="R1423" s="106"/>
      <c r="S1423" s="106"/>
      <c r="T1423" s="106"/>
      <c r="U1423" s="106"/>
    </row>
    <row r="1424" ht="14.25" customHeight="1">
      <c r="A1424" s="8"/>
      <c r="B1424" s="9"/>
      <c r="C1424" s="17"/>
      <c r="D1424" s="77"/>
      <c r="E1424" s="160"/>
      <c r="F1424" s="13"/>
      <c r="G1424" s="13"/>
      <c r="H1424" s="15"/>
      <c r="K1424" s="16"/>
    </row>
    <row r="1425" ht="14.25" customHeight="1">
      <c r="A1425" s="8"/>
      <c r="B1425" s="176">
        <v>3110.0</v>
      </c>
      <c r="C1425" s="157"/>
      <c r="D1425" s="177" t="s">
        <v>343</v>
      </c>
      <c r="E1425" s="157"/>
      <c r="F1425" s="53">
        <v>2023.0</v>
      </c>
      <c r="G1425" s="55">
        <v>2024.0</v>
      </c>
      <c r="H1425" s="15"/>
      <c r="K1425" s="16"/>
    </row>
    <row r="1426" ht="14.25" customHeight="1">
      <c r="A1426" s="8"/>
      <c r="C1426" s="178">
        <v>609.0</v>
      </c>
      <c r="D1426" s="159" t="s">
        <v>333</v>
      </c>
      <c r="E1426" s="160"/>
      <c r="F1426" s="36">
        <v>0.0</v>
      </c>
      <c r="G1426" s="161">
        <f>IFERROR(__xludf.DUMMYFUNCTION("IMPORTRANGE(""https://docs.google.com/spreadsheets/d/12edwXNVQxYT-KeRPeNqQH1Kc9M3cpKVUqs2VaOEA-aw"",""2024!p3110_609"")"),150000.0)</f>
        <v>150000</v>
      </c>
      <c r="H1426" s="15"/>
      <c r="K1426" s="16"/>
    </row>
    <row r="1427" ht="14.25" customHeight="1">
      <c r="A1427" s="8"/>
      <c r="B1427" s="180">
        <v>3110.0</v>
      </c>
      <c r="E1427" s="162"/>
      <c r="F1427" s="40">
        <f t="shared" ref="F1427:G1427" si="167">SUM(F1426)</f>
        <v>0</v>
      </c>
      <c r="G1427" s="40">
        <f t="shared" si="167"/>
        <v>150000</v>
      </c>
      <c r="H1427" s="15"/>
      <c r="K1427" s="16"/>
    </row>
    <row r="1428" ht="14.25" customHeight="1">
      <c r="A1428" s="8"/>
      <c r="B1428" s="9"/>
      <c r="C1428" s="17"/>
      <c r="D1428" s="77"/>
      <c r="E1428" s="160"/>
      <c r="F1428" s="13"/>
      <c r="G1428" s="13"/>
      <c r="H1428" s="15"/>
      <c r="K1428" s="16"/>
    </row>
    <row r="1429" ht="14.25" customHeight="1">
      <c r="A1429" s="163"/>
      <c r="B1429" s="164">
        <v>3261.0</v>
      </c>
      <c r="C1429" s="165"/>
      <c r="D1429" s="166" t="s">
        <v>117</v>
      </c>
      <c r="E1429" s="165"/>
      <c r="F1429" s="167">
        <v>2023.0</v>
      </c>
      <c r="G1429" s="168">
        <v>2024.0</v>
      </c>
      <c r="H1429" s="181"/>
      <c r="I1429" s="106"/>
      <c r="J1429" s="106"/>
      <c r="K1429" s="108"/>
      <c r="L1429" s="106"/>
      <c r="M1429" s="106"/>
      <c r="N1429" s="106"/>
      <c r="O1429" s="106"/>
      <c r="P1429" s="106"/>
      <c r="Q1429" s="106"/>
      <c r="R1429" s="106"/>
      <c r="S1429" s="106"/>
      <c r="T1429" s="106"/>
      <c r="U1429" s="106"/>
    </row>
    <row r="1430" ht="14.25" customHeight="1">
      <c r="A1430" s="99"/>
      <c r="B1430" s="182"/>
      <c r="C1430" s="183">
        <v>629.0</v>
      </c>
      <c r="D1430" s="170" t="s">
        <v>344</v>
      </c>
      <c r="E1430" s="103"/>
      <c r="F1430" s="171">
        <v>0.0</v>
      </c>
      <c r="G1430" s="161">
        <f>IFERROR(__xludf.DUMMYFUNCTION("IMPORTRANGE(""https://docs.google.com/spreadsheets/d/12edwXNVQxYT-KeRPeNqQH1Kc9M3cpKVUqs2VaOEA-aw"",""2024!p3261_629"")"),6000.0)</f>
        <v>6000</v>
      </c>
      <c r="H1430" s="105"/>
      <c r="I1430" s="106"/>
      <c r="J1430" s="106"/>
      <c r="K1430" s="108"/>
      <c r="L1430" s="106"/>
      <c r="M1430" s="106"/>
      <c r="N1430" s="106"/>
      <c r="O1430" s="106"/>
      <c r="P1430" s="106"/>
      <c r="Q1430" s="106"/>
      <c r="R1430" s="106"/>
      <c r="S1430" s="106"/>
      <c r="T1430" s="106"/>
      <c r="U1430" s="106"/>
    </row>
    <row r="1431" ht="14.25" customHeight="1">
      <c r="A1431" s="99"/>
      <c r="B1431" s="184">
        <v>3261.0</v>
      </c>
      <c r="E1431" s="174"/>
      <c r="F1431" s="175">
        <f t="shared" ref="F1431:G1431" si="168">SUM(F1430)</f>
        <v>0</v>
      </c>
      <c r="G1431" s="175">
        <f t="shared" si="168"/>
        <v>6000</v>
      </c>
      <c r="H1431" s="105"/>
      <c r="I1431" s="106"/>
      <c r="J1431" s="106"/>
      <c r="K1431" s="108"/>
      <c r="L1431" s="106"/>
      <c r="M1431" s="106"/>
      <c r="N1431" s="106"/>
      <c r="O1431" s="106"/>
      <c r="P1431" s="106"/>
      <c r="Q1431" s="106"/>
      <c r="R1431" s="106"/>
      <c r="S1431" s="106"/>
      <c r="T1431" s="106"/>
      <c r="U1431" s="106"/>
    </row>
    <row r="1432" ht="14.25" customHeight="1">
      <c r="A1432" s="8"/>
      <c r="B1432" s="9"/>
      <c r="C1432" s="17"/>
      <c r="D1432" s="77"/>
      <c r="E1432" s="160"/>
      <c r="F1432" s="13"/>
      <c r="G1432" s="13"/>
      <c r="H1432" s="15"/>
      <c r="K1432" s="16"/>
    </row>
    <row r="1433" ht="14.25" customHeight="1">
      <c r="A1433" s="163"/>
      <c r="B1433" s="164">
        <v>3262.0</v>
      </c>
      <c r="C1433" s="165"/>
      <c r="D1433" s="166" t="s">
        <v>118</v>
      </c>
      <c r="E1433" s="165"/>
      <c r="F1433" s="167">
        <v>2023.0</v>
      </c>
      <c r="G1433" s="168">
        <v>2024.0</v>
      </c>
      <c r="H1433" s="181"/>
      <c r="I1433" s="106"/>
      <c r="J1433" s="106"/>
      <c r="K1433" s="108"/>
      <c r="L1433" s="106"/>
      <c r="M1433" s="106"/>
      <c r="N1433" s="106"/>
      <c r="O1433" s="106"/>
      <c r="P1433" s="106"/>
      <c r="Q1433" s="106"/>
      <c r="R1433" s="106"/>
      <c r="S1433" s="106"/>
      <c r="T1433" s="106"/>
      <c r="U1433" s="106"/>
    </row>
    <row r="1434" ht="14.25" customHeight="1">
      <c r="A1434" s="99"/>
      <c r="B1434" s="182"/>
      <c r="C1434" s="183">
        <v>629.0</v>
      </c>
      <c r="D1434" s="170" t="s">
        <v>344</v>
      </c>
      <c r="E1434" s="103"/>
      <c r="F1434" s="171">
        <v>0.0</v>
      </c>
      <c r="G1434" s="161">
        <f>IFERROR(__xludf.DUMMYFUNCTION("IMPORTRANGE(""https://docs.google.com/spreadsheets/d/12edwXNVQxYT-KeRPeNqQH1Kc9M3cpKVUqs2VaOEA-aw"",""2024!p3262_629"")"),11000.0)</f>
        <v>11000</v>
      </c>
      <c r="H1434" s="105"/>
      <c r="I1434" s="106"/>
      <c r="J1434" s="106"/>
      <c r="K1434" s="108"/>
      <c r="L1434" s="106"/>
      <c r="M1434" s="106"/>
      <c r="N1434" s="106"/>
      <c r="O1434" s="106"/>
      <c r="P1434" s="106"/>
      <c r="Q1434" s="106"/>
      <c r="R1434" s="106"/>
      <c r="S1434" s="106"/>
      <c r="T1434" s="106"/>
      <c r="U1434" s="106"/>
    </row>
    <row r="1435" ht="14.25" customHeight="1">
      <c r="A1435" s="99"/>
      <c r="B1435" s="184">
        <v>3262.0</v>
      </c>
      <c r="E1435" s="174"/>
      <c r="F1435" s="175">
        <f t="shared" ref="F1435:G1435" si="169">SUM(F1434)</f>
        <v>0</v>
      </c>
      <c r="G1435" s="175">
        <f t="shared" si="169"/>
        <v>11000</v>
      </c>
      <c r="H1435" s="105"/>
      <c r="I1435" s="106"/>
      <c r="J1435" s="106"/>
      <c r="K1435" s="108"/>
      <c r="L1435" s="106"/>
      <c r="M1435" s="106"/>
      <c r="N1435" s="106"/>
      <c r="O1435" s="106"/>
      <c r="P1435" s="106"/>
      <c r="Q1435" s="106"/>
      <c r="R1435" s="106"/>
      <c r="S1435" s="106"/>
      <c r="T1435" s="106"/>
      <c r="U1435" s="106"/>
    </row>
    <row r="1436" ht="14.25" customHeight="1">
      <c r="A1436" s="8"/>
      <c r="B1436" s="9"/>
      <c r="C1436" s="17"/>
      <c r="D1436" s="77"/>
      <c r="E1436" s="160"/>
      <c r="F1436" s="13"/>
      <c r="G1436" s="13"/>
      <c r="H1436" s="15"/>
      <c r="K1436" s="16"/>
    </row>
    <row r="1437" ht="14.25" customHeight="1">
      <c r="A1437" s="163"/>
      <c r="B1437" s="164">
        <v>3321.0</v>
      </c>
      <c r="C1437" s="165"/>
      <c r="D1437" s="166" t="s">
        <v>120</v>
      </c>
      <c r="E1437" s="165"/>
      <c r="F1437" s="167">
        <v>2023.0</v>
      </c>
      <c r="G1437" s="168">
        <v>2024.0</v>
      </c>
      <c r="H1437" s="181"/>
      <c r="I1437" s="106"/>
      <c r="J1437" s="106"/>
      <c r="K1437" s="108"/>
      <c r="L1437" s="106"/>
      <c r="M1437" s="106"/>
      <c r="N1437" s="106"/>
      <c r="O1437" s="106"/>
      <c r="P1437" s="106"/>
      <c r="Q1437" s="106"/>
      <c r="R1437" s="106"/>
      <c r="S1437" s="106"/>
      <c r="T1437" s="106"/>
      <c r="U1437" s="106"/>
    </row>
    <row r="1438" ht="14.25" customHeight="1">
      <c r="A1438" s="99"/>
      <c r="B1438" s="182"/>
      <c r="C1438" s="183">
        <v>626.0</v>
      </c>
      <c r="D1438" s="170" t="s">
        <v>345</v>
      </c>
      <c r="E1438" s="103"/>
      <c r="F1438" s="171">
        <v>0.0</v>
      </c>
      <c r="G1438" s="161">
        <f>IFERROR(__xludf.DUMMYFUNCTION("IMPORTRANGE(""https://docs.google.com/spreadsheets/d/12edwXNVQxYT-KeRPeNqQH1Kc9M3cpKVUqs2VaOEA-aw"",""2024!p3321_626"")"),9700.0)</f>
        <v>9700</v>
      </c>
      <c r="H1438" s="105"/>
      <c r="I1438" s="106"/>
      <c r="J1438" s="106"/>
      <c r="K1438" s="108"/>
      <c r="L1438" s="106"/>
      <c r="M1438" s="106"/>
      <c r="N1438" s="106"/>
      <c r="O1438" s="106"/>
      <c r="P1438" s="106"/>
      <c r="Q1438" s="106"/>
      <c r="R1438" s="106"/>
      <c r="S1438" s="106"/>
      <c r="T1438" s="106"/>
      <c r="U1438" s="106"/>
    </row>
    <row r="1439" ht="14.25" customHeight="1">
      <c r="A1439" s="99"/>
      <c r="B1439" s="182"/>
      <c r="C1439" s="183">
        <v>635.0</v>
      </c>
      <c r="D1439" s="170" t="s">
        <v>346</v>
      </c>
      <c r="E1439" s="103"/>
      <c r="F1439" s="171">
        <v>0.0</v>
      </c>
      <c r="G1439" s="161">
        <f>IFERROR(__xludf.DUMMYFUNCTION("IMPORTRANGE(""https://docs.google.com/spreadsheets/d/12edwXNVQxYT-KeRPeNqQH1Kc9M3cpKVUqs2VaOEA-aw"",""2024!p3321_635"")"),14000.0)</f>
        <v>14000</v>
      </c>
      <c r="H1439" s="105"/>
      <c r="I1439" s="106"/>
      <c r="J1439" s="106"/>
      <c r="K1439" s="108"/>
      <c r="L1439" s="106"/>
      <c r="M1439" s="106"/>
      <c r="N1439" s="106"/>
      <c r="O1439" s="106"/>
      <c r="P1439" s="106"/>
      <c r="Q1439" s="106"/>
      <c r="R1439" s="106"/>
      <c r="S1439" s="106"/>
      <c r="T1439" s="106"/>
      <c r="U1439" s="106"/>
    </row>
    <row r="1440" ht="14.25" customHeight="1">
      <c r="A1440" s="99"/>
      <c r="B1440" s="184">
        <v>3321.0</v>
      </c>
      <c r="E1440" s="174"/>
      <c r="F1440" s="175">
        <f>SUM(F1438)</f>
        <v>0</v>
      </c>
      <c r="G1440" s="175">
        <f>SUM(G1438:G1439)</f>
        <v>23700</v>
      </c>
      <c r="H1440" s="105"/>
      <c r="I1440" s="106"/>
      <c r="J1440" s="106"/>
      <c r="K1440" s="108"/>
      <c r="L1440" s="106"/>
      <c r="M1440" s="106"/>
      <c r="N1440" s="106"/>
      <c r="O1440" s="106"/>
      <c r="P1440" s="106"/>
      <c r="Q1440" s="106"/>
      <c r="R1440" s="106"/>
      <c r="S1440" s="106"/>
      <c r="T1440" s="106"/>
      <c r="U1440" s="106"/>
    </row>
    <row r="1441" ht="14.25" customHeight="1">
      <c r="A1441" s="8"/>
      <c r="B1441" s="9"/>
      <c r="C1441" s="17"/>
      <c r="D1441" s="77"/>
      <c r="E1441" s="160"/>
      <c r="F1441" s="13"/>
      <c r="G1441" s="13"/>
      <c r="H1441" s="15"/>
      <c r="K1441" s="16"/>
    </row>
    <row r="1442" ht="14.25" customHeight="1">
      <c r="A1442" s="163"/>
      <c r="B1442" s="164">
        <v>3330.0</v>
      </c>
      <c r="C1442" s="165"/>
      <c r="D1442" s="166" t="s">
        <v>260</v>
      </c>
      <c r="E1442" s="165"/>
      <c r="F1442" s="167">
        <v>2023.0</v>
      </c>
      <c r="G1442" s="168">
        <v>2024.0</v>
      </c>
      <c r="H1442" s="181"/>
      <c r="I1442" s="106"/>
      <c r="J1442" s="106"/>
      <c r="K1442" s="108"/>
      <c r="L1442" s="106"/>
      <c r="M1442" s="106"/>
      <c r="N1442" s="106"/>
      <c r="O1442" s="106"/>
      <c r="P1442" s="106"/>
      <c r="Q1442" s="106"/>
      <c r="R1442" s="106"/>
      <c r="S1442" s="106"/>
      <c r="T1442" s="106"/>
      <c r="U1442" s="106"/>
    </row>
    <row r="1443" ht="14.25" customHeight="1">
      <c r="A1443" s="99"/>
      <c r="B1443" s="182"/>
      <c r="C1443" s="183">
        <v>650.0</v>
      </c>
      <c r="D1443" s="170" t="s">
        <v>347</v>
      </c>
      <c r="E1443" s="103"/>
      <c r="F1443" s="171">
        <v>0.0</v>
      </c>
      <c r="G1443" s="161">
        <f>IFERROR(__xludf.DUMMYFUNCTION("IMPORTRANGE(""https://docs.google.com/spreadsheets/d/12edwXNVQxYT-KeRPeNqQH1Kc9M3cpKVUqs2VaOEA-aw"",""2024!p3330_650"")"),40000.0)</f>
        <v>40000</v>
      </c>
      <c r="H1443" s="105"/>
      <c r="I1443" s="106"/>
      <c r="J1443" s="106"/>
      <c r="K1443" s="108"/>
      <c r="L1443" s="106"/>
      <c r="M1443" s="106"/>
      <c r="N1443" s="106"/>
      <c r="O1443" s="106"/>
      <c r="P1443" s="106"/>
      <c r="Q1443" s="106"/>
      <c r="R1443" s="106"/>
      <c r="S1443" s="106"/>
      <c r="T1443" s="106"/>
      <c r="U1443" s="106"/>
    </row>
    <row r="1444" ht="14.25" customHeight="1">
      <c r="A1444" s="99"/>
      <c r="B1444" s="184">
        <v>3330.0</v>
      </c>
      <c r="E1444" s="174"/>
      <c r="F1444" s="175">
        <f t="shared" ref="F1444:G1444" si="170">SUM(F1443)</f>
        <v>0</v>
      </c>
      <c r="G1444" s="175">
        <f t="shared" si="170"/>
        <v>40000</v>
      </c>
      <c r="H1444" s="105"/>
      <c r="I1444" s="106"/>
      <c r="J1444" s="106"/>
      <c r="K1444" s="108"/>
      <c r="L1444" s="106"/>
      <c r="M1444" s="106"/>
      <c r="N1444" s="106"/>
      <c r="O1444" s="106"/>
      <c r="P1444" s="106"/>
      <c r="Q1444" s="106"/>
      <c r="R1444" s="106"/>
      <c r="S1444" s="106"/>
      <c r="T1444" s="106"/>
      <c r="U1444" s="106"/>
    </row>
    <row r="1445" ht="14.25" customHeight="1">
      <c r="A1445" s="99"/>
      <c r="B1445" s="184"/>
      <c r="C1445" s="184"/>
      <c r="D1445" s="184"/>
      <c r="E1445" s="185"/>
      <c r="F1445" s="186"/>
      <c r="G1445" s="186"/>
      <c r="H1445" s="105"/>
      <c r="I1445" s="106"/>
      <c r="J1445" s="106"/>
      <c r="K1445" s="108"/>
      <c r="L1445" s="106"/>
      <c r="M1445" s="106"/>
      <c r="N1445" s="106"/>
      <c r="O1445" s="106"/>
      <c r="P1445" s="106"/>
      <c r="Q1445" s="106"/>
      <c r="R1445" s="106"/>
      <c r="S1445" s="106"/>
      <c r="T1445" s="106"/>
      <c r="U1445" s="106"/>
    </row>
    <row r="1446" ht="14.25" customHeight="1">
      <c r="A1446" s="163"/>
      <c r="B1446" s="164">
        <v>3340.0</v>
      </c>
      <c r="C1446" s="165"/>
      <c r="D1446" s="166" t="s">
        <v>348</v>
      </c>
      <c r="E1446" s="165"/>
      <c r="F1446" s="167">
        <v>2023.0</v>
      </c>
      <c r="G1446" s="168">
        <v>2024.0</v>
      </c>
      <c r="H1446" s="181"/>
      <c r="I1446" s="106"/>
      <c r="J1446" s="106"/>
      <c r="K1446" s="108"/>
      <c r="L1446" s="106"/>
      <c r="M1446" s="106"/>
      <c r="N1446" s="106"/>
      <c r="O1446" s="106"/>
      <c r="P1446" s="106"/>
      <c r="Q1446" s="106"/>
      <c r="R1446" s="106"/>
      <c r="S1446" s="106"/>
      <c r="T1446" s="106"/>
      <c r="U1446" s="106"/>
    </row>
    <row r="1447" ht="14.25" customHeight="1">
      <c r="A1447" s="99"/>
      <c r="B1447" s="182"/>
      <c r="C1447" s="183">
        <v>623.0</v>
      </c>
      <c r="D1447" s="170" t="s">
        <v>340</v>
      </c>
      <c r="E1447" s="103"/>
      <c r="F1447" s="171">
        <v>0.0</v>
      </c>
      <c r="G1447" s="161">
        <f>IFERROR(__xludf.DUMMYFUNCTION("IMPORTRANGE(""https://docs.google.com/spreadsheets/d/12edwXNVQxYT-KeRPeNqQH1Kc9M3cpKVUqs2VaOEA-aw"",""2024!p3340_623"")"),12500.0)</f>
        <v>12500</v>
      </c>
      <c r="H1447" s="105"/>
      <c r="I1447" s="106"/>
      <c r="J1447" s="106"/>
      <c r="K1447" s="108"/>
      <c r="L1447" s="106"/>
      <c r="M1447" s="106"/>
      <c r="N1447" s="106"/>
      <c r="O1447" s="106"/>
      <c r="P1447" s="106"/>
      <c r="Q1447" s="106"/>
      <c r="R1447" s="106"/>
      <c r="S1447" s="106"/>
      <c r="T1447" s="106"/>
      <c r="U1447" s="106"/>
    </row>
    <row r="1448" ht="14.25" customHeight="1">
      <c r="A1448" s="99"/>
      <c r="B1448" s="182"/>
      <c r="C1448" s="183">
        <v>632.0</v>
      </c>
      <c r="D1448" s="170" t="s">
        <v>341</v>
      </c>
      <c r="E1448" s="103"/>
      <c r="F1448" s="171">
        <v>0.0</v>
      </c>
      <c r="G1448" s="161">
        <f>IFERROR(__xludf.DUMMYFUNCTION("IMPORTRANGE(""https://docs.google.com/spreadsheets/d/12edwXNVQxYT-KeRPeNqQH1Kc9M3cpKVUqs2VaOEA-aw"",""2024!p3340_632"")"),650000.0)</f>
        <v>650000</v>
      </c>
      <c r="H1448" s="105"/>
      <c r="I1448" s="106"/>
      <c r="J1448" s="106"/>
      <c r="K1448" s="108"/>
      <c r="L1448" s="106"/>
      <c r="M1448" s="106"/>
      <c r="N1448" s="106"/>
      <c r="O1448" s="106"/>
      <c r="P1448" s="106"/>
      <c r="Q1448" s="106"/>
      <c r="R1448" s="106"/>
      <c r="S1448" s="106"/>
      <c r="T1448" s="106"/>
      <c r="U1448" s="106"/>
    </row>
    <row r="1449" ht="14.25" customHeight="1">
      <c r="A1449" s="99"/>
      <c r="B1449" s="184">
        <v>3321.0</v>
      </c>
      <c r="E1449" s="174"/>
      <c r="F1449" s="175">
        <f>SUM(F1447)</f>
        <v>0</v>
      </c>
      <c r="G1449" s="175">
        <f>SUM(G1447:G1448)</f>
        <v>662500</v>
      </c>
      <c r="H1449" s="105"/>
      <c r="I1449" s="106"/>
      <c r="J1449" s="106"/>
      <c r="K1449" s="108"/>
      <c r="L1449" s="106"/>
      <c r="M1449" s="106"/>
      <c r="N1449" s="106"/>
      <c r="O1449" s="106"/>
      <c r="P1449" s="106"/>
      <c r="Q1449" s="106"/>
      <c r="R1449" s="106"/>
      <c r="S1449" s="106"/>
      <c r="T1449" s="106"/>
      <c r="U1449" s="106"/>
    </row>
    <row r="1450" ht="14.25" customHeight="1">
      <c r="A1450" s="99"/>
      <c r="B1450" s="184"/>
      <c r="C1450" s="184"/>
      <c r="D1450" s="184"/>
      <c r="E1450" s="185"/>
      <c r="F1450" s="186"/>
      <c r="G1450" s="186"/>
      <c r="H1450" s="105"/>
      <c r="I1450" s="106"/>
      <c r="J1450" s="106"/>
      <c r="K1450" s="108"/>
      <c r="L1450" s="106"/>
      <c r="M1450" s="106"/>
      <c r="N1450" s="106"/>
      <c r="O1450" s="106"/>
      <c r="P1450" s="106"/>
      <c r="Q1450" s="106"/>
      <c r="R1450" s="106"/>
      <c r="S1450" s="106"/>
      <c r="T1450" s="106"/>
      <c r="U1450" s="106"/>
    </row>
    <row r="1451" ht="14.25" customHeight="1">
      <c r="A1451" s="163"/>
      <c r="B1451" s="164">
        <v>3370.0</v>
      </c>
      <c r="C1451" s="165"/>
      <c r="D1451" s="166" t="s">
        <v>122</v>
      </c>
      <c r="E1451" s="165"/>
      <c r="F1451" s="167">
        <v>2023.0</v>
      </c>
      <c r="G1451" s="168">
        <v>2024.0</v>
      </c>
      <c r="H1451" s="181"/>
      <c r="I1451" s="106"/>
      <c r="J1451" s="106"/>
      <c r="K1451" s="108"/>
      <c r="L1451" s="106"/>
      <c r="M1451" s="106"/>
      <c r="N1451" s="106"/>
      <c r="O1451" s="106"/>
      <c r="P1451" s="106"/>
      <c r="Q1451" s="106"/>
      <c r="R1451" s="106"/>
      <c r="S1451" s="106"/>
      <c r="T1451" s="106"/>
      <c r="U1451" s="106"/>
    </row>
    <row r="1452" ht="14.25" customHeight="1">
      <c r="A1452" s="99"/>
      <c r="B1452" s="182"/>
      <c r="C1452" s="183">
        <v>632.0</v>
      </c>
      <c r="D1452" s="170" t="s">
        <v>341</v>
      </c>
      <c r="E1452" s="103"/>
      <c r="F1452" s="171">
        <v>0.0</v>
      </c>
      <c r="G1452" s="161">
        <f>IFERROR(__xludf.DUMMYFUNCTION("IMPORTRANGE(""https://docs.google.com/spreadsheets/d/12edwXNVQxYT-KeRPeNqQH1Kc9M3cpKVUqs2VaOEA-aw"",""2024!p3370_632"")"),144595.0)</f>
        <v>144595</v>
      </c>
      <c r="H1452" s="105"/>
      <c r="I1452" s="106"/>
      <c r="J1452" s="106"/>
      <c r="K1452" s="108"/>
      <c r="L1452" s="106"/>
      <c r="M1452" s="106"/>
      <c r="N1452" s="106"/>
      <c r="O1452" s="106"/>
      <c r="P1452" s="106"/>
      <c r="Q1452" s="106"/>
      <c r="R1452" s="106"/>
      <c r="S1452" s="106"/>
      <c r="T1452" s="106"/>
      <c r="U1452" s="106"/>
    </row>
    <row r="1453" ht="14.25" customHeight="1">
      <c r="A1453" s="99"/>
      <c r="B1453" s="184">
        <v>3370.0</v>
      </c>
      <c r="E1453" s="174"/>
      <c r="F1453" s="175">
        <f t="shared" ref="F1453:G1453" si="171">SUM(F1452)</f>
        <v>0</v>
      </c>
      <c r="G1453" s="175">
        <f t="shared" si="171"/>
        <v>144595</v>
      </c>
      <c r="H1453" s="105"/>
      <c r="I1453" s="106"/>
      <c r="J1453" s="106"/>
      <c r="K1453" s="108"/>
      <c r="L1453" s="106"/>
      <c r="M1453" s="106"/>
      <c r="N1453" s="106"/>
      <c r="O1453" s="106"/>
      <c r="P1453" s="106"/>
      <c r="Q1453" s="106"/>
      <c r="R1453" s="106"/>
      <c r="S1453" s="106"/>
      <c r="T1453" s="106"/>
      <c r="U1453" s="106"/>
    </row>
    <row r="1454" ht="14.25" customHeight="1">
      <c r="A1454" s="99"/>
      <c r="B1454" s="184"/>
      <c r="C1454" s="184"/>
      <c r="D1454" s="184"/>
      <c r="E1454" s="185"/>
      <c r="F1454" s="186"/>
      <c r="G1454" s="186"/>
      <c r="H1454" s="105"/>
      <c r="I1454" s="106"/>
      <c r="J1454" s="106"/>
      <c r="K1454" s="108"/>
      <c r="L1454" s="106"/>
      <c r="M1454" s="106"/>
      <c r="N1454" s="106"/>
      <c r="O1454" s="106"/>
      <c r="P1454" s="106"/>
      <c r="Q1454" s="106"/>
      <c r="R1454" s="106"/>
      <c r="S1454" s="106"/>
      <c r="T1454" s="106"/>
      <c r="U1454" s="106"/>
    </row>
    <row r="1455" ht="14.25" customHeight="1">
      <c r="A1455" s="187"/>
      <c r="B1455" s="188">
        <v>3372.0</v>
      </c>
      <c r="C1455" s="189"/>
      <c r="D1455" s="190" t="s">
        <v>266</v>
      </c>
      <c r="E1455" s="189"/>
      <c r="F1455" s="191">
        <v>2023.0</v>
      </c>
      <c r="G1455" s="192">
        <v>2024.0</v>
      </c>
      <c r="H1455" s="193"/>
      <c r="I1455" s="106"/>
      <c r="J1455" s="106"/>
      <c r="K1455" s="108"/>
      <c r="L1455" s="106"/>
      <c r="M1455" s="106"/>
      <c r="N1455" s="106"/>
      <c r="O1455" s="106"/>
      <c r="P1455" s="106"/>
      <c r="Q1455" s="106"/>
      <c r="R1455" s="106"/>
      <c r="S1455" s="106"/>
      <c r="T1455" s="106"/>
      <c r="U1455" s="106"/>
    </row>
    <row r="1456" ht="14.25" customHeight="1">
      <c r="A1456" s="182"/>
      <c r="B1456" s="194"/>
      <c r="C1456" s="195">
        <v>629.0</v>
      </c>
      <c r="D1456" s="196" t="s">
        <v>344</v>
      </c>
      <c r="E1456" s="197"/>
      <c r="F1456" s="198">
        <v>0.0</v>
      </c>
      <c r="G1456" s="172">
        <f>IFERROR(__xludf.DUMMYFUNCTION("IMPORTRANGE(""https://docs.google.com/spreadsheets/d/12edwXNVQxYT-KeRPeNqQH1Kc9M3cpKVUqs2VaOEA-aw"",""2024!p3372_629"")"),7000.0)</f>
        <v>7000</v>
      </c>
      <c r="H1456" s="105"/>
      <c r="I1456" s="106"/>
      <c r="J1456" s="106"/>
      <c r="K1456" s="108"/>
      <c r="L1456" s="106"/>
      <c r="M1456" s="106"/>
      <c r="N1456" s="106"/>
      <c r="O1456" s="106"/>
      <c r="P1456" s="106"/>
      <c r="Q1456" s="106"/>
      <c r="R1456" s="106"/>
      <c r="S1456" s="106"/>
      <c r="T1456" s="106"/>
      <c r="U1456" s="106"/>
    </row>
    <row r="1457" ht="14.25" customHeight="1">
      <c r="A1457" s="182"/>
      <c r="B1457" s="199">
        <v>3372.0</v>
      </c>
      <c r="E1457" s="200"/>
      <c r="F1457" s="201">
        <f t="shared" ref="F1457:G1457" si="172">SUM(F1456)</f>
        <v>0</v>
      </c>
      <c r="G1457" s="201">
        <f t="shared" si="172"/>
        <v>7000</v>
      </c>
      <c r="H1457" s="105"/>
      <c r="I1457" s="106"/>
      <c r="J1457" s="106"/>
      <c r="K1457" s="108"/>
      <c r="L1457" s="106"/>
      <c r="M1457" s="106"/>
      <c r="N1457" s="106"/>
      <c r="O1457" s="106"/>
      <c r="P1457" s="106"/>
      <c r="Q1457" s="106"/>
      <c r="R1457" s="106"/>
      <c r="S1457" s="106"/>
      <c r="T1457" s="106"/>
      <c r="U1457" s="106"/>
    </row>
    <row r="1458" ht="14.25" customHeight="1">
      <c r="A1458" s="99"/>
      <c r="B1458" s="184"/>
      <c r="C1458" s="184"/>
      <c r="D1458" s="184"/>
      <c r="E1458" s="185"/>
      <c r="F1458" s="186"/>
      <c r="G1458" s="186"/>
      <c r="H1458" s="105"/>
      <c r="I1458" s="106"/>
      <c r="J1458" s="106"/>
      <c r="K1458" s="108"/>
      <c r="L1458" s="106"/>
      <c r="M1458" s="106"/>
      <c r="N1458" s="106"/>
      <c r="O1458" s="106"/>
      <c r="P1458" s="106"/>
      <c r="Q1458" s="106"/>
      <c r="R1458" s="106"/>
      <c r="S1458" s="106"/>
      <c r="T1458" s="106"/>
      <c r="U1458" s="106"/>
    </row>
    <row r="1459" ht="14.25" customHeight="1">
      <c r="A1459" s="187"/>
      <c r="B1459" s="188">
        <v>3373.0</v>
      </c>
      <c r="C1459" s="189"/>
      <c r="D1459" s="190" t="s">
        <v>123</v>
      </c>
      <c r="E1459" s="189"/>
      <c r="F1459" s="191">
        <v>2023.0</v>
      </c>
      <c r="G1459" s="192">
        <v>2024.0</v>
      </c>
      <c r="H1459" s="193"/>
      <c r="I1459" s="106"/>
      <c r="J1459" s="106"/>
      <c r="K1459" s="108"/>
      <c r="L1459" s="106"/>
      <c r="M1459" s="106"/>
      <c r="N1459" s="106"/>
      <c r="O1459" s="106"/>
      <c r="P1459" s="106"/>
      <c r="Q1459" s="106"/>
      <c r="R1459" s="106"/>
      <c r="S1459" s="106"/>
      <c r="T1459" s="106"/>
      <c r="U1459" s="106"/>
    </row>
    <row r="1460" ht="14.25" customHeight="1">
      <c r="A1460" s="182"/>
      <c r="B1460" s="194"/>
      <c r="C1460" s="195">
        <v>629.0</v>
      </c>
      <c r="D1460" s="196" t="s">
        <v>349</v>
      </c>
      <c r="E1460" s="197"/>
      <c r="F1460" s="198">
        <v>0.0</v>
      </c>
      <c r="G1460" s="172">
        <f>IFERROR(__xludf.DUMMYFUNCTION("IMPORTRANGE(""https://docs.google.com/spreadsheets/d/12edwXNVQxYT-KeRPeNqQH1Kc9M3cpKVUqs2VaOEA-aw"",""2024!p3373_629"")"),700000.0)</f>
        <v>700000</v>
      </c>
      <c r="H1460" s="105"/>
      <c r="I1460" s="106"/>
      <c r="J1460" s="106"/>
      <c r="K1460" s="108"/>
      <c r="L1460" s="106"/>
      <c r="M1460" s="106"/>
      <c r="N1460" s="106"/>
      <c r="O1460" s="106"/>
      <c r="P1460" s="106"/>
      <c r="Q1460" s="106"/>
      <c r="R1460" s="106"/>
      <c r="S1460" s="106"/>
      <c r="T1460" s="106"/>
      <c r="U1460" s="106"/>
    </row>
    <row r="1461" ht="14.25" customHeight="1">
      <c r="A1461" s="182"/>
      <c r="B1461" s="199">
        <v>3373.0</v>
      </c>
      <c r="E1461" s="200"/>
      <c r="F1461" s="201">
        <f t="shared" ref="F1461:G1461" si="173">SUM(F1460)</f>
        <v>0</v>
      </c>
      <c r="G1461" s="201">
        <f t="shared" si="173"/>
        <v>700000</v>
      </c>
      <c r="H1461" s="105"/>
      <c r="I1461" s="106"/>
      <c r="J1461" s="106"/>
      <c r="K1461" s="108"/>
      <c r="L1461" s="106"/>
      <c r="M1461" s="106"/>
      <c r="N1461" s="106"/>
      <c r="O1461" s="106"/>
      <c r="P1461" s="106"/>
      <c r="Q1461" s="106"/>
      <c r="R1461" s="106"/>
      <c r="S1461" s="106"/>
      <c r="T1461" s="106"/>
      <c r="U1461" s="106"/>
    </row>
    <row r="1462" ht="14.25" customHeight="1">
      <c r="A1462" s="99"/>
      <c r="B1462" s="184"/>
      <c r="C1462" s="184"/>
      <c r="D1462" s="184"/>
      <c r="E1462" s="185"/>
      <c r="F1462" s="186"/>
      <c r="G1462" s="186"/>
      <c r="H1462" s="105"/>
      <c r="I1462" s="106"/>
      <c r="J1462" s="106"/>
      <c r="K1462" s="108"/>
      <c r="L1462" s="106"/>
      <c r="M1462" s="106"/>
      <c r="N1462" s="106"/>
      <c r="O1462" s="106"/>
      <c r="P1462" s="106"/>
      <c r="Q1462" s="106"/>
      <c r="R1462" s="106"/>
      <c r="S1462" s="106"/>
      <c r="T1462" s="106"/>
      <c r="U1462" s="106"/>
    </row>
    <row r="1463" ht="14.25" customHeight="1">
      <c r="A1463" s="187"/>
      <c r="B1463" s="188">
        <v>3380.0</v>
      </c>
      <c r="C1463" s="189"/>
      <c r="D1463" s="190" t="s">
        <v>348</v>
      </c>
      <c r="E1463" s="189"/>
      <c r="F1463" s="191">
        <v>2023.0</v>
      </c>
      <c r="G1463" s="192">
        <v>2024.0</v>
      </c>
      <c r="H1463" s="193"/>
      <c r="I1463" s="106"/>
      <c r="J1463" s="106"/>
      <c r="K1463" s="108"/>
      <c r="L1463" s="106"/>
      <c r="M1463" s="106"/>
      <c r="N1463" s="106"/>
      <c r="O1463" s="106"/>
      <c r="P1463" s="106"/>
      <c r="Q1463" s="106"/>
      <c r="R1463" s="106"/>
      <c r="S1463" s="106"/>
      <c r="T1463" s="106"/>
      <c r="U1463" s="106"/>
    </row>
    <row r="1464" ht="14.25" customHeight="1">
      <c r="A1464" s="182"/>
      <c r="B1464" s="194"/>
      <c r="C1464" s="195">
        <v>623.0</v>
      </c>
      <c r="D1464" s="196" t="s">
        <v>340</v>
      </c>
      <c r="E1464" s="197"/>
      <c r="F1464" s="198">
        <v>0.0</v>
      </c>
      <c r="G1464" s="172">
        <f>IFERROR(__xludf.DUMMYFUNCTION("IMPORTRANGE(""https://docs.google.com/spreadsheets/d/12edwXNVQxYT-KeRPeNqQH1Kc9M3cpKVUqs2VaOEA-aw"",""2024!p3380_623"")"),74000.0)</f>
        <v>74000</v>
      </c>
      <c r="H1464" s="105"/>
      <c r="I1464" s="106"/>
      <c r="J1464" s="106"/>
      <c r="K1464" s="108"/>
      <c r="L1464" s="106"/>
      <c r="M1464" s="106"/>
      <c r="N1464" s="106"/>
      <c r="O1464" s="106"/>
      <c r="P1464" s="106"/>
      <c r="Q1464" s="106"/>
      <c r="R1464" s="106"/>
      <c r="S1464" s="106"/>
      <c r="T1464" s="106"/>
      <c r="U1464" s="106"/>
    </row>
    <row r="1465" ht="14.25" customHeight="1">
      <c r="A1465" s="182"/>
      <c r="B1465" s="199">
        <v>3380.0</v>
      </c>
      <c r="E1465" s="200"/>
      <c r="F1465" s="201">
        <f t="shared" ref="F1465:G1465" si="174">SUM(F1464)</f>
        <v>0</v>
      </c>
      <c r="G1465" s="201">
        <f t="shared" si="174"/>
        <v>74000</v>
      </c>
      <c r="H1465" s="105"/>
      <c r="I1465" s="106"/>
      <c r="J1465" s="106"/>
      <c r="K1465" s="108"/>
      <c r="L1465" s="106"/>
      <c r="M1465" s="106"/>
      <c r="N1465" s="106"/>
      <c r="O1465" s="106"/>
      <c r="P1465" s="106"/>
      <c r="Q1465" s="106"/>
      <c r="R1465" s="106"/>
      <c r="S1465" s="106"/>
      <c r="T1465" s="106"/>
      <c r="U1465" s="106"/>
    </row>
    <row r="1466" ht="14.25" customHeight="1">
      <c r="A1466" s="99"/>
      <c r="B1466" s="184"/>
      <c r="C1466" s="184"/>
      <c r="D1466" s="184"/>
      <c r="E1466" s="185"/>
      <c r="F1466" s="186"/>
      <c r="G1466" s="186"/>
      <c r="H1466" s="105"/>
      <c r="I1466" s="106"/>
      <c r="J1466" s="106"/>
      <c r="K1466" s="108"/>
      <c r="L1466" s="106"/>
      <c r="M1466" s="106"/>
      <c r="N1466" s="106"/>
      <c r="O1466" s="106"/>
      <c r="P1466" s="106"/>
      <c r="Q1466" s="106"/>
      <c r="R1466" s="106"/>
      <c r="S1466" s="106"/>
      <c r="T1466" s="106"/>
      <c r="U1466" s="106"/>
    </row>
    <row r="1467" ht="14.25" customHeight="1">
      <c r="A1467" s="187"/>
      <c r="B1467" s="188">
        <v>3420.0</v>
      </c>
      <c r="C1467" s="189"/>
      <c r="D1467" s="190" t="s">
        <v>126</v>
      </c>
      <c r="E1467" s="189"/>
      <c r="F1467" s="191">
        <v>2023.0</v>
      </c>
      <c r="G1467" s="192">
        <v>2024.0</v>
      </c>
      <c r="H1467" s="193"/>
      <c r="I1467" s="106"/>
      <c r="J1467" s="106"/>
      <c r="K1467" s="108"/>
      <c r="L1467" s="106"/>
      <c r="M1467" s="106"/>
      <c r="N1467" s="106"/>
      <c r="O1467" s="106"/>
      <c r="P1467" s="106"/>
      <c r="Q1467" s="106"/>
      <c r="R1467" s="106"/>
      <c r="S1467" s="106"/>
      <c r="T1467" s="106"/>
      <c r="U1467" s="106"/>
    </row>
    <row r="1468" ht="14.25" customHeight="1">
      <c r="A1468" s="182"/>
      <c r="B1468" s="194"/>
      <c r="C1468" s="195">
        <v>632.0</v>
      </c>
      <c r="D1468" s="196" t="s">
        <v>341</v>
      </c>
      <c r="E1468" s="197"/>
      <c r="F1468" s="198">
        <v>0.0</v>
      </c>
      <c r="G1468" s="172">
        <f>IFERROR(__xludf.DUMMYFUNCTION("IMPORTRANGE(""https://docs.google.com/spreadsheets/d/12edwXNVQxYT-KeRPeNqQH1Kc9M3cpKVUqs2VaOEA-aw"",""2024!p3420_632"")"),2673772.46)</f>
        <v>2673772.46</v>
      </c>
      <c r="H1468" s="105"/>
      <c r="I1468" s="106"/>
      <c r="J1468" s="106"/>
      <c r="K1468" s="108"/>
      <c r="L1468" s="106"/>
      <c r="M1468" s="106"/>
      <c r="N1468" s="106"/>
      <c r="O1468" s="106"/>
      <c r="P1468" s="106"/>
      <c r="Q1468" s="106"/>
      <c r="R1468" s="106"/>
      <c r="S1468" s="106"/>
      <c r="T1468" s="106"/>
      <c r="U1468" s="106"/>
    </row>
    <row r="1469" ht="14.25" customHeight="1">
      <c r="A1469" s="182"/>
      <c r="B1469" s="199">
        <v>3380.0</v>
      </c>
      <c r="E1469" s="200"/>
      <c r="F1469" s="201">
        <f t="shared" ref="F1469:G1469" si="175">SUM(F1468)</f>
        <v>0</v>
      </c>
      <c r="G1469" s="201">
        <f t="shared" si="175"/>
        <v>2673772.46</v>
      </c>
      <c r="H1469" s="105"/>
      <c r="I1469" s="106"/>
      <c r="J1469" s="106"/>
      <c r="K1469" s="108"/>
      <c r="L1469" s="106"/>
      <c r="M1469" s="106"/>
      <c r="N1469" s="106"/>
      <c r="O1469" s="106"/>
      <c r="P1469" s="106"/>
      <c r="Q1469" s="106"/>
      <c r="R1469" s="106"/>
      <c r="S1469" s="106"/>
      <c r="T1469" s="106"/>
      <c r="U1469" s="106"/>
    </row>
    <row r="1470" ht="14.25" customHeight="1">
      <c r="A1470" s="99"/>
      <c r="B1470" s="184"/>
      <c r="C1470" s="184"/>
      <c r="D1470" s="184"/>
      <c r="E1470" s="185"/>
      <c r="F1470" s="186"/>
      <c r="G1470" s="186"/>
      <c r="H1470" s="105"/>
      <c r="I1470" s="106"/>
      <c r="J1470" s="106"/>
      <c r="K1470" s="108"/>
      <c r="L1470" s="106"/>
      <c r="M1470" s="106"/>
      <c r="N1470" s="106"/>
      <c r="O1470" s="106"/>
      <c r="P1470" s="106"/>
      <c r="Q1470" s="106"/>
      <c r="R1470" s="106"/>
      <c r="S1470" s="106"/>
      <c r="T1470" s="106"/>
      <c r="U1470" s="106"/>
    </row>
    <row r="1471" ht="14.25" customHeight="1">
      <c r="A1471" s="187"/>
      <c r="B1471" s="188">
        <v>4320.0</v>
      </c>
      <c r="C1471" s="189"/>
      <c r="D1471" s="190" t="s">
        <v>127</v>
      </c>
      <c r="E1471" s="202"/>
      <c r="F1471" s="203">
        <v>2023.0</v>
      </c>
      <c r="G1471" s="203">
        <v>2024.0</v>
      </c>
      <c r="H1471" s="193"/>
      <c r="I1471" s="106"/>
      <c r="J1471" s="106"/>
      <c r="K1471" s="108"/>
      <c r="L1471" s="106"/>
      <c r="M1471" s="106"/>
      <c r="N1471" s="106"/>
      <c r="O1471" s="106"/>
      <c r="P1471" s="106"/>
      <c r="Q1471" s="106"/>
      <c r="R1471" s="106"/>
      <c r="S1471" s="106"/>
      <c r="T1471" s="106"/>
      <c r="U1471" s="106"/>
    </row>
    <row r="1472" ht="14.25" customHeight="1">
      <c r="A1472" s="182"/>
      <c r="B1472" s="204"/>
      <c r="C1472" s="205">
        <v>609.0</v>
      </c>
      <c r="D1472" s="204" t="s">
        <v>333</v>
      </c>
      <c r="E1472" s="206"/>
      <c r="F1472" s="207">
        <v>0.0</v>
      </c>
      <c r="G1472" s="208">
        <f>IFERROR(__xludf.DUMMYFUNCTION("IMPORTRANGE(""https://docs.google.com/spreadsheets/d/12edwXNVQxYT-KeRPeNqQH1Kc9M3cpKVUqs2VaOEA-aw"",""2024!p4320_609"")"),71988.7)</f>
        <v>71988.7</v>
      </c>
      <c r="H1472" s="105"/>
      <c r="I1472" s="106"/>
      <c r="J1472" s="106"/>
      <c r="K1472" s="108"/>
      <c r="L1472" s="106"/>
      <c r="M1472" s="106"/>
      <c r="N1472" s="106"/>
      <c r="O1472" s="106"/>
      <c r="P1472" s="106"/>
      <c r="Q1472" s="106"/>
      <c r="R1472" s="106"/>
      <c r="S1472" s="106"/>
      <c r="T1472" s="106"/>
      <c r="U1472" s="106"/>
    </row>
    <row r="1473" ht="14.25" customHeight="1">
      <c r="A1473" s="182"/>
      <c r="B1473" s="194"/>
      <c r="C1473" s="209">
        <v>619.0</v>
      </c>
      <c r="D1473" s="194" t="s">
        <v>339</v>
      </c>
      <c r="E1473" s="206"/>
      <c r="F1473" s="207">
        <v>0.0</v>
      </c>
      <c r="G1473" s="208">
        <f>IFERROR(__xludf.DUMMYFUNCTION("IMPORTRANGE(""https://docs.google.com/spreadsheets/d/12edwXNVQxYT-KeRPeNqQH1Kc9M3cpKVUqs2VaOEA-aw"",""2024!p4320_619"")"),422248.58)</f>
        <v>422248.58</v>
      </c>
      <c r="H1473" s="105"/>
      <c r="I1473" s="106"/>
      <c r="J1473" s="106"/>
      <c r="K1473" s="108"/>
      <c r="L1473" s="106"/>
      <c r="M1473" s="106"/>
      <c r="N1473" s="106"/>
      <c r="O1473" s="106"/>
      <c r="P1473" s="106"/>
      <c r="Q1473" s="106"/>
      <c r="R1473" s="106"/>
      <c r="S1473" s="106"/>
      <c r="T1473" s="106"/>
      <c r="U1473" s="106"/>
    </row>
    <row r="1474" ht="14.25" customHeight="1">
      <c r="A1474" s="182"/>
      <c r="B1474" s="194"/>
      <c r="C1474" s="209">
        <v>622.0</v>
      </c>
      <c r="D1474" s="194" t="s">
        <v>341</v>
      </c>
      <c r="E1474" s="206"/>
      <c r="F1474" s="207">
        <v>0.0</v>
      </c>
      <c r="G1474" s="208">
        <f>IFERROR(__xludf.DUMMYFUNCTION("IMPORTRANGE(""https://docs.google.com/spreadsheets/d/12edwXNVQxYT-KeRPeNqQH1Kc9M3cpKVUqs2VaOEA-aw"",""2024!p4320_622"")"),1168659.96)</f>
        <v>1168659.96</v>
      </c>
      <c r="H1474" s="105"/>
      <c r="I1474" s="106"/>
      <c r="J1474" s="106"/>
      <c r="K1474" s="108"/>
      <c r="L1474" s="106"/>
      <c r="M1474" s="106"/>
      <c r="N1474" s="106"/>
      <c r="O1474" s="106"/>
      <c r="P1474" s="106"/>
      <c r="Q1474" s="106"/>
      <c r="R1474" s="106"/>
      <c r="S1474" s="106"/>
      <c r="T1474" s="106"/>
      <c r="U1474" s="106"/>
    </row>
    <row r="1475" ht="14.25" customHeight="1">
      <c r="A1475" s="182"/>
      <c r="B1475" s="194"/>
      <c r="C1475" s="195">
        <v>624.0</v>
      </c>
      <c r="D1475" s="196" t="s">
        <v>350</v>
      </c>
      <c r="E1475" s="206"/>
      <c r="F1475" s="210">
        <v>0.0</v>
      </c>
      <c r="G1475" s="208">
        <f>IFERROR(__xludf.DUMMYFUNCTION("IMPORTRANGE(""https://docs.google.com/spreadsheets/d/12edwXNVQxYT-KeRPeNqQH1Kc9M3cpKVUqs2VaOEA-aw"",""2024!p4320_624"")"),562000.0)</f>
        <v>562000</v>
      </c>
      <c r="H1475" s="105"/>
      <c r="I1475" s="106"/>
      <c r="J1475" s="106"/>
      <c r="K1475" s="108"/>
      <c r="L1475" s="106"/>
      <c r="M1475" s="106"/>
      <c r="N1475" s="106"/>
      <c r="O1475" s="106"/>
      <c r="P1475" s="106"/>
      <c r="Q1475" s="106"/>
      <c r="R1475" s="106"/>
      <c r="S1475" s="106"/>
      <c r="T1475" s="106"/>
      <c r="U1475" s="106"/>
    </row>
    <row r="1476" ht="14.25" customHeight="1">
      <c r="A1476" s="182"/>
      <c r="B1476" s="194"/>
      <c r="C1476" s="209">
        <v>629.0</v>
      </c>
      <c r="D1476" s="194" t="s">
        <v>349</v>
      </c>
      <c r="E1476" s="206"/>
      <c r="F1476" s="207">
        <v>0.0</v>
      </c>
      <c r="G1476" s="208">
        <f>IFERROR(__xludf.DUMMYFUNCTION("IMPORTRANGE(""https://docs.google.com/spreadsheets/d/12edwXNVQxYT-KeRPeNqQH1Kc9M3cpKVUqs2VaOEA-aw"",""2024!p4320_629"")"),240000.0)</f>
        <v>240000</v>
      </c>
      <c r="H1476" s="105"/>
      <c r="I1476" s="106"/>
      <c r="J1476" s="106"/>
      <c r="K1476" s="108"/>
      <c r="L1476" s="106"/>
      <c r="M1476" s="106"/>
      <c r="N1476" s="106"/>
      <c r="O1476" s="106"/>
      <c r="P1476" s="106"/>
      <c r="Q1476" s="106"/>
      <c r="R1476" s="106"/>
      <c r="S1476" s="106"/>
      <c r="T1476" s="106"/>
      <c r="U1476" s="106"/>
    </row>
    <row r="1477" ht="14.25" customHeight="1">
      <c r="A1477" s="182"/>
      <c r="B1477" s="194"/>
      <c r="C1477" s="209">
        <v>689.0</v>
      </c>
      <c r="D1477" s="194" t="s">
        <v>351</v>
      </c>
      <c r="E1477" s="197"/>
      <c r="F1477" s="211">
        <v>0.0</v>
      </c>
      <c r="G1477" s="212">
        <f>IFERROR(__xludf.DUMMYFUNCTION("IMPORTRANGE(""https://docs.google.com/spreadsheets/d/12edwXNVQxYT-KeRPeNqQH1Kc9M3cpKVUqs2VaOEA-aw"",""2024!p4320_689"")"),114000.0)</f>
        <v>114000</v>
      </c>
      <c r="H1477" s="105"/>
      <c r="I1477" s="106"/>
      <c r="J1477" s="106"/>
      <c r="K1477" s="108"/>
      <c r="L1477" s="106"/>
      <c r="M1477" s="106"/>
      <c r="N1477" s="106"/>
      <c r="O1477" s="106"/>
      <c r="P1477" s="106"/>
      <c r="Q1477" s="106"/>
      <c r="R1477" s="106"/>
      <c r="S1477" s="106"/>
      <c r="T1477" s="106"/>
      <c r="U1477" s="106"/>
    </row>
    <row r="1478" ht="14.25" customHeight="1">
      <c r="A1478" s="182"/>
      <c r="B1478" s="213">
        <v>4320.0</v>
      </c>
      <c r="E1478" s="200"/>
      <c r="F1478" s="201">
        <f>SUM(F1472)</f>
        <v>0</v>
      </c>
      <c r="G1478" s="201">
        <f>SUM(G1472:G1477)</f>
        <v>2578897.24</v>
      </c>
      <c r="H1478" s="105"/>
      <c r="I1478" s="106"/>
      <c r="J1478" s="106"/>
      <c r="K1478" s="108"/>
      <c r="L1478" s="106"/>
      <c r="M1478" s="106"/>
      <c r="N1478" s="106"/>
      <c r="O1478" s="106"/>
      <c r="P1478" s="106"/>
      <c r="Q1478" s="106"/>
      <c r="R1478" s="106"/>
      <c r="S1478" s="106"/>
      <c r="T1478" s="106"/>
      <c r="U1478" s="106"/>
    </row>
    <row r="1479" ht="14.25" customHeight="1">
      <c r="A1479" s="99"/>
      <c r="B1479" s="184"/>
      <c r="C1479" s="184"/>
      <c r="D1479" s="184"/>
      <c r="E1479" s="185"/>
      <c r="F1479" s="186"/>
      <c r="G1479" s="186"/>
      <c r="H1479" s="105"/>
      <c r="I1479" s="106"/>
      <c r="J1479" s="106"/>
      <c r="K1479" s="108"/>
      <c r="L1479" s="106"/>
      <c r="M1479" s="106"/>
      <c r="N1479" s="106"/>
      <c r="O1479" s="106"/>
      <c r="P1479" s="106"/>
      <c r="Q1479" s="106"/>
      <c r="R1479" s="106"/>
      <c r="S1479" s="106"/>
      <c r="T1479" s="106"/>
      <c r="U1479" s="106"/>
    </row>
    <row r="1480" ht="14.25" customHeight="1">
      <c r="A1480" s="187"/>
      <c r="B1480" s="188">
        <v>4330.0</v>
      </c>
      <c r="C1480" s="189"/>
      <c r="D1480" s="190" t="s">
        <v>128</v>
      </c>
      <c r="E1480" s="189"/>
      <c r="F1480" s="191">
        <v>2023.0</v>
      </c>
      <c r="G1480" s="192">
        <v>2024.0</v>
      </c>
      <c r="H1480" s="193"/>
      <c r="I1480" s="106"/>
      <c r="J1480" s="106"/>
      <c r="K1480" s="108"/>
      <c r="L1480" s="106"/>
      <c r="M1480" s="106"/>
      <c r="N1480" s="106"/>
      <c r="O1480" s="106"/>
      <c r="P1480" s="106"/>
      <c r="Q1480" s="106"/>
      <c r="R1480" s="106"/>
      <c r="S1480" s="106"/>
      <c r="T1480" s="106"/>
      <c r="U1480" s="106"/>
    </row>
    <row r="1481" ht="14.25" customHeight="1">
      <c r="A1481" s="182"/>
      <c r="B1481" s="194"/>
      <c r="C1481" s="195">
        <v>609.0</v>
      </c>
      <c r="D1481" s="196" t="s">
        <v>333</v>
      </c>
      <c r="E1481" s="197"/>
      <c r="F1481" s="198">
        <v>0.0</v>
      </c>
      <c r="G1481" s="172">
        <f>IFERROR(__xludf.DUMMYFUNCTION("IMPORTRANGE(""https://docs.google.com/spreadsheets/d/12edwXNVQxYT-KeRPeNqQH1Kc9M3cpKVUqs2VaOEA-aw"",""2024!p4330_609"")"),300000.0)</f>
        <v>300000</v>
      </c>
      <c r="H1481" s="105"/>
      <c r="I1481" s="106"/>
      <c r="J1481" s="106"/>
      <c r="K1481" s="108"/>
      <c r="L1481" s="106"/>
      <c r="M1481" s="106"/>
      <c r="N1481" s="106"/>
      <c r="O1481" s="106"/>
      <c r="P1481" s="106"/>
      <c r="Q1481" s="106"/>
      <c r="R1481" s="106"/>
      <c r="S1481" s="106"/>
      <c r="T1481" s="106"/>
      <c r="U1481" s="106"/>
    </row>
    <row r="1482" ht="14.25" customHeight="1">
      <c r="A1482" s="182"/>
      <c r="B1482" s="199">
        <v>4330.0</v>
      </c>
      <c r="E1482" s="200"/>
      <c r="F1482" s="201">
        <f t="shared" ref="F1482:G1482" si="176">SUM(F1481)</f>
        <v>0</v>
      </c>
      <c r="G1482" s="201">
        <f t="shared" si="176"/>
        <v>300000</v>
      </c>
      <c r="H1482" s="105"/>
      <c r="I1482" s="106"/>
      <c r="J1482" s="106"/>
      <c r="K1482" s="108"/>
      <c r="L1482" s="106"/>
      <c r="M1482" s="106"/>
      <c r="N1482" s="106"/>
      <c r="O1482" s="106"/>
      <c r="P1482" s="106"/>
      <c r="Q1482" s="106"/>
      <c r="R1482" s="106"/>
      <c r="S1482" s="106"/>
      <c r="T1482" s="106"/>
      <c r="U1482" s="106"/>
    </row>
    <row r="1483" ht="14.25" customHeight="1">
      <c r="A1483" s="99"/>
      <c r="B1483" s="184"/>
      <c r="C1483" s="184"/>
      <c r="D1483" s="184"/>
      <c r="E1483" s="185"/>
      <c r="F1483" s="186"/>
      <c r="G1483" s="186"/>
      <c r="H1483" s="105"/>
      <c r="I1483" s="106"/>
      <c r="J1483" s="106"/>
      <c r="K1483" s="108"/>
      <c r="L1483" s="106"/>
      <c r="M1483" s="106"/>
      <c r="N1483" s="106"/>
      <c r="O1483" s="106"/>
      <c r="P1483" s="106"/>
      <c r="Q1483" s="106"/>
      <c r="R1483" s="106"/>
      <c r="S1483" s="106"/>
      <c r="T1483" s="106"/>
      <c r="U1483" s="106"/>
    </row>
    <row r="1484" ht="14.25" customHeight="1">
      <c r="A1484" s="187"/>
      <c r="B1484" s="188">
        <v>4540.0</v>
      </c>
      <c r="C1484" s="189"/>
      <c r="D1484" s="190" t="s">
        <v>352</v>
      </c>
      <c r="E1484" s="189"/>
      <c r="F1484" s="191">
        <v>2023.0</v>
      </c>
      <c r="G1484" s="192">
        <v>2024.0</v>
      </c>
      <c r="H1484" s="193"/>
      <c r="I1484" s="106"/>
      <c r="J1484" s="106"/>
      <c r="K1484" s="108"/>
      <c r="L1484" s="106"/>
      <c r="M1484" s="106"/>
      <c r="N1484" s="106"/>
      <c r="O1484" s="106"/>
      <c r="P1484" s="106"/>
      <c r="Q1484" s="106"/>
      <c r="R1484" s="106"/>
      <c r="S1484" s="106"/>
      <c r="T1484" s="106"/>
      <c r="U1484" s="106"/>
    </row>
    <row r="1485" ht="14.25" customHeight="1">
      <c r="A1485" s="182"/>
      <c r="B1485" s="194"/>
      <c r="C1485" s="195">
        <v>609.0</v>
      </c>
      <c r="D1485" s="196" t="s">
        <v>333</v>
      </c>
      <c r="E1485" s="197"/>
      <c r="F1485" s="198">
        <v>0.0</v>
      </c>
      <c r="G1485" s="172">
        <f>IFERROR(__xludf.DUMMYFUNCTION("IMPORTRANGE(""https://docs.google.com/spreadsheets/d/12edwXNVQxYT-KeRPeNqQH1Kc9M3cpKVUqs2VaOEA-aw"",""2024!p4540_619"")"),100000.0)</f>
        <v>100000</v>
      </c>
      <c r="H1485" s="105"/>
      <c r="I1485" s="106"/>
      <c r="J1485" s="106"/>
      <c r="K1485" s="108"/>
      <c r="L1485" s="106"/>
      <c r="M1485" s="106"/>
      <c r="N1485" s="106"/>
      <c r="O1485" s="106"/>
      <c r="P1485" s="106"/>
      <c r="Q1485" s="106"/>
      <c r="R1485" s="106"/>
      <c r="S1485" s="106"/>
      <c r="T1485" s="106"/>
      <c r="U1485" s="106"/>
    </row>
    <row r="1486" ht="14.25" customHeight="1">
      <c r="A1486" s="182"/>
      <c r="B1486" s="199">
        <v>4540.0</v>
      </c>
      <c r="E1486" s="200"/>
      <c r="F1486" s="201">
        <f t="shared" ref="F1486:G1486" si="177">SUM(F1485)</f>
        <v>0</v>
      </c>
      <c r="G1486" s="201">
        <f t="shared" si="177"/>
        <v>100000</v>
      </c>
      <c r="H1486" s="105"/>
      <c r="I1486" s="106"/>
      <c r="J1486" s="106"/>
      <c r="K1486" s="108"/>
      <c r="L1486" s="106"/>
      <c r="M1486" s="106"/>
      <c r="N1486" s="106"/>
      <c r="O1486" s="106"/>
      <c r="P1486" s="106"/>
      <c r="Q1486" s="106"/>
      <c r="R1486" s="106"/>
      <c r="S1486" s="106"/>
      <c r="T1486" s="106"/>
      <c r="U1486" s="106"/>
    </row>
    <row r="1487" ht="14.25" customHeight="1">
      <c r="A1487" s="99"/>
      <c r="B1487" s="184"/>
      <c r="C1487" s="184"/>
      <c r="D1487" s="184"/>
      <c r="E1487" s="185"/>
      <c r="F1487" s="186"/>
      <c r="G1487" s="186"/>
      <c r="H1487" s="105"/>
      <c r="I1487" s="106"/>
      <c r="J1487" s="106"/>
      <c r="K1487" s="108"/>
      <c r="L1487" s="106"/>
      <c r="M1487" s="106"/>
      <c r="N1487" s="106"/>
      <c r="O1487" s="106"/>
      <c r="P1487" s="106"/>
      <c r="Q1487" s="106"/>
      <c r="R1487" s="106"/>
      <c r="S1487" s="106"/>
      <c r="T1487" s="106"/>
      <c r="U1487" s="106"/>
    </row>
    <row r="1488" ht="14.25" customHeight="1">
      <c r="A1488" s="187"/>
      <c r="B1488" s="188">
        <v>9200.0</v>
      </c>
      <c r="C1488" s="189"/>
      <c r="D1488" s="190" t="s">
        <v>147</v>
      </c>
      <c r="E1488" s="189"/>
      <c r="F1488" s="191">
        <v>2023.0</v>
      </c>
      <c r="G1488" s="192">
        <v>2024.0</v>
      </c>
      <c r="H1488" s="193"/>
      <c r="I1488" s="106"/>
      <c r="J1488" s="106"/>
      <c r="K1488" s="108"/>
      <c r="L1488" s="106"/>
      <c r="M1488" s="106"/>
      <c r="N1488" s="106"/>
      <c r="O1488" s="106"/>
      <c r="P1488" s="106"/>
      <c r="Q1488" s="106"/>
      <c r="R1488" s="106"/>
      <c r="S1488" s="106"/>
      <c r="T1488" s="106"/>
      <c r="U1488" s="106"/>
    </row>
    <row r="1489" ht="14.25" customHeight="1">
      <c r="A1489" s="182"/>
      <c r="B1489" s="194"/>
      <c r="C1489" s="195">
        <v>626.0</v>
      </c>
      <c r="D1489" s="196" t="s">
        <v>353</v>
      </c>
      <c r="E1489" s="197"/>
      <c r="F1489" s="198">
        <v>0.0</v>
      </c>
      <c r="G1489" s="172">
        <f>IFERROR(__xludf.DUMMYFUNCTION("IMPORTRANGE(""https://docs.google.com/spreadsheets/d/12edwXNVQxYT-KeRPeNqQH1Kc9M3cpKVUqs2VaOEA-aw"",""2024!p9200_626"")"),201200.0)</f>
        <v>201200</v>
      </c>
      <c r="H1489" s="105"/>
      <c r="I1489" s="106"/>
      <c r="J1489" s="106"/>
      <c r="K1489" s="108"/>
      <c r="L1489" s="106"/>
      <c r="M1489" s="106"/>
      <c r="N1489" s="106"/>
      <c r="O1489" s="106"/>
      <c r="P1489" s="106"/>
      <c r="Q1489" s="106"/>
      <c r="R1489" s="106"/>
      <c r="S1489" s="106"/>
      <c r="T1489" s="106"/>
      <c r="U1489" s="106"/>
    </row>
    <row r="1490" ht="14.25" customHeight="1">
      <c r="A1490" s="182"/>
      <c r="B1490" s="194"/>
      <c r="C1490" s="195">
        <v>629.0</v>
      </c>
      <c r="D1490" s="196" t="s">
        <v>354</v>
      </c>
      <c r="E1490" s="197"/>
      <c r="F1490" s="198">
        <v>0.0</v>
      </c>
      <c r="G1490" s="172">
        <f>IFERROR(__xludf.DUMMYFUNCTION("IMPORTRANGE(""https://docs.google.com/spreadsheets/d/12edwXNVQxYT-KeRPeNqQH1Kc9M3cpKVUqs2VaOEA-aw"",""2024!p9200_629"")"),40000.0)</f>
        <v>40000</v>
      </c>
      <c r="H1490" s="105"/>
      <c r="I1490" s="106"/>
      <c r="J1490" s="106"/>
      <c r="K1490" s="108"/>
      <c r="L1490" s="106"/>
      <c r="M1490" s="106"/>
      <c r="N1490" s="106"/>
      <c r="O1490" s="106"/>
      <c r="P1490" s="106"/>
      <c r="Q1490" s="106"/>
      <c r="R1490" s="106"/>
      <c r="S1490" s="106"/>
      <c r="T1490" s="106"/>
      <c r="U1490" s="106"/>
    </row>
    <row r="1491" ht="14.25" customHeight="1">
      <c r="A1491" s="182"/>
      <c r="B1491" s="199">
        <v>9200.0</v>
      </c>
      <c r="E1491" s="200"/>
      <c r="F1491" s="201">
        <f>SUM(F1490)</f>
        <v>0</v>
      </c>
      <c r="G1491" s="201">
        <f>SUM(G1489:G1490)</f>
        <v>241200</v>
      </c>
      <c r="H1491" s="105"/>
      <c r="I1491" s="106"/>
      <c r="J1491" s="106"/>
      <c r="K1491" s="108"/>
      <c r="L1491" s="106"/>
      <c r="M1491" s="106"/>
      <c r="N1491" s="106"/>
      <c r="O1491" s="106"/>
      <c r="P1491" s="106"/>
      <c r="Q1491" s="106"/>
      <c r="R1491" s="106"/>
      <c r="S1491" s="106"/>
      <c r="T1491" s="106"/>
      <c r="U1491" s="106"/>
    </row>
    <row r="1492" ht="14.25" customHeight="1">
      <c r="A1492" s="8"/>
      <c r="B1492" s="9"/>
      <c r="C1492" s="3"/>
      <c r="D1492" s="38"/>
      <c r="E1492" s="91"/>
      <c r="F1492" s="49"/>
      <c r="G1492" s="214"/>
      <c r="H1492" s="15"/>
      <c r="I1492" s="214" t="s">
        <v>355</v>
      </c>
      <c r="K1492" s="16"/>
    </row>
    <row r="1493" ht="14.25" customHeight="1">
      <c r="A1493" s="187"/>
      <c r="B1493" s="188">
        <v>9290.0</v>
      </c>
      <c r="C1493" s="189"/>
      <c r="D1493" s="190" t="s">
        <v>356</v>
      </c>
      <c r="E1493" s="189"/>
      <c r="F1493" s="191">
        <v>2023.0</v>
      </c>
      <c r="G1493" s="192">
        <v>2024.0</v>
      </c>
      <c r="H1493" s="193"/>
      <c r="I1493" s="106"/>
      <c r="J1493" s="106"/>
      <c r="K1493" s="108"/>
      <c r="L1493" s="106"/>
      <c r="M1493" s="106"/>
      <c r="N1493" s="106"/>
      <c r="O1493" s="106"/>
      <c r="P1493" s="106"/>
      <c r="Q1493" s="106"/>
      <c r="R1493" s="106"/>
      <c r="S1493" s="106"/>
      <c r="T1493" s="106"/>
      <c r="U1493" s="106"/>
    </row>
    <row r="1494" ht="14.25" customHeight="1">
      <c r="A1494" s="182"/>
      <c r="B1494" s="194"/>
      <c r="C1494" s="195">
        <v>632.0</v>
      </c>
      <c r="D1494" s="196" t="s">
        <v>341</v>
      </c>
      <c r="E1494" s="197"/>
      <c r="F1494" s="198">
        <v>0.0</v>
      </c>
      <c r="G1494" s="172">
        <f>IFERROR(__xludf.DUMMYFUNCTION("IMPORTRANGE(""https://docs.google.com/spreadsheets/d/12edwXNVQxYT-KeRPeNqQH1Kc9M3cpKVUqs2VaOEA-aw"",""2024!p9290_632"")"),295000.0)</f>
        <v>295000</v>
      </c>
      <c r="H1494" s="105"/>
      <c r="I1494" s="106"/>
      <c r="J1494" s="106"/>
      <c r="K1494" s="108"/>
      <c r="L1494" s="106"/>
      <c r="M1494" s="106"/>
      <c r="N1494" s="106"/>
      <c r="O1494" s="106"/>
      <c r="P1494" s="106"/>
      <c r="Q1494" s="106"/>
      <c r="R1494" s="106"/>
      <c r="S1494" s="106"/>
      <c r="T1494" s="106"/>
      <c r="U1494" s="106"/>
    </row>
    <row r="1495" ht="14.25" customHeight="1">
      <c r="A1495" s="182"/>
      <c r="B1495" s="199">
        <v>9290.0</v>
      </c>
      <c r="E1495" s="200"/>
      <c r="F1495" s="215">
        <v>0.0</v>
      </c>
      <c r="G1495" s="201">
        <f>SUM(G1494)</f>
        <v>295000</v>
      </c>
      <c r="H1495" s="105"/>
      <c r="I1495" s="106"/>
      <c r="J1495" s="106"/>
      <c r="K1495" s="108"/>
      <c r="L1495" s="106"/>
      <c r="M1495" s="106"/>
      <c r="N1495" s="106"/>
      <c r="O1495" s="106"/>
      <c r="P1495" s="106"/>
      <c r="Q1495" s="106"/>
      <c r="R1495" s="106"/>
      <c r="S1495" s="106"/>
      <c r="T1495" s="106"/>
      <c r="U1495" s="106"/>
    </row>
    <row r="1496" ht="14.25" customHeight="1">
      <c r="A1496" s="8"/>
      <c r="B1496" s="9"/>
      <c r="C1496" s="3"/>
      <c r="D1496" s="38"/>
      <c r="E1496" s="91"/>
      <c r="F1496" s="49"/>
      <c r="G1496" s="214"/>
      <c r="H1496" s="15"/>
      <c r="I1496" s="214"/>
      <c r="K1496" s="16"/>
    </row>
    <row r="1497" ht="14.25" customHeight="1">
      <c r="A1497" s="8"/>
      <c r="B1497" s="9"/>
      <c r="C1497" s="3"/>
      <c r="D1497" s="38" t="s">
        <v>357</v>
      </c>
      <c r="E1497" s="91"/>
      <c r="F1497" s="161">
        <v>0.0</v>
      </c>
      <c r="G1497" s="161">
        <f>SUM(G1377,G1381,G1385,G1390,G1394,G1398,G1402,G1407,G1411,G1415,G1419,G1423,G1427,G1431,G1435,G1440,G1444,G1449,G1453,G1457,G1461,G1465,G1469,G1478,G1482,G1486,G1491,G1495)</f>
        <v>12435470.48</v>
      </c>
      <c r="H1497" s="15" t="str">
        <f t="shared" ref="H1497:H1511" si="178">IFERROR(((G1497-F1497)/F1497), "")</f>
        <v/>
      </c>
      <c r="I1497" s="161">
        <f>IFERROR(__xludf.DUMMYFUNCTION("IMPORTRANGE(""https://docs.google.com/spreadsheets/d/12edwXNVQxYT-KeRPeNqQH1Kc9M3cpKVUqs2VaOEA-aw"",""2024!SUMA_TOTAL"") - G1497"),0.0)</f>
        <v>0</v>
      </c>
      <c r="K1497" s="16"/>
    </row>
    <row r="1498" ht="14.25" customHeight="1">
      <c r="A1498" s="8"/>
      <c r="B1498" s="9"/>
      <c r="C1498" s="3"/>
      <c r="D1498" s="38"/>
      <c r="E1498" s="91"/>
      <c r="F1498" s="49"/>
      <c r="G1498" s="49"/>
      <c r="H1498" s="15" t="str">
        <f t="shared" si="178"/>
        <v/>
      </c>
      <c r="K1498" s="16"/>
    </row>
    <row r="1499" ht="14.25" customHeight="1">
      <c r="A1499" s="8"/>
      <c r="B1499" s="9"/>
      <c r="C1499" s="11"/>
      <c r="D1499" s="12"/>
      <c r="E1499" s="8"/>
      <c r="F1499" s="13"/>
      <c r="G1499" s="13"/>
      <c r="H1499" s="15" t="str">
        <f t="shared" si="178"/>
        <v/>
      </c>
      <c r="K1499" s="16"/>
    </row>
    <row r="1500" ht="14.25" customHeight="1">
      <c r="A1500" s="8"/>
      <c r="B1500" s="9"/>
      <c r="C1500" s="11"/>
      <c r="D1500" s="12"/>
      <c r="E1500" s="8"/>
      <c r="F1500" s="13"/>
      <c r="G1500" s="13"/>
      <c r="H1500" s="15" t="str">
        <f t="shared" si="178"/>
        <v/>
      </c>
      <c r="K1500" s="16"/>
    </row>
    <row r="1501" ht="14.25" customHeight="1">
      <c r="A1501" s="8"/>
      <c r="B1501" s="120" t="s">
        <v>16</v>
      </c>
      <c r="C1501" s="19"/>
      <c r="D1501" s="121" t="s">
        <v>358</v>
      </c>
      <c r="E1501" s="122"/>
      <c r="F1501" s="123"/>
      <c r="G1501" s="123"/>
      <c r="H1501" s="15" t="str">
        <f t="shared" si="178"/>
        <v/>
      </c>
      <c r="K1501" s="16"/>
    </row>
    <row r="1502" ht="14.25" customHeight="1">
      <c r="A1502" s="8"/>
      <c r="B1502" s="124" t="s">
        <v>18</v>
      </c>
      <c r="C1502" s="125" t="s">
        <v>19</v>
      </c>
      <c r="D1502" s="126"/>
      <c r="E1502" s="127"/>
      <c r="F1502" s="128">
        <v>2023.0</v>
      </c>
      <c r="G1502" s="129">
        <v>2024.0</v>
      </c>
      <c r="H1502" s="15">
        <f t="shared" si="178"/>
        <v>0.0004943153732</v>
      </c>
      <c r="K1502" s="16"/>
    </row>
    <row r="1503" ht="14.25" customHeight="1">
      <c r="A1503" s="8"/>
      <c r="B1503" s="9"/>
      <c r="C1503" s="11"/>
      <c r="D1503" s="12"/>
      <c r="E1503" s="8"/>
      <c r="F1503" s="13"/>
      <c r="G1503" s="13"/>
      <c r="H1503" s="15" t="str">
        <f t="shared" si="178"/>
        <v/>
      </c>
      <c r="K1503" s="16"/>
    </row>
    <row r="1504" ht="14.25" customHeight="1">
      <c r="A1504" s="8"/>
      <c r="B1504" s="51">
        <v>1522.0</v>
      </c>
      <c r="C1504" s="216"/>
      <c r="D1504" s="217" t="s">
        <v>359</v>
      </c>
      <c r="E1504" s="218"/>
      <c r="F1504" s="53">
        <v>2023.0</v>
      </c>
      <c r="G1504" s="55">
        <v>2024.0</v>
      </c>
      <c r="H1504" s="15">
        <f t="shared" si="178"/>
        <v>0.0004943153732</v>
      </c>
      <c r="K1504" s="16"/>
    </row>
    <row r="1505" ht="14.25" customHeight="1">
      <c r="A1505" s="8"/>
      <c r="B1505" s="9"/>
      <c r="C1505" s="17" t="s">
        <v>360</v>
      </c>
      <c r="D1505" s="75" t="s">
        <v>361</v>
      </c>
      <c r="E1505" s="65"/>
      <c r="F1505" s="13">
        <v>30000.0</v>
      </c>
      <c r="G1505" s="13">
        <v>30000.0</v>
      </c>
      <c r="H1505" s="15">
        <f t="shared" si="178"/>
        <v>0</v>
      </c>
      <c r="K1505" s="16"/>
    </row>
    <row r="1506" ht="14.25" customHeight="1">
      <c r="A1506" s="8"/>
      <c r="B1506" s="9"/>
      <c r="C1506" s="17" t="s">
        <v>362</v>
      </c>
      <c r="D1506" s="12" t="s">
        <v>363</v>
      </c>
      <c r="E1506" s="65"/>
      <c r="F1506" s="13">
        <v>50000.0</v>
      </c>
      <c r="G1506" s="13">
        <v>50000.0</v>
      </c>
      <c r="H1506" s="15">
        <f t="shared" si="178"/>
        <v>0</v>
      </c>
      <c r="K1506" s="16"/>
    </row>
    <row r="1507" ht="14.25" customHeight="1">
      <c r="A1507" s="8"/>
      <c r="B1507" s="38">
        <v>1522.0</v>
      </c>
      <c r="E1507" s="39"/>
      <c r="F1507" s="40">
        <f t="shared" ref="F1507:G1507" si="179">SUM(F1505:F1506)</f>
        <v>80000</v>
      </c>
      <c r="G1507" s="40">
        <f t="shared" si="179"/>
        <v>80000</v>
      </c>
      <c r="H1507" s="15">
        <f t="shared" si="178"/>
        <v>0</v>
      </c>
      <c r="K1507" s="16"/>
    </row>
    <row r="1508" ht="14.25" customHeight="1">
      <c r="A1508" s="8"/>
      <c r="B1508" s="9"/>
      <c r="C1508" s="11"/>
      <c r="D1508" s="12"/>
      <c r="E1508" s="8"/>
      <c r="F1508" s="13"/>
      <c r="G1508" s="13"/>
      <c r="H1508" s="15" t="str">
        <f t="shared" si="178"/>
        <v/>
      </c>
      <c r="K1508" s="16"/>
    </row>
    <row r="1509" ht="14.25" customHeight="1">
      <c r="A1509" s="8"/>
      <c r="B1509" s="51">
        <v>3360.0</v>
      </c>
      <c r="C1509" s="52"/>
      <c r="D1509" s="53" t="s">
        <v>364</v>
      </c>
      <c r="E1509" s="54"/>
      <c r="F1509" s="53">
        <v>2023.0</v>
      </c>
      <c r="G1509" s="55">
        <v>2024.0</v>
      </c>
      <c r="H1509" s="15">
        <f t="shared" si="178"/>
        <v>0.0004943153732</v>
      </c>
      <c r="K1509" s="16"/>
    </row>
    <row r="1510" ht="14.25" customHeight="1">
      <c r="A1510" s="8"/>
      <c r="B1510" s="9"/>
      <c r="C1510" s="17" t="s">
        <v>360</v>
      </c>
      <c r="D1510" s="12" t="s">
        <v>308</v>
      </c>
      <c r="E1510" s="77"/>
      <c r="F1510" s="13">
        <v>47200.0</v>
      </c>
      <c r="G1510" s="36">
        <v>50000.0</v>
      </c>
      <c r="H1510" s="15">
        <f t="shared" si="178"/>
        <v>0.0593220339</v>
      </c>
      <c r="I1510" s="5" t="s">
        <v>365</v>
      </c>
      <c r="K1510" s="16"/>
    </row>
    <row r="1511" ht="14.25" customHeight="1">
      <c r="A1511" s="8"/>
      <c r="B1511" s="38">
        <v>3360.0</v>
      </c>
      <c r="E1511" s="39"/>
      <c r="F1511" s="40">
        <f t="shared" ref="F1511:G1511" si="180">SUM(F1510)</f>
        <v>47200</v>
      </c>
      <c r="G1511" s="40">
        <f t="shared" si="180"/>
        <v>50000</v>
      </c>
      <c r="H1511" s="15">
        <f t="shared" si="178"/>
        <v>0.0593220339</v>
      </c>
      <c r="K1511" s="16"/>
    </row>
    <row r="1512" ht="14.25" customHeight="1">
      <c r="A1512" s="8"/>
      <c r="B1512" s="9"/>
      <c r="C1512" s="3"/>
      <c r="D1512" s="38"/>
      <c r="E1512" s="91"/>
      <c r="F1512" s="49"/>
      <c r="G1512" s="49"/>
      <c r="H1512" s="15"/>
      <c r="K1512" s="16"/>
    </row>
    <row r="1513" ht="14.25" customHeight="1">
      <c r="A1513" s="8"/>
      <c r="B1513" s="9"/>
      <c r="C1513" s="3"/>
      <c r="D1513" s="38" t="s">
        <v>366</v>
      </c>
      <c r="E1513" s="91"/>
      <c r="F1513" s="92">
        <f t="shared" ref="F1513:G1513" si="181">F1511+F1507</f>
        <v>127200</v>
      </c>
      <c r="G1513" s="92">
        <f t="shared" si="181"/>
        <v>130000</v>
      </c>
      <c r="H1513" s="15">
        <f t="shared" ref="H1513:H1535" si="182">IFERROR(((G1513-F1513)/F1513), "")</f>
        <v>0.02201257862</v>
      </c>
      <c r="K1513" s="16"/>
    </row>
    <row r="1514" ht="14.25" customHeight="1">
      <c r="A1514" s="8"/>
      <c r="B1514" s="9"/>
      <c r="C1514" s="11"/>
      <c r="D1514" s="12"/>
      <c r="E1514" s="8"/>
      <c r="F1514" s="13"/>
      <c r="G1514" s="13"/>
      <c r="H1514" s="15" t="str">
        <f t="shared" si="182"/>
        <v/>
      </c>
      <c r="K1514" s="16"/>
    </row>
    <row r="1515" ht="14.25" customHeight="1">
      <c r="A1515" s="8"/>
      <c r="B1515" s="9"/>
      <c r="C1515" s="11"/>
      <c r="D1515" s="12"/>
      <c r="E1515" s="8"/>
      <c r="F1515" s="13"/>
      <c r="G1515" s="13"/>
      <c r="H1515" s="15" t="str">
        <f t="shared" si="182"/>
        <v/>
      </c>
      <c r="K1515" s="16"/>
    </row>
    <row r="1516" ht="14.25" customHeight="1">
      <c r="A1516" s="8"/>
      <c r="B1516" s="9"/>
      <c r="C1516" s="11"/>
      <c r="D1516" s="12"/>
      <c r="E1516" s="8"/>
      <c r="F1516" s="13"/>
      <c r="G1516" s="13"/>
      <c r="H1516" s="15" t="str">
        <f t="shared" si="182"/>
        <v/>
      </c>
      <c r="K1516" s="16"/>
    </row>
    <row r="1517" ht="14.25" customHeight="1">
      <c r="A1517" s="8"/>
      <c r="B1517" s="219" t="s">
        <v>16</v>
      </c>
      <c r="C1517" s="19"/>
      <c r="D1517" s="20" t="s">
        <v>367</v>
      </c>
      <c r="E1517" s="220"/>
      <c r="F1517" s="221"/>
      <c r="G1517" s="221"/>
      <c r="H1517" s="15" t="str">
        <f t="shared" si="182"/>
        <v/>
      </c>
      <c r="K1517" s="16"/>
    </row>
    <row r="1518" ht="14.25" customHeight="1">
      <c r="A1518" s="8"/>
      <c r="B1518" s="222" t="s">
        <v>18</v>
      </c>
      <c r="C1518" s="223" t="s">
        <v>19</v>
      </c>
      <c r="D1518" s="126"/>
      <c r="E1518" s="224"/>
      <c r="F1518" s="225">
        <v>2023.0</v>
      </c>
      <c r="G1518" s="226">
        <v>2024.0</v>
      </c>
      <c r="H1518" s="15">
        <f t="shared" si="182"/>
        <v>0.0004943153732</v>
      </c>
      <c r="K1518" s="16"/>
    </row>
    <row r="1519" ht="14.25" customHeight="1">
      <c r="A1519" s="8"/>
      <c r="B1519" s="227">
        <v>2210.0</v>
      </c>
      <c r="C1519" s="228"/>
      <c r="D1519" s="229" t="s">
        <v>368</v>
      </c>
      <c r="E1519" s="230"/>
      <c r="F1519" s="53">
        <v>2023.0</v>
      </c>
      <c r="G1519" s="55">
        <v>2024.0</v>
      </c>
      <c r="H1519" s="15">
        <f t="shared" si="182"/>
        <v>0.0004943153732</v>
      </c>
      <c r="K1519" s="16"/>
    </row>
    <row r="1520" ht="14.25" customHeight="1">
      <c r="A1520" s="8"/>
      <c r="B1520" s="231"/>
      <c r="C1520" s="232">
        <v>830.0</v>
      </c>
      <c r="D1520" s="233" t="s">
        <v>369</v>
      </c>
      <c r="E1520" s="234"/>
      <c r="F1520" s="235">
        <v>15000.0</v>
      </c>
      <c r="G1520" s="235">
        <v>15000.0</v>
      </c>
      <c r="H1520" s="15">
        <f t="shared" si="182"/>
        <v>0</v>
      </c>
      <c r="K1520" s="16"/>
    </row>
    <row r="1521" ht="14.25" customHeight="1">
      <c r="A1521" s="8"/>
      <c r="B1521" s="236">
        <v>2210.0</v>
      </c>
      <c r="E1521" s="237"/>
      <c r="F1521" s="40">
        <f t="shared" ref="F1521:G1521" si="183">SUM(F1520)</f>
        <v>15000</v>
      </c>
      <c r="G1521" s="40">
        <f t="shared" si="183"/>
        <v>15000</v>
      </c>
      <c r="H1521" s="15">
        <f t="shared" si="182"/>
        <v>0</v>
      </c>
      <c r="K1521" s="16"/>
    </row>
    <row r="1522" ht="14.25" customHeight="1">
      <c r="A1522" s="8"/>
      <c r="B1522" s="9"/>
      <c r="C1522" s="11"/>
      <c r="D1522" s="12"/>
      <c r="E1522" s="8"/>
      <c r="F1522" s="13"/>
      <c r="G1522" s="13"/>
      <c r="H1522" s="15" t="str">
        <f t="shared" si="182"/>
        <v/>
      </c>
      <c r="K1522" s="16"/>
    </row>
    <row r="1523" ht="14.25" customHeight="1">
      <c r="A1523" s="8"/>
      <c r="B1523" s="9"/>
      <c r="C1523" s="3"/>
      <c r="D1523" s="38" t="s">
        <v>370</v>
      </c>
      <c r="E1523" s="91"/>
      <c r="F1523" s="92">
        <f t="shared" ref="F1523:G1523" si="184">F1521</f>
        <v>15000</v>
      </c>
      <c r="G1523" s="92">
        <f t="shared" si="184"/>
        <v>15000</v>
      </c>
      <c r="H1523" s="15">
        <f t="shared" si="182"/>
        <v>0</v>
      </c>
      <c r="K1523" s="16"/>
    </row>
    <row r="1524" ht="14.25" customHeight="1">
      <c r="A1524" s="8"/>
      <c r="B1524" s="9"/>
      <c r="C1524" s="3"/>
      <c r="D1524" s="38"/>
      <c r="E1524" s="91"/>
      <c r="F1524" s="49"/>
      <c r="G1524" s="49"/>
      <c r="H1524" s="15" t="str">
        <f t="shared" si="182"/>
        <v/>
      </c>
      <c r="K1524" s="16"/>
    </row>
    <row r="1525" ht="14.25" customHeight="1">
      <c r="A1525" s="8"/>
      <c r="B1525" s="9"/>
      <c r="C1525" s="11"/>
      <c r="D1525" s="12"/>
      <c r="E1525" s="8"/>
      <c r="F1525" s="13"/>
      <c r="G1525" s="13"/>
      <c r="H1525" s="15" t="str">
        <f t="shared" si="182"/>
        <v/>
      </c>
      <c r="K1525" s="16"/>
    </row>
    <row r="1526" ht="14.25" customHeight="1">
      <c r="A1526" s="8"/>
      <c r="B1526" s="9"/>
      <c r="C1526" s="11"/>
      <c r="D1526" s="12"/>
      <c r="E1526" s="8"/>
      <c r="F1526" s="13"/>
      <c r="G1526" s="13"/>
      <c r="H1526" s="15" t="str">
        <f t="shared" si="182"/>
        <v/>
      </c>
      <c r="K1526" s="16"/>
    </row>
    <row r="1527" ht="14.25" customHeight="1">
      <c r="A1527" s="8"/>
      <c r="B1527" s="219" t="s">
        <v>16</v>
      </c>
      <c r="C1527" s="19"/>
      <c r="D1527" s="20" t="s">
        <v>371</v>
      </c>
      <c r="E1527" s="220"/>
      <c r="F1527" s="221"/>
      <c r="G1527" s="221"/>
      <c r="H1527" s="15" t="str">
        <f t="shared" si="182"/>
        <v/>
      </c>
      <c r="K1527" s="16"/>
    </row>
    <row r="1528" ht="14.25" customHeight="1">
      <c r="A1528" s="8"/>
      <c r="B1528" s="222" t="s">
        <v>18</v>
      </c>
      <c r="C1528" s="223" t="s">
        <v>19</v>
      </c>
      <c r="D1528" s="126"/>
      <c r="E1528" s="224"/>
      <c r="F1528" s="225">
        <v>2023.0</v>
      </c>
      <c r="G1528" s="226">
        <v>2024.0</v>
      </c>
      <c r="H1528" s="15">
        <f t="shared" si="182"/>
        <v>0.0004943153732</v>
      </c>
      <c r="K1528" s="16"/>
    </row>
    <row r="1529" ht="14.25" customHeight="1">
      <c r="A1529" s="8"/>
      <c r="B1529" s="238" t="s">
        <v>297</v>
      </c>
      <c r="C1529" s="239"/>
      <c r="D1529" s="240" t="s">
        <v>298</v>
      </c>
      <c r="E1529" s="230"/>
      <c r="F1529" s="53">
        <v>2023.0</v>
      </c>
      <c r="G1529" s="55">
        <v>2024.0</v>
      </c>
      <c r="H1529" s="15">
        <f t="shared" si="182"/>
        <v>0.0004943153732</v>
      </c>
      <c r="K1529" s="16"/>
    </row>
    <row r="1530" ht="14.25" customHeight="1">
      <c r="A1530" s="8"/>
      <c r="B1530" s="231"/>
      <c r="C1530" s="232">
        <v>913.0</v>
      </c>
      <c r="D1530" s="233" t="s">
        <v>372</v>
      </c>
      <c r="E1530" s="241"/>
      <c r="F1530" s="235">
        <v>535000.0</v>
      </c>
      <c r="G1530" s="235">
        <v>535000.0</v>
      </c>
      <c r="H1530" s="15">
        <f t="shared" si="182"/>
        <v>0</v>
      </c>
      <c r="K1530" s="16"/>
    </row>
    <row r="1531" ht="14.25" customHeight="1">
      <c r="A1531" s="8"/>
      <c r="B1531" s="242" t="s">
        <v>297</v>
      </c>
      <c r="E1531" s="237"/>
      <c r="F1531" s="40">
        <f t="shared" ref="F1531:G1531" si="185">SUM(F1530)</f>
        <v>535000</v>
      </c>
      <c r="G1531" s="40">
        <f t="shared" si="185"/>
        <v>535000</v>
      </c>
      <c r="H1531" s="15">
        <f t="shared" si="182"/>
        <v>0</v>
      </c>
      <c r="K1531" s="16"/>
    </row>
    <row r="1532" ht="14.25" customHeight="1">
      <c r="A1532" s="8"/>
      <c r="B1532" s="9"/>
      <c r="C1532" s="11"/>
      <c r="D1532" s="12"/>
      <c r="E1532" s="8"/>
      <c r="F1532" s="13"/>
      <c r="G1532" s="13"/>
      <c r="H1532" s="15" t="str">
        <f t="shared" si="182"/>
        <v/>
      </c>
      <c r="K1532" s="16"/>
    </row>
    <row r="1533" ht="14.25" customHeight="1">
      <c r="A1533" s="8"/>
      <c r="B1533" s="9"/>
      <c r="C1533" s="3"/>
      <c r="D1533" s="38" t="s">
        <v>373</v>
      </c>
      <c r="E1533" s="91"/>
      <c r="F1533" s="92">
        <f t="shared" ref="F1533:G1533" si="186">F1531</f>
        <v>535000</v>
      </c>
      <c r="G1533" s="92">
        <f t="shared" si="186"/>
        <v>535000</v>
      </c>
      <c r="H1533" s="15">
        <f t="shared" si="182"/>
        <v>0</v>
      </c>
      <c r="K1533" s="16"/>
    </row>
    <row r="1534" ht="14.25" customHeight="1">
      <c r="A1534" s="8"/>
      <c r="B1534" s="9"/>
      <c r="C1534" s="11"/>
      <c r="D1534" s="12"/>
      <c r="E1534" s="8"/>
      <c r="F1534" s="13"/>
      <c r="G1534" s="13"/>
      <c r="H1534" s="15" t="str">
        <f t="shared" si="182"/>
        <v/>
      </c>
      <c r="K1534" s="16"/>
    </row>
    <row r="1535" ht="14.25" customHeight="1">
      <c r="A1535" s="8"/>
      <c r="B1535" s="9"/>
      <c r="C1535" s="11"/>
      <c r="D1535" s="243" t="s">
        <v>374</v>
      </c>
      <c r="E1535" s="8"/>
      <c r="F1535" s="244">
        <f t="shared" ref="F1535:G1535" si="187">F1533+F1523+F1513+F1497+F1358+F1276+F1261+F483+F1368</f>
        <v>32843259.01</v>
      </c>
      <c r="G1535" s="244">
        <f t="shared" si="187"/>
        <v>49800478.98</v>
      </c>
      <c r="H1535" s="15">
        <f t="shared" si="182"/>
        <v>0.5163074701</v>
      </c>
      <c r="K1535" s="16"/>
    </row>
  </sheetData>
  <mergeCells count="169">
    <mergeCell ref="B3:C3"/>
    <mergeCell ref="D3:D4"/>
    <mergeCell ref="B16:D16"/>
    <mergeCell ref="B27:D27"/>
    <mergeCell ref="B38:D38"/>
    <mergeCell ref="B48:D48"/>
    <mergeCell ref="B62:D62"/>
    <mergeCell ref="B68:D68"/>
    <mergeCell ref="B85:D85"/>
    <mergeCell ref="B103:D103"/>
    <mergeCell ref="B113:D113"/>
    <mergeCell ref="B131:D131"/>
    <mergeCell ref="B144:D144"/>
    <mergeCell ref="B155:D155"/>
    <mergeCell ref="B164:D164"/>
    <mergeCell ref="B181:D181"/>
    <mergeCell ref="B199:D199"/>
    <mergeCell ref="B204:D204"/>
    <mergeCell ref="B220:D220"/>
    <mergeCell ref="B227:D227"/>
    <mergeCell ref="B234:D234"/>
    <mergeCell ref="B247:D247"/>
    <mergeCell ref="B262:D262"/>
    <mergeCell ref="B269:D269"/>
    <mergeCell ref="B282:D282"/>
    <mergeCell ref="B297:D297"/>
    <mergeCell ref="B307:D307"/>
    <mergeCell ref="B318:D318"/>
    <mergeCell ref="B335:D335"/>
    <mergeCell ref="B346:D346"/>
    <mergeCell ref="B362:D362"/>
    <mergeCell ref="B372:D372"/>
    <mergeCell ref="B385:D385"/>
    <mergeCell ref="B396:D396"/>
    <mergeCell ref="B412:D412"/>
    <mergeCell ref="B424:D424"/>
    <mergeCell ref="B438:D438"/>
    <mergeCell ref="B455:D455"/>
    <mergeCell ref="B468:D468"/>
    <mergeCell ref="B481:D481"/>
    <mergeCell ref="B487:C487"/>
    <mergeCell ref="D487:D488"/>
    <mergeCell ref="B512:D512"/>
    <mergeCell ref="B519:D519"/>
    <mergeCell ref="B537:D537"/>
    <mergeCell ref="B557:D557"/>
    <mergeCell ref="B574:D574"/>
    <mergeCell ref="B583:D583"/>
    <mergeCell ref="B589:D589"/>
    <mergeCell ref="B612:D612"/>
    <mergeCell ref="B623:D623"/>
    <mergeCell ref="B646:D646"/>
    <mergeCell ref="B650:D650"/>
    <mergeCell ref="B657:D657"/>
    <mergeCell ref="B661:D661"/>
    <mergeCell ref="B675:D675"/>
    <mergeCell ref="B696:D696"/>
    <mergeCell ref="B714:D714"/>
    <mergeCell ref="B721:D721"/>
    <mergeCell ref="B725:D725"/>
    <mergeCell ref="B743:D743"/>
    <mergeCell ref="B751:D751"/>
    <mergeCell ref="B768:D768"/>
    <mergeCell ref="B780:D780"/>
    <mergeCell ref="B797:D797"/>
    <mergeCell ref="B801:D801"/>
    <mergeCell ref="B807:D807"/>
    <mergeCell ref="B819:D819"/>
    <mergeCell ref="B830:D830"/>
    <mergeCell ref="B851:D851"/>
    <mergeCell ref="B868:D868"/>
    <mergeCell ref="B885:D885"/>
    <mergeCell ref="B901:D901"/>
    <mergeCell ref="B915:D915"/>
    <mergeCell ref="B930:D930"/>
    <mergeCell ref="B946:D946"/>
    <mergeCell ref="B962:D962"/>
    <mergeCell ref="B979:D979"/>
    <mergeCell ref="B996:D996"/>
    <mergeCell ref="B1002:D1002"/>
    <mergeCell ref="B1007:D1007"/>
    <mergeCell ref="B1025:D1025"/>
    <mergeCell ref="B1035:D1035"/>
    <mergeCell ref="B1059:D1059"/>
    <mergeCell ref="B1063:D1063"/>
    <mergeCell ref="B1070:D1070"/>
    <mergeCell ref="B1074:D1074"/>
    <mergeCell ref="B1091:D1091"/>
    <mergeCell ref="B1098:D1098"/>
    <mergeCell ref="B1116:D1116"/>
    <mergeCell ref="B1120:D1120"/>
    <mergeCell ref="B1136:D1136"/>
    <mergeCell ref="B1155:D1155"/>
    <mergeCell ref="B1186:D1186"/>
    <mergeCell ref="B1198:D1198"/>
    <mergeCell ref="B1204:D1204"/>
    <mergeCell ref="B1216:D1216"/>
    <mergeCell ref="B1223:D1223"/>
    <mergeCell ref="B1415:D1415"/>
    <mergeCell ref="B1419:D1419"/>
    <mergeCell ref="B1423:D1423"/>
    <mergeCell ref="B1427:D1427"/>
    <mergeCell ref="B1431:D1431"/>
    <mergeCell ref="B1435:D1435"/>
    <mergeCell ref="B1440:D1440"/>
    <mergeCell ref="B1444:D1444"/>
    <mergeCell ref="B1449:D1449"/>
    <mergeCell ref="B1453:D1453"/>
    <mergeCell ref="B1457:D1457"/>
    <mergeCell ref="B1461:D1461"/>
    <mergeCell ref="B1465:D1465"/>
    <mergeCell ref="B1469:D1469"/>
    <mergeCell ref="B1233:D1233"/>
    <mergeCell ref="B1246:D1246"/>
    <mergeCell ref="B1253:D1253"/>
    <mergeCell ref="B1259:D1259"/>
    <mergeCell ref="B1265:C1265"/>
    <mergeCell ref="D1265:D1266"/>
    <mergeCell ref="B1270:D1270"/>
    <mergeCell ref="B1274:D1274"/>
    <mergeCell ref="B1280:C1280"/>
    <mergeCell ref="D1280:D1281"/>
    <mergeCell ref="B1284:D1284"/>
    <mergeCell ref="B1288:D1288"/>
    <mergeCell ref="B1292:D1292"/>
    <mergeCell ref="B1298:D1298"/>
    <mergeCell ref="B1302:D1302"/>
    <mergeCell ref="B1306:D1306"/>
    <mergeCell ref="B1310:D1310"/>
    <mergeCell ref="B1314:D1314"/>
    <mergeCell ref="B1318:D1318"/>
    <mergeCell ref="B1322:D1322"/>
    <mergeCell ref="B1326:D1326"/>
    <mergeCell ref="B1331:D1331"/>
    <mergeCell ref="B1336:D1336"/>
    <mergeCell ref="B1340:D1340"/>
    <mergeCell ref="B1344:D1344"/>
    <mergeCell ref="B1348:D1348"/>
    <mergeCell ref="B1352:D1352"/>
    <mergeCell ref="B1356:D1356"/>
    <mergeCell ref="B1362:C1362"/>
    <mergeCell ref="D1362:D1363"/>
    <mergeCell ref="B1366:D1366"/>
    <mergeCell ref="B1372:C1372"/>
    <mergeCell ref="D1372:D1373"/>
    <mergeCell ref="B1377:D1377"/>
    <mergeCell ref="B1381:D1381"/>
    <mergeCell ref="B1385:D1385"/>
    <mergeCell ref="B1390:D1390"/>
    <mergeCell ref="B1394:D1394"/>
    <mergeCell ref="B1398:D1398"/>
    <mergeCell ref="B1402:D1402"/>
    <mergeCell ref="B1407:D1407"/>
    <mergeCell ref="B1411:D1411"/>
    <mergeCell ref="B1507:D1507"/>
    <mergeCell ref="B1511:D1511"/>
    <mergeCell ref="B1517:C1517"/>
    <mergeCell ref="D1517:D1518"/>
    <mergeCell ref="B1521:D1521"/>
    <mergeCell ref="B1527:C1527"/>
    <mergeCell ref="D1527:D1528"/>
    <mergeCell ref="B1531:D1531"/>
    <mergeCell ref="B1478:D1478"/>
    <mergeCell ref="B1482:D1482"/>
    <mergeCell ref="B1486:D1486"/>
    <mergeCell ref="B1491:D1491"/>
    <mergeCell ref="B1495:D1495"/>
    <mergeCell ref="B1501:C1501"/>
    <mergeCell ref="D1501:D1502"/>
  </mergeCells>
  <conditionalFormatting sqref="H1:H1535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&amp;C&amp;F</oddHeader>
    <oddFooter>&amp;CPresupuesto Ayuntamiento Aranda de Duero 2024</oddFooter>
  </headerFooter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2</v>
      </c>
      <c r="C1" s="1" t="s">
        <v>3</v>
      </c>
    </row>
    <row r="2">
      <c r="A2" s="3" t="s">
        <v>4</v>
      </c>
      <c r="B2" s="7">
        <f>IFERROR(__xludf.DUMMYFUNCTION("filter('2024'!F483:F1261, A2='2024'!C483:C1261)"),20000.0)</f>
        <v>20000</v>
      </c>
      <c r="C2" s="7">
        <f>IFERROR(__xludf.DUMMYFUNCTION("filter('2024'!G483:G1261, A2='2024'!C483:C1261)"),0.0)</f>
        <v>0</v>
      </c>
      <c r="G2" s="10">
        <f>IFERROR(__xludf.DUMMYFUNCTION("filter('2024'!F483:F1261, A2='2024'!C483:C1261)"),20000.0)</f>
        <v>20000</v>
      </c>
      <c r="I2" s="14" t="str">
        <f>IFERROR(__xludf.DUMMYFUNCTION("HLOOKUP(REGEXMATCH(A2, ""(\s)*""), A1:A120, 1)"),"#N/A")</f>
        <v>#N/A</v>
      </c>
    </row>
    <row r="3">
      <c r="B3" s="7">
        <f>IFERROR(__xludf.DUMMYFUNCTION("""COMPUTED_VALUE"""),11000.0)</f>
        <v>11000</v>
      </c>
      <c r="C3" s="10">
        <f>IFERROR(__xludf.DUMMYFUNCTION("""COMPUTED_VALUE"""),12000.0)</f>
        <v>12000</v>
      </c>
      <c r="G3" s="10">
        <f>IFERROR(__xludf.DUMMYFUNCTION("""COMPUTED_VALUE"""),11000.0)</f>
        <v>11000</v>
      </c>
    </row>
    <row r="4">
      <c r="B4" s="7">
        <f>IFERROR(__xludf.DUMMYFUNCTION("""COMPUTED_VALUE"""),16500.0)</f>
        <v>16500</v>
      </c>
      <c r="C4" s="10">
        <f>IFERROR(__xludf.DUMMYFUNCTION("""COMPUTED_VALUE"""),16500.0)</f>
        <v>16500</v>
      </c>
      <c r="G4" s="10">
        <f>IFERROR(__xludf.DUMMYFUNCTION("""COMPUTED_VALUE"""),16500.0)</f>
        <v>16500</v>
      </c>
    </row>
    <row r="5">
      <c r="B5" s="7">
        <f>IFERROR(__xludf.DUMMYFUNCTION("""COMPUTED_VALUE"""),40000.0)</f>
        <v>40000</v>
      </c>
      <c r="C5" s="10">
        <f>IFERROR(__xludf.DUMMYFUNCTION("""COMPUTED_VALUE"""),40000.0)</f>
        <v>40000</v>
      </c>
      <c r="G5" s="10">
        <f>IFERROR(__xludf.DUMMYFUNCTION("""COMPUTED_VALUE"""),40000.0)</f>
        <v>40000</v>
      </c>
    </row>
    <row r="6">
      <c r="B6" s="7">
        <f>IFERROR(__xludf.DUMMYFUNCTION("""COMPUTED_VALUE"""),3000.0)</f>
        <v>3000</v>
      </c>
      <c r="C6" s="10">
        <f>IFERROR(__xludf.DUMMYFUNCTION("""COMPUTED_VALUE"""),3000.0)</f>
        <v>3000</v>
      </c>
      <c r="G6" s="10">
        <f>IFERROR(__xludf.DUMMYFUNCTION("""COMPUTED_VALUE"""),3000.0)</f>
        <v>3000</v>
      </c>
    </row>
    <row r="7">
      <c r="B7" s="7">
        <f>IFERROR(__xludf.DUMMYFUNCTION("""COMPUTED_VALUE"""),400.0)</f>
        <v>400</v>
      </c>
      <c r="C7" s="10">
        <f>IFERROR(__xludf.DUMMYFUNCTION("""COMPUTED_VALUE"""),400.0)</f>
        <v>400</v>
      </c>
      <c r="G7" s="10">
        <f>IFERROR(__xludf.DUMMYFUNCTION("""COMPUTED_VALUE"""),400.0)</f>
        <v>400</v>
      </c>
    </row>
    <row r="8">
      <c r="B8" s="7">
        <f>IFERROR(__xludf.DUMMYFUNCTION("""COMPUTED_VALUE"""),1000.0)</f>
        <v>1000</v>
      </c>
      <c r="C8" s="10">
        <f>IFERROR(__xludf.DUMMYFUNCTION("""COMPUTED_VALUE"""),2400.0)</f>
        <v>2400</v>
      </c>
      <c r="G8" s="10">
        <f>IFERROR(__xludf.DUMMYFUNCTION("""COMPUTED_VALUE"""),1000.0)</f>
        <v>1000</v>
      </c>
    </row>
    <row r="9">
      <c r="B9" s="7">
        <f>IFERROR(__xludf.DUMMYFUNCTION("""COMPUTED_VALUE"""),250000.0)</f>
        <v>250000</v>
      </c>
      <c r="C9" s="10">
        <f>IFERROR(__xludf.DUMMYFUNCTION("""COMPUTED_VALUE"""),190000.0)</f>
        <v>190000</v>
      </c>
      <c r="G9" s="10">
        <f>IFERROR(__xludf.DUMMYFUNCTION("""COMPUTED_VALUE"""),250000.0)</f>
        <v>250000</v>
      </c>
    </row>
    <row r="10">
      <c r="B10" s="7">
        <f>IFERROR(__xludf.DUMMYFUNCTION("""COMPUTED_VALUE"""),96000.0)</f>
        <v>96000</v>
      </c>
      <c r="C10" s="10">
        <f>IFERROR(__xludf.DUMMYFUNCTION("""COMPUTED_VALUE"""),96000.0)</f>
        <v>96000</v>
      </c>
      <c r="G10" s="10">
        <f>IFERROR(__xludf.DUMMYFUNCTION("""COMPUTED_VALUE"""),96000.0)</f>
        <v>96000</v>
      </c>
    </row>
    <row r="11">
      <c r="B11" s="7">
        <f>IFERROR(__xludf.DUMMYFUNCTION("""COMPUTED_VALUE"""),3000.0)</f>
        <v>3000</v>
      </c>
      <c r="C11" s="10">
        <f>IFERROR(__xludf.DUMMYFUNCTION("""COMPUTED_VALUE"""),3000.0)</f>
        <v>3000</v>
      </c>
      <c r="G11" s="10">
        <f>IFERROR(__xludf.DUMMYFUNCTION("""COMPUTED_VALUE"""),3000.0)</f>
        <v>3000</v>
      </c>
    </row>
    <row r="12">
      <c r="B12" s="7">
        <f>IFERROR(__xludf.DUMMYFUNCTION("""COMPUTED_VALUE"""),3000.0)</f>
        <v>3000</v>
      </c>
      <c r="C12" s="10">
        <f>IFERROR(__xludf.DUMMYFUNCTION("""COMPUTED_VALUE"""),0.0)</f>
        <v>0</v>
      </c>
      <c r="G12" s="10">
        <f>IFERROR(__xludf.DUMMYFUNCTION("""COMPUTED_VALUE"""),3000.0)</f>
        <v>3000</v>
      </c>
    </row>
    <row r="13">
      <c r="B13" s="7">
        <f>IFERROR(__xludf.DUMMYFUNCTION("""COMPUTED_VALUE"""),165000.0)</f>
        <v>165000</v>
      </c>
      <c r="C13" s="10">
        <f>IFERROR(__xludf.DUMMYFUNCTION("""COMPUTED_VALUE"""),95000.0)</f>
        <v>95000</v>
      </c>
      <c r="G13" s="10">
        <f>IFERROR(__xludf.DUMMYFUNCTION("""COMPUTED_VALUE"""),165000.0)</f>
        <v>165000</v>
      </c>
    </row>
    <row r="14">
      <c r="B14" s="7">
        <f>IFERROR(__xludf.DUMMYFUNCTION("""COMPUTED_VALUE"""),8000.0)</f>
        <v>8000</v>
      </c>
      <c r="C14" s="10">
        <f>IFERROR(__xludf.DUMMYFUNCTION("""COMPUTED_VALUE"""),8000.0)</f>
        <v>8000</v>
      </c>
      <c r="G14" s="10">
        <f>IFERROR(__xludf.DUMMYFUNCTION("""COMPUTED_VALUE"""),8000.0)</f>
        <v>8000</v>
      </c>
    </row>
    <row r="15">
      <c r="B15" s="7">
        <f>IFERROR(__xludf.DUMMYFUNCTION("""COMPUTED_VALUE"""),60000.0)</f>
        <v>60000</v>
      </c>
      <c r="C15" s="10">
        <f>IFERROR(__xludf.DUMMYFUNCTION("""COMPUTED_VALUE"""),40000.0)</f>
        <v>40000</v>
      </c>
      <c r="G15" s="10">
        <f>IFERROR(__xludf.DUMMYFUNCTION("""COMPUTED_VALUE"""),60000.0)</f>
        <v>60000</v>
      </c>
    </row>
    <row r="16">
      <c r="B16" s="7">
        <f>IFERROR(__xludf.DUMMYFUNCTION("""COMPUTED_VALUE"""),26000.0)</f>
        <v>26000</v>
      </c>
      <c r="C16" s="10">
        <f>IFERROR(__xludf.DUMMYFUNCTION("""COMPUTED_VALUE"""),26000.0)</f>
        <v>26000</v>
      </c>
      <c r="G16" s="10">
        <f>IFERROR(__xludf.DUMMYFUNCTION("""COMPUTED_VALUE"""),26000.0)</f>
        <v>26000</v>
      </c>
    </row>
    <row r="17">
      <c r="B17" s="7">
        <f>IFERROR(__xludf.DUMMYFUNCTION("""COMPUTED_VALUE"""),23000.0)</f>
        <v>23000</v>
      </c>
      <c r="C17" s="10">
        <f>IFERROR(__xludf.DUMMYFUNCTION("""COMPUTED_VALUE"""),23000.0)</f>
        <v>23000</v>
      </c>
      <c r="G17" s="10">
        <f>IFERROR(__xludf.DUMMYFUNCTION("""COMPUTED_VALUE"""),23000.0)</f>
        <v>23000</v>
      </c>
    </row>
    <row r="18">
      <c r="B18" s="7">
        <f>IFERROR(__xludf.DUMMYFUNCTION("""COMPUTED_VALUE"""),11000.0)</f>
        <v>11000</v>
      </c>
      <c r="C18" s="10">
        <f>IFERROR(__xludf.DUMMYFUNCTION("""COMPUTED_VALUE"""),11000.0)</f>
        <v>11000</v>
      </c>
      <c r="G18" s="10">
        <f>IFERROR(__xludf.DUMMYFUNCTION("""COMPUTED_VALUE"""),11000.0)</f>
        <v>11000</v>
      </c>
    </row>
    <row r="19">
      <c r="B19" s="7">
        <f>IFERROR(__xludf.DUMMYFUNCTION("""COMPUTED_VALUE"""),600.0)</f>
        <v>600</v>
      </c>
      <c r="C19" s="10">
        <f>IFERROR(__xludf.DUMMYFUNCTION("""COMPUTED_VALUE"""),600.0)</f>
        <v>600</v>
      </c>
      <c r="G19" s="10">
        <f>IFERROR(__xludf.DUMMYFUNCTION("""COMPUTED_VALUE"""),600.0)</f>
        <v>600</v>
      </c>
    </row>
    <row r="20">
      <c r="B20" s="7">
        <f>IFERROR(__xludf.DUMMYFUNCTION("""COMPUTED_VALUE"""),6000.0)</f>
        <v>6000</v>
      </c>
      <c r="C20" s="10">
        <f>IFERROR(__xludf.DUMMYFUNCTION("""COMPUTED_VALUE"""),0.0)</f>
        <v>0</v>
      </c>
      <c r="G20" s="10">
        <f>IFERROR(__xludf.DUMMYFUNCTION("""COMPUTED_VALUE"""),6000.0)</f>
        <v>6000</v>
      </c>
    </row>
    <row r="21">
      <c r="B21" s="7">
        <f>IFERROR(__xludf.DUMMYFUNCTION("""COMPUTED_VALUE"""),19000.0)</f>
        <v>19000</v>
      </c>
      <c r="C21" s="10">
        <f>IFERROR(__xludf.DUMMYFUNCTION("""COMPUTED_VALUE"""),0.0)</f>
        <v>0</v>
      </c>
      <c r="G21" s="10">
        <f>IFERROR(__xludf.DUMMYFUNCTION("""COMPUTED_VALUE"""),19000.0)</f>
        <v>19000</v>
      </c>
    </row>
    <row r="22">
      <c r="B22" s="7"/>
    </row>
    <row r="23">
      <c r="B23" s="7"/>
    </row>
    <row r="24">
      <c r="B24" s="7"/>
    </row>
    <row r="25">
      <c r="B25" s="7"/>
    </row>
    <row r="26">
      <c r="B26" s="7"/>
    </row>
    <row r="27">
      <c r="B27" s="7"/>
    </row>
    <row r="28">
      <c r="B28" s="7"/>
    </row>
    <row r="29">
      <c r="B29" s="7"/>
    </row>
    <row r="30">
      <c r="B30" s="7"/>
    </row>
    <row r="31">
      <c r="B31" s="7"/>
    </row>
    <row r="32">
      <c r="B32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7.63"/>
  </cols>
  <sheetData>
    <row r="1">
      <c r="A1" s="2" t="s">
        <v>1</v>
      </c>
      <c r="B1" s="4"/>
      <c r="C1" s="2" t="s">
        <v>5</v>
      </c>
      <c r="D1" s="2" t="s">
        <v>6</v>
      </c>
      <c r="E1" s="2" t="s">
        <v>7</v>
      </c>
      <c r="F1" s="2" t="s">
        <v>8</v>
      </c>
      <c r="G1" s="4"/>
      <c r="H1" s="2" t="s">
        <v>9</v>
      </c>
      <c r="I1" s="2" t="s">
        <v>10</v>
      </c>
      <c r="K1" s="2" t="s">
        <v>11</v>
      </c>
      <c r="L1" s="2" t="s">
        <v>12</v>
      </c>
    </row>
    <row r="2">
      <c r="A2" s="5" t="s">
        <v>13</v>
      </c>
      <c r="B2" s="5" t="s">
        <v>14</v>
      </c>
      <c r="C2" s="6">
        <v>2.0</v>
      </c>
      <c r="D2" s="6">
        <v>6534.14</v>
      </c>
      <c r="E2" s="14">
        <f t="shared" ref="E2:E6" si="1">2*D2</f>
        <v>13068.28</v>
      </c>
      <c r="F2" s="14">
        <f t="shared" ref="F2:F6" si="2">D2*7</f>
        <v>45738.98</v>
      </c>
      <c r="H2" s="7">
        <f t="shared" ref="H2:H6" si="3">$D2*0.683/C2</f>
        <v>2231.40881</v>
      </c>
      <c r="I2" s="7">
        <f t="shared" ref="I2:I6" si="4">$D2*0.317/C2</f>
        <v>1035.66119</v>
      </c>
      <c r="J2" s="7">
        <f t="shared" ref="J2:J6" si="5">SUM(H2:I2)</f>
        <v>3267.07</v>
      </c>
      <c r="K2" s="14">
        <f t="shared" ref="K2:K6" si="6">F2*0.683</f>
        <v>31239.72334</v>
      </c>
      <c r="L2" s="14">
        <f t="shared" ref="L2:L6" si="7">F2*0.317</f>
        <v>14499.25666</v>
      </c>
    </row>
    <row r="3">
      <c r="A3" s="27" t="s">
        <v>20</v>
      </c>
      <c r="B3" s="27" t="s">
        <v>21</v>
      </c>
      <c r="C3" s="29">
        <v>1.0</v>
      </c>
      <c r="D3" s="29">
        <v>2683.8</v>
      </c>
      <c r="E3" s="32">
        <f t="shared" si="1"/>
        <v>5367.6</v>
      </c>
      <c r="F3" s="32">
        <f t="shared" si="2"/>
        <v>18786.6</v>
      </c>
      <c r="G3" s="32"/>
      <c r="H3" s="7">
        <f t="shared" si="3"/>
        <v>1833.0354</v>
      </c>
      <c r="I3" s="7">
        <f t="shared" si="4"/>
        <v>850.7646</v>
      </c>
      <c r="J3" s="7">
        <f t="shared" si="5"/>
        <v>2683.8</v>
      </c>
      <c r="K3" s="32">
        <f t="shared" si="6"/>
        <v>12831.2478</v>
      </c>
      <c r="L3" s="32">
        <f t="shared" si="7"/>
        <v>5955.3522</v>
      </c>
    </row>
    <row r="4">
      <c r="A4" s="27" t="s">
        <v>25</v>
      </c>
      <c r="B4" s="27" t="s">
        <v>26</v>
      </c>
      <c r="C4" s="29">
        <v>3.0</v>
      </c>
      <c r="D4" s="29">
        <v>8051.4</v>
      </c>
      <c r="E4" s="32">
        <f t="shared" si="1"/>
        <v>16102.8</v>
      </c>
      <c r="F4" s="32">
        <f t="shared" si="2"/>
        <v>56359.8</v>
      </c>
      <c r="G4" s="32"/>
      <c r="H4" s="7">
        <f t="shared" si="3"/>
        <v>1833.0354</v>
      </c>
      <c r="I4" s="7">
        <f t="shared" si="4"/>
        <v>850.7646</v>
      </c>
      <c r="J4" s="7">
        <f t="shared" si="5"/>
        <v>2683.8</v>
      </c>
      <c r="K4" s="32">
        <f t="shared" si="6"/>
        <v>38493.7434</v>
      </c>
      <c r="L4" s="32">
        <f t="shared" si="7"/>
        <v>17866.0566</v>
      </c>
    </row>
    <row r="5">
      <c r="A5" s="5" t="s">
        <v>13</v>
      </c>
      <c r="B5" s="5" t="s">
        <v>35</v>
      </c>
      <c r="C5" s="6">
        <v>2.0</v>
      </c>
      <c r="D5" s="6">
        <v>5664.44</v>
      </c>
      <c r="E5" s="14">
        <f t="shared" si="1"/>
        <v>11328.88</v>
      </c>
      <c r="F5" s="14">
        <f t="shared" si="2"/>
        <v>39651.08</v>
      </c>
      <c r="H5" s="7">
        <f t="shared" si="3"/>
        <v>1934.40626</v>
      </c>
      <c r="I5" s="7">
        <f t="shared" si="4"/>
        <v>897.81374</v>
      </c>
      <c r="J5" s="7">
        <f t="shared" si="5"/>
        <v>2832.22</v>
      </c>
      <c r="K5" s="14">
        <f t="shared" si="6"/>
        <v>27081.68764</v>
      </c>
      <c r="L5" s="14">
        <f t="shared" si="7"/>
        <v>12569.39236</v>
      </c>
    </row>
    <row r="6">
      <c r="A6" s="5" t="s">
        <v>43</v>
      </c>
      <c r="B6" s="5" t="s">
        <v>45</v>
      </c>
      <c r="C6" s="6">
        <v>2.0</v>
      </c>
      <c r="D6" s="6">
        <v>8281.08</v>
      </c>
      <c r="E6" s="14">
        <f t="shared" si="1"/>
        <v>16562.16</v>
      </c>
      <c r="F6" s="14">
        <f t="shared" si="2"/>
        <v>57967.56</v>
      </c>
      <c r="H6" s="7">
        <f t="shared" si="3"/>
        <v>2827.98882</v>
      </c>
      <c r="I6" s="7">
        <f t="shared" si="4"/>
        <v>1312.55118</v>
      </c>
      <c r="J6" s="7">
        <f t="shared" si="5"/>
        <v>4140.54</v>
      </c>
      <c r="K6" s="14">
        <f t="shared" si="6"/>
        <v>39591.84348</v>
      </c>
      <c r="L6" s="14">
        <f t="shared" si="7"/>
        <v>18375.71652</v>
      </c>
    </row>
    <row r="8">
      <c r="F8" s="14">
        <f>SUM(F2:F6)</f>
        <v>218504.02</v>
      </c>
    </row>
    <row r="11">
      <c r="A11" s="5" t="s">
        <v>47</v>
      </c>
    </row>
    <row r="12">
      <c r="A12" s="5" t="s">
        <v>48</v>
      </c>
      <c r="B12" s="5" t="s">
        <v>49</v>
      </c>
      <c r="C12" s="5" t="s">
        <v>50</v>
      </c>
      <c r="D12" s="5" t="s">
        <v>51</v>
      </c>
      <c r="E12" s="5" t="s">
        <v>52</v>
      </c>
      <c r="H12" s="5" t="s">
        <v>53</v>
      </c>
      <c r="I12" s="44">
        <v>17000.0</v>
      </c>
      <c r="J12" s="14">
        <f t="shared" ref="J12:J16" si="8">I12*2.5</f>
        <v>42500</v>
      </c>
    </row>
    <row r="13">
      <c r="A13" s="5">
        <f>6648.6*3.5</f>
        <v>23270.1</v>
      </c>
      <c r="B13" s="5">
        <f>2722.16*3.5</f>
        <v>9527.56</v>
      </c>
      <c r="C13" s="5">
        <f>2900.12*3.5</f>
        <v>10150.42</v>
      </c>
      <c r="D13" s="5">
        <f>290.4*3.5</f>
        <v>1016.4</v>
      </c>
      <c r="E13" s="5">
        <f>4000.8*3.5</f>
        <v>14002.8</v>
      </c>
      <c r="F13" s="14">
        <f>SUM(A13:E13)</f>
        <v>57967.28</v>
      </c>
      <c r="H13" s="5" t="s">
        <v>58</v>
      </c>
      <c r="I13" s="5">
        <v>650.16</v>
      </c>
      <c r="J13" s="14">
        <f t="shared" si="8"/>
        <v>1625.4</v>
      </c>
    </row>
    <row r="14">
      <c r="A14" s="48">
        <f t="shared" ref="A14:E14" si="9">(A13/$F$13)</f>
        <v>0.4014350854</v>
      </c>
      <c r="B14" s="48">
        <f t="shared" si="9"/>
        <v>0.1643609981</v>
      </c>
      <c r="C14" s="48">
        <f t="shared" si="9"/>
        <v>0.1751060253</v>
      </c>
      <c r="D14" s="48">
        <f t="shared" si="9"/>
        <v>0.01753402954</v>
      </c>
      <c r="E14" s="48">
        <f t="shared" si="9"/>
        <v>0.2415638615</v>
      </c>
      <c r="H14" s="5" t="s">
        <v>60</v>
      </c>
      <c r="I14" s="5">
        <v>5505.0</v>
      </c>
      <c r="J14" s="14">
        <f t="shared" si="8"/>
        <v>13762.5</v>
      </c>
    </row>
    <row r="15">
      <c r="H15" s="5" t="s">
        <v>61</v>
      </c>
      <c r="I15" s="5">
        <v>6500.0</v>
      </c>
      <c r="J15" s="14">
        <f t="shared" si="8"/>
        <v>16250</v>
      </c>
    </row>
    <row r="16">
      <c r="A16" s="5" t="s">
        <v>63</v>
      </c>
      <c r="H16" s="5" t="s">
        <v>12</v>
      </c>
      <c r="I16" s="5">
        <v>9500.0</v>
      </c>
      <c r="J16" s="14">
        <f t="shared" si="8"/>
        <v>23750</v>
      </c>
    </row>
    <row r="17">
      <c r="A17" s="5" t="s">
        <v>64</v>
      </c>
      <c r="B17" s="5" t="s">
        <v>49</v>
      </c>
      <c r="C17" s="5" t="s">
        <v>50</v>
      </c>
      <c r="D17" s="5" t="s">
        <v>51</v>
      </c>
      <c r="E17" s="5" t="s">
        <v>52</v>
      </c>
      <c r="J17" s="14">
        <f>SUM(I12:I16)*2.5</f>
        <v>97887.9</v>
      </c>
    </row>
    <row r="18">
      <c r="A18" s="5">
        <f>4494.92*3.5</f>
        <v>15732.22</v>
      </c>
      <c r="B18" s="5">
        <f>1738.8*3.5</f>
        <v>6085.8</v>
      </c>
      <c r="C18" s="5">
        <f>2150.48*3.5</f>
        <v>7526.68</v>
      </c>
      <c r="D18" s="5">
        <f>217.8*3.5</f>
        <v>762.3</v>
      </c>
      <c r="E18" s="5">
        <f>2726.84*3.5</f>
        <v>9543.94</v>
      </c>
      <c r="F18" s="14">
        <f>SUM(A18:E18)</f>
        <v>39650.94</v>
      </c>
    </row>
    <row r="19">
      <c r="A19" s="48">
        <f t="shared" ref="A19:E19" si="10">(A18/$F$18)</f>
        <v>0.396767895</v>
      </c>
      <c r="B19" s="48">
        <f t="shared" si="10"/>
        <v>0.1534843815</v>
      </c>
      <c r="C19" s="48">
        <f t="shared" si="10"/>
        <v>0.1898234947</v>
      </c>
      <c r="D19" s="48">
        <f t="shared" si="10"/>
        <v>0.01922526931</v>
      </c>
      <c r="E19" s="48">
        <f t="shared" si="10"/>
        <v>0.2406989595</v>
      </c>
    </row>
    <row r="21">
      <c r="A21" s="5" t="s">
        <v>66</v>
      </c>
    </row>
    <row r="22">
      <c r="A22" s="5" t="s">
        <v>67</v>
      </c>
      <c r="B22" s="5" t="s">
        <v>49</v>
      </c>
      <c r="C22" s="5" t="s">
        <v>68</v>
      </c>
      <c r="D22" s="5" t="s">
        <v>69</v>
      </c>
      <c r="E22" s="5" t="s">
        <v>70</v>
      </c>
    </row>
    <row r="23">
      <c r="A23" s="5">
        <f>4683.6*3.5</f>
        <v>16392.6</v>
      </c>
      <c r="B23" s="5">
        <f>2053.36*3.5</f>
        <v>7186.76</v>
      </c>
      <c r="C23" s="5">
        <f>2967.96*3.5</f>
        <v>10387.86</v>
      </c>
      <c r="D23" s="5">
        <f>217.8*3.5</f>
        <v>762.3</v>
      </c>
      <c r="E23" s="5">
        <f>3145.52*3.5</f>
        <v>11009.32</v>
      </c>
      <c r="F23" s="14">
        <f>SUM(A23:E23)</f>
        <v>45738.84</v>
      </c>
    </row>
    <row r="24">
      <c r="A24" s="48">
        <f t="shared" ref="A24:E24" si="11">(A23/$F$23)</f>
        <v>0.3583956218</v>
      </c>
      <c r="B24" s="48">
        <f t="shared" si="11"/>
        <v>0.1571259787</v>
      </c>
      <c r="C24" s="48">
        <f t="shared" si="11"/>
        <v>0.2271124497</v>
      </c>
      <c r="D24" s="48">
        <f t="shared" si="11"/>
        <v>0.01666636058</v>
      </c>
      <c r="E24" s="48">
        <f t="shared" si="11"/>
        <v>0.2406995892</v>
      </c>
    </row>
    <row r="26">
      <c r="A26" s="5" t="s">
        <v>71</v>
      </c>
    </row>
    <row r="27">
      <c r="A27" s="14">
        <f t="shared" ref="A27:E27" si="12">$K$3*A24</f>
        <v>4598.663033</v>
      </c>
      <c r="B27" s="14">
        <f t="shared" si="12"/>
        <v>2016.122369</v>
      </c>
      <c r="C27" s="14">
        <f t="shared" si="12"/>
        <v>2914.136121</v>
      </c>
      <c r="D27" s="14">
        <f t="shared" si="12"/>
        <v>213.8502025</v>
      </c>
      <c r="E27" s="14">
        <f t="shared" si="12"/>
        <v>3088.476075</v>
      </c>
    </row>
    <row r="29">
      <c r="A29" s="5" t="s">
        <v>72</v>
      </c>
    </row>
    <row r="30">
      <c r="A30" s="14">
        <f t="shared" ref="A30:E30" si="13">A27*3</f>
        <v>13795.9891</v>
      </c>
      <c r="B30" s="14">
        <f t="shared" si="13"/>
        <v>6048.367106</v>
      </c>
      <c r="C30" s="14">
        <f t="shared" si="13"/>
        <v>8742.408363</v>
      </c>
      <c r="D30" s="14">
        <f t="shared" si="13"/>
        <v>641.5506076</v>
      </c>
      <c r="E30" s="14">
        <f t="shared" si="13"/>
        <v>9265.428224</v>
      </c>
    </row>
    <row r="32">
      <c r="A32" s="5" t="s">
        <v>73</v>
      </c>
      <c r="B32" s="5" t="s">
        <v>74</v>
      </c>
    </row>
    <row r="33">
      <c r="A33" s="5" t="s">
        <v>75</v>
      </c>
    </row>
    <row r="34">
      <c r="A34" s="5" t="s">
        <v>76</v>
      </c>
    </row>
    <row r="35">
      <c r="A35" s="5" t="s">
        <v>77</v>
      </c>
    </row>
    <row r="36">
      <c r="A36" s="5" t="s">
        <v>78</v>
      </c>
    </row>
    <row r="37">
      <c r="A37" s="5" t="s">
        <v>79</v>
      </c>
    </row>
  </sheetData>
  <mergeCells count="2">
    <mergeCell ref="A11:G11"/>
    <mergeCell ref="A16:G16"/>
  </mergeCells>
  <drawing r:id="rId1"/>
</worksheet>
</file>