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4" sheetId="1" state="visible" r:id="rId1"/>
  </sheets>
  <definedNames>
    <definedName name="p1610_489">'2024'!$C$124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[$€-1]"/>
  </numFmts>
  <fonts count="7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0"/>
      <scheme val="minor"/>
    </font>
    <font/>
    <font>
      <name val="Calibri"/>
      <color theme="1"/>
      <sz val="10"/>
    </font>
    <font>
      <name val="Calibri"/>
      <b val="1"/>
      <color theme="1"/>
      <sz val="10"/>
    </font>
    <font>
      <name val="Calibri"/>
      <color rgb="FFFF0000"/>
      <sz val="10"/>
      <scheme val="minor"/>
    </font>
  </fonts>
  <fills count="8">
    <fill>
      <patternFill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FEFAF9"/>
        <bgColor rgb="FFFEFAF9"/>
      </patternFill>
    </fill>
    <fill>
      <patternFill patternType="solid">
        <fgColor rgb="FFFCECEB"/>
        <bgColor rgb="FFFCECEB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</fills>
  <borders count="1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1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164" fontId="1" fillId="0" borderId="0" pivotButton="0" quotePrefix="0" xfId="0"/>
    <xf numFmtId="10" fontId="1" fillId="0" borderId="0" pivotButton="0" quotePrefix="0" xfId="0"/>
    <xf numFmtId="164" fontId="2" fillId="0" borderId="0" applyAlignment="1" pivotButton="0" quotePrefix="0" xfId="0">
      <alignment horizontal="center" vertical="bottom"/>
    </xf>
    <xf numFmtId="0" fontId="2" fillId="2" borderId="1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  <xf numFmtId="0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49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 wrapText="1"/>
    </xf>
    <xf numFmtId="0" fontId="3" fillId="0" borderId="3" pivotButton="0" quotePrefix="0" xfId="0"/>
    <xf numFmtId="1" fontId="2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center"/>
    </xf>
    <xf numFmtId="1" fontId="2" fillId="0" borderId="4" applyAlignment="1" pivotButton="0" quotePrefix="0" xfId="0">
      <alignment horizontal="left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center"/>
    </xf>
    <xf numFmtId="164" fontId="4" fillId="0" borderId="5" applyAlignment="1" pivotButton="0" quotePrefix="0" xfId="0">
      <alignment horizontal="right" vertical="bottom"/>
    </xf>
    <xf numFmtId="1" fontId="5" fillId="0" borderId="6" applyAlignment="1" pivotButton="0" quotePrefix="0" xfId="0">
      <alignment vertical="bottom"/>
    </xf>
    <xf numFmtId="164" fontId="4" fillId="0" borderId="0" applyAlignment="1" pivotButton="0" quotePrefix="0" xfId="0">
      <alignment vertical="bottom"/>
    </xf>
    <xf numFmtId="10" fontId="4" fillId="0" borderId="0" applyAlignment="1" pivotButton="0" quotePrefix="0" xfId="0">
      <alignment vertical="bottom"/>
    </xf>
    <xf numFmtId="0" fontId="4" fillId="0" borderId="0" pivotButton="0" quotePrefix="0" xfId="0"/>
    <xf numFmtId="1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64" fontId="4" fillId="0" borderId="0" applyAlignment="1" pivotButton="0" quotePrefix="0" xfId="0">
      <alignment horizontal="right" vertical="bottom"/>
    </xf>
    <xf numFmtId="10" fontId="4" fillId="4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164" fontId="5" fillId="0" borderId="1" applyAlignment="1" pivotButton="0" quotePrefix="0" xfId="0">
      <alignment horizontal="right" vertical="bottom"/>
    </xf>
    <xf numFmtId="10" fontId="4" fillId="5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center"/>
    </xf>
    <xf numFmtId="1" fontId="2" fillId="0" borderId="4" applyAlignment="1" pivotButton="0" quotePrefix="0" xfId="0">
      <alignment horizontal="left" vertical="bottom"/>
    </xf>
    <xf numFmtId="0" fontId="6" fillId="0" borderId="0" applyAlignment="1" pivotButton="0" quotePrefix="0" xfId="0">
      <alignment vertical="bottom"/>
    </xf>
    <xf numFmtId="164" fontId="6" fillId="0" borderId="0" applyAlignment="1" pivotButton="0" quotePrefix="0" xfId="0">
      <alignment vertical="bottom"/>
    </xf>
    <xf numFmtId="164" fontId="1" fillId="0" borderId="0" pivotButton="0" quotePrefix="0" xfId="0"/>
    <xf numFmtId="164" fontId="2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left" vertical="bottom"/>
    </xf>
    <xf numFmtId="164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164" fontId="2" fillId="0" borderId="1" applyAlignment="1" pivotButton="0" quotePrefix="0" xfId="0">
      <alignment horizontal="right" vertical="bottom"/>
    </xf>
    <xf numFmtId="164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bottom"/>
    </xf>
    <xf numFmtId="0" fontId="2" fillId="6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right" vertical="bottom"/>
    </xf>
    <xf numFmtId="164" fontId="2" fillId="0" borderId="7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2" fillId="0" borderId="4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164" fontId="1" fillId="0" borderId="1" applyAlignment="1" pivotButton="0" quotePrefix="0" xfId="0">
      <alignment horizontal="right" vertical="bottom"/>
    </xf>
    <xf numFmtId="1" fontId="2" fillId="0" borderId="4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2" fillId="7" borderId="0" applyAlignment="1" pivotButton="0" quotePrefix="0" xfId="0">
      <alignment horizontal="center" vertical="center"/>
    </xf>
    <xf numFmtId="164" fontId="1" fillId="7" borderId="0" applyAlignment="1" pivotButton="0" quotePrefix="0" xfId="0">
      <alignment vertical="bottom"/>
    </xf>
    <xf numFmtId="1" fontId="2" fillId="7" borderId="4" applyAlignment="1" pivotButton="0" quotePrefix="0" xfId="0">
      <alignment horizontal="left" vertical="bottom"/>
    </xf>
    <xf numFmtId="0" fontId="2" fillId="7" borderId="0" applyAlignment="1" pivotButton="0" quotePrefix="0" xfId="0">
      <alignment vertical="bottom"/>
    </xf>
    <xf numFmtId="164" fontId="1" fillId="7" borderId="0" pivotButton="0" quotePrefix="0" xfId="0"/>
    <xf numFmtId="164" fontId="2" fillId="7" borderId="0" applyAlignment="1" pivotButton="0" quotePrefix="0" xfId="0">
      <alignment horizontal="center" vertical="bottom"/>
    </xf>
    <xf numFmtId="10" fontId="1" fillId="7" borderId="0" pivotButton="0" quotePrefix="0" xfId="0"/>
    <xf numFmtId="0" fontId="1" fillId="7" borderId="0" applyAlignment="1" pivotButton="0" quotePrefix="0" xfId="0">
      <alignment vertical="bottom"/>
    </xf>
    <xf numFmtId="0" fontId="1" fillId="7" borderId="0" applyAlignment="1" pivotButton="0" quotePrefix="0" xfId="0">
      <alignment vertical="bottom"/>
    </xf>
    <xf numFmtId="0" fontId="2" fillId="7" borderId="0" applyAlignment="1" pivotButton="0" quotePrefix="0" xfId="0">
      <alignment vertical="bottom"/>
    </xf>
    <xf numFmtId="164" fontId="2" fillId="7" borderId="1" applyAlignment="1" pivotButton="0" quotePrefix="0" xfId="0">
      <alignment vertical="bottom"/>
    </xf>
    <xf numFmtId="164" fontId="2" fillId="7" borderId="1" applyAlignment="1" pivotButton="0" quotePrefix="0" xfId="0">
      <alignment vertical="bottom"/>
    </xf>
    <xf numFmtId="0" fontId="1" fillId="7" borderId="0" applyAlignment="1" pivotButton="0" quotePrefix="0" xfId="0">
      <alignment horizontal="center" vertical="center"/>
    </xf>
    <xf numFmtId="164" fontId="1" fillId="7" borderId="0" applyAlignment="1" pivotButton="0" quotePrefix="0" xfId="0">
      <alignment vertical="bottom"/>
    </xf>
    <xf numFmtId="0" fontId="5" fillId="7" borderId="0" applyAlignment="1" pivotButton="0" quotePrefix="0" xfId="0">
      <alignment horizontal="center"/>
    </xf>
    <xf numFmtId="164" fontId="4" fillId="7" borderId="5" applyAlignment="1" pivotButton="0" quotePrefix="0" xfId="0">
      <alignment horizontal="right" vertical="bottom"/>
    </xf>
    <xf numFmtId="1" fontId="5" fillId="7" borderId="6" applyAlignment="1" pivotButton="0" quotePrefix="0" xfId="0">
      <alignment vertical="bottom"/>
    </xf>
    <xf numFmtId="0" fontId="4" fillId="7" borderId="0" applyAlignment="1" pivotButton="0" quotePrefix="0" xfId="0">
      <alignment vertical="bottom"/>
    </xf>
    <xf numFmtId="164" fontId="4" fillId="7" borderId="0" applyAlignment="1" pivotButton="0" quotePrefix="0" xfId="0">
      <alignment vertical="bottom"/>
    </xf>
    <xf numFmtId="10" fontId="4" fillId="7" borderId="0" applyAlignment="1" pivotButton="0" quotePrefix="0" xfId="0">
      <alignment vertical="bottom"/>
    </xf>
    <xf numFmtId="0" fontId="4" fillId="7" borderId="0" pivotButton="0" quotePrefix="0" xfId="0"/>
    <xf numFmtId="1" fontId="4" fillId="7" borderId="0" applyAlignment="1" pivotButton="0" quotePrefix="0" xfId="0">
      <alignment vertical="bottom"/>
    </xf>
    <xf numFmtId="0" fontId="4" fillId="7" borderId="0" applyAlignment="1" pivotButton="0" quotePrefix="0" xfId="0">
      <alignment vertical="bottom"/>
    </xf>
    <xf numFmtId="164" fontId="4" fillId="7" borderId="0" applyAlignment="1" pivotButton="0" quotePrefix="0" xfId="0">
      <alignment horizontal="right" vertical="bottom"/>
    </xf>
    <xf numFmtId="10" fontId="4" fillId="7" borderId="0" applyAlignment="1" pivotButton="0" quotePrefix="0" xfId="0">
      <alignment horizontal="right" vertical="bottom"/>
    </xf>
    <xf numFmtId="0" fontId="5" fillId="7" borderId="0" applyAlignment="1" pivotButton="0" quotePrefix="0" xfId="0">
      <alignment horizontal="right" vertical="bottom"/>
    </xf>
    <xf numFmtId="164" fontId="5" fillId="7" borderId="1" applyAlignment="1" pivotButton="0" quotePrefix="0" xfId="0">
      <alignment horizontal="right" vertical="bottom"/>
    </xf>
    <xf numFmtId="0" fontId="2" fillId="7" borderId="0" applyAlignment="1" pivotButton="0" quotePrefix="0" xfId="0">
      <alignment horizontal="center" vertical="bottom"/>
    </xf>
    <xf numFmtId="0" fontId="6" fillId="7" borderId="0" applyAlignment="1" pivotButton="0" quotePrefix="0" xfId="0">
      <alignment vertical="bottom"/>
    </xf>
    <xf numFmtId="164" fontId="6" fillId="7" borderId="0" applyAlignment="1" pivotButton="0" quotePrefix="0" xfId="0">
      <alignment vertical="bottom"/>
    </xf>
    <xf numFmtId="0" fontId="2" fillId="7" borderId="0" applyAlignment="1" pivotButton="0" quotePrefix="0" xfId="0">
      <alignment horizontal="center" vertical="bottom"/>
    </xf>
    <xf numFmtId="1" fontId="2" fillId="7" borderId="4" applyAlignment="1" pivotButton="0" quotePrefix="0" xfId="0">
      <alignment horizontal="left" vertical="bottom"/>
    </xf>
    <xf numFmtId="0" fontId="1" fillId="7" borderId="0" applyAlignment="1" pivotButton="0" quotePrefix="0" xfId="0">
      <alignment vertical="bottom"/>
    </xf>
    <xf numFmtId="164" fontId="1" fillId="7" borderId="0" applyAlignment="1" pivotButton="0" quotePrefix="0" xfId="0">
      <alignment vertical="bottom"/>
    </xf>
    <xf numFmtId="164" fontId="1" fillId="7" borderId="0" pivotButton="0" quotePrefix="0" xfId="0"/>
    <xf numFmtId="164" fontId="2" fillId="7" borderId="0" applyAlignment="1" pivotButton="0" quotePrefix="0" xfId="0">
      <alignment vertical="bottom"/>
    </xf>
    <xf numFmtId="0" fontId="1" fillId="7" borderId="0" applyAlignment="1" pivotButton="0" quotePrefix="0" xfId="0">
      <alignment horizontal="center" vertical="bottom"/>
    </xf>
    <xf numFmtId="0" fontId="2" fillId="7" borderId="0" applyAlignment="1" pivotButton="0" quotePrefix="0" xfId="0">
      <alignment horizontal="right" vertical="bottom"/>
    </xf>
    <xf numFmtId="164" fontId="2" fillId="7" borderId="7" applyAlignment="1" pivotButton="0" quotePrefix="0" xfId="0">
      <alignment vertical="bottom"/>
    </xf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tc={bbc2e9b2-49ea-48e4-9fc7-202583d533d9}</author>
    <author>tc={1716f0e7-39ce-4f78-99a6-12d90ec3463d}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ermita es de la Iglesia, no es propia
</t>
      </text>
    </comment>
    <comment ref="G60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Bajada de 50.000, puesto en promoción de la ciudad, no deportiva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9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6.71" customWidth="1" style="107" min="1" max="1"/>
    <col width="14.43" customWidth="1" style="107" min="2" max="2"/>
    <col width="11.43" customWidth="1" style="107" min="3" max="3"/>
    <col width="43.57" customWidth="1" style="107" min="4" max="4"/>
    <col width="49" customWidth="1" style="107" min="5" max="5"/>
    <col hidden="1" width="14.86" customWidth="1" style="107" min="6" max="6"/>
    <col width="15.71" customWidth="1" style="107" min="7" max="7"/>
    <col width="10" customWidth="1" style="107" min="8" max="26"/>
  </cols>
  <sheetData>
    <row r="1" ht="15.75" customHeight="1" s="107">
      <c r="A1" s="20" t="n"/>
      <c r="B1" s="20" t="n"/>
      <c r="C1" s="26" t="n"/>
      <c r="D1" s="20" t="n"/>
      <c r="E1" s="20" t="n"/>
      <c r="F1" s="45" t="n"/>
      <c r="G1" s="26" t="n"/>
      <c r="H1" s="4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</row>
    <row r="2" ht="16.5" customHeight="1" s="107">
      <c r="A2" s="20" t="n"/>
      <c r="B2" s="20" t="n"/>
      <c r="C2" s="5" t="n"/>
      <c r="D2" s="6" t="inlineStr">
        <is>
          <t>SUBVENCIONES NOMINATIVAS</t>
        </is>
      </c>
      <c r="E2" s="57" t="n"/>
      <c r="F2" s="45" t="n"/>
      <c r="G2" s="26" t="n"/>
      <c r="H2" s="4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</row>
    <row r="3" ht="15.75" customHeight="1" s="107">
      <c r="A3" s="20" t="n"/>
      <c r="B3" s="20" t="n"/>
      <c r="C3" s="26" t="n"/>
      <c r="D3" s="20" t="n"/>
      <c r="E3" s="20" t="n"/>
      <c r="F3" s="45" t="n"/>
      <c r="G3" s="26" t="n"/>
      <c r="H3" s="4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5.75" customHeight="1" s="107">
      <c r="A4" s="20" t="n"/>
      <c r="B4" s="108" t="inlineStr">
        <is>
          <t>PARTIDA</t>
        </is>
      </c>
      <c r="C4" s="109" t="inlineStr">
        <is>
          <t>CRÉDITO PARTIDA</t>
        </is>
      </c>
      <c r="D4" s="10" t="inlineStr">
        <is>
          <t>PROGRAMA</t>
        </is>
      </c>
      <c r="E4" s="10" t="inlineStr">
        <is>
          <t>OBJETO DEL CONVENIO</t>
        </is>
      </c>
      <c r="F4" s="110" t="inlineStr">
        <is>
          <t>2023</t>
        </is>
      </c>
      <c r="G4" s="110" t="inlineStr">
        <is>
          <t>2024</t>
        </is>
      </c>
      <c r="H4" s="111" t="inlineStr">
        <is>
          <t>DIFF</t>
        </is>
      </c>
      <c r="I4" s="109" t="inlineStr">
        <is>
          <t>Concurrencia Comp</t>
        </is>
      </c>
      <c r="J4" s="109" t="inlineStr">
        <is>
          <t>Aport y Cuotas</t>
        </is>
      </c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</row>
    <row r="5" ht="15.75" customHeight="1" s="107">
      <c r="A5" s="20" t="n"/>
      <c r="B5" s="112" t="n"/>
      <c r="C5" s="112" t="n"/>
      <c r="D5" s="10" t="inlineStr">
        <is>
          <t>ENTIDAD BENEFICIARIA</t>
        </is>
      </c>
      <c r="E5" s="112" t="n"/>
      <c r="F5" s="112" t="n"/>
      <c r="G5" s="112" t="n"/>
      <c r="H5" s="112" t="n"/>
      <c r="I5" s="112" t="n"/>
      <c r="J5" s="112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</row>
    <row r="6">
      <c r="A6" s="20" t="n"/>
      <c r="B6" s="57" t="n"/>
      <c r="C6" s="26" t="n"/>
      <c r="D6" s="16" t="n"/>
      <c r="E6" s="21" t="n"/>
      <c r="F6" s="45" t="n"/>
      <c r="G6" s="5" t="n"/>
      <c r="H6" s="4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</row>
    <row r="7" ht="15.75" customHeight="1" s="107">
      <c r="A7" s="20" t="n"/>
      <c r="B7" s="41" t="inlineStr">
        <is>
          <t xml:space="preserve">1700 489.00 </t>
        </is>
      </c>
      <c r="C7" s="26" t="n">
        <v>2300</v>
      </c>
      <c r="D7" s="42" t="inlineStr">
        <is>
          <t>ADMON. GRAL MEDIO AMBIENTE</t>
        </is>
      </c>
      <c r="E7" s="21" t="n"/>
      <c r="F7" s="45" t="n"/>
      <c r="G7" s="5" t="n"/>
      <c r="H7" s="4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</row>
    <row r="8" ht="16.5" customHeight="1" s="107">
      <c r="A8" s="20" t="n"/>
      <c r="B8" s="41" t="n"/>
      <c r="C8" s="26" t="n"/>
      <c r="D8" s="20" t="inlineStr">
        <is>
          <t>CLUB DEPORTIVO ESPELEODUERO</t>
        </is>
      </c>
      <c r="E8" s="20" t="inlineStr">
        <is>
          <t>LIMPIEZA DE RIOS</t>
        </is>
      </c>
      <c r="F8" s="26" t="n">
        <v>2000</v>
      </c>
      <c r="G8" s="26" t="n">
        <v>2000</v>
      </c>
      <c r="H8" s="4" t="n">
        <v>0</v>
      </c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</row>
    <row r="9" ht="16.5" customHeight="1" s="107">
      <c r="A9" s="20" t="n"/>
      <c r="B9" s="20" t="n"/>
      <c r="C9" s="26" t="n"/>
      <c r="D9" s="20" t="n"/>
      <c r="E9" s="21" t="n">
        <v>1700</v>
      </c>
      <c r="F9" s="23" t="n">
        <v>2000</v>
      </c>
      <c r="G9" s="23" t="n">
        <v>2000</v>
      </c>
      <c r="H9" s="4" t="n">
        <v>0</v>
      </c>
      <c r="I9" s="23" t="n">
        <v>300</v>
      </c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</row>
    <row r="10">
      <c r="A10" s="20" t="n"/>
      <c r="B10" s="41" t="n"/>
      <c r="C10" s="26" t="n"/>
      <c r="D10" s="20" t="n"/>
      <c r="E10" s="20" t="n"/>
      <c r="F10" s="45" t="n"/>
      <c r="G10" s="46" t="n"/>
      <c r="H10" s="4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</row>
    <row r="11">
      <c r="A11" s="20" t="n"/>
      <c r="B11" s="41" t="inlineStr">
        <is>
          <t>2311 489.00</t>
        </is>
      </c>
      <c r="C11" s="26" t="n">
        <v>177910</v>
      </c>
      <c r="D11" s="42" t="inlineStr">
        <is>
          <t>ASISTENCIA SOCIAL PRIMARIA</t>
        </is>
      </c>
      <c r="E11" s="20" t="n"/>
      <c r="F11" s="45" t="n"/>
      <c r="G11" s="26" t="n"/>
      <c r="H11" s="4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</row>
    <row r="12">
      <c r="A12" s="20" t="n"/>
      <c r="B12" s="25" t="n"/>
      <c r="C12" s="26" t="n"/>
      <c r="D12" s="20" t="inlineStr">
        <is>
          <t>AFAR</t>
        </is>
      </c>
      <c r="E12" s="20" t="inlineStr">
        <is>
          <t xml:space="preserve">ACTIVIDADES SOCIALES </t>
        </is>
      </c>
      <c r="F12" s="26" t="n">
        <v>7670</v>
      </c>
      <c r="G12" s="26" t="n">
        <v>8000</v>
      </c>
      <c r="H12" s="4" t="n">
        <v>0.04302477184</v>
      </c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</row>
    <row r="13">
      <c r="A13" s="20" t="n"/>
      <c r="B13" s="25" t="n"/>
      <c r="C13" s="26" t="n"/>
      <c r="D13" s="20" t="inlineStr">
        <is>
          <t>ANDAR</t>
        </is>
      </c>
      <c r="E13" s="20" t="inlineStr">
        <is>
          <t xml:space="preserve">ACTIVIDADES SOCIALES </t>
        </is>
      </c>
      <c r="F13" s="26" t="n">
        <v>6120</v>
      </c>
      <c r="G13" s="26" t="n">
        <v>6500</v>
      </c>
      <c r="H13" s="4" t="n">
        <v>0.06209150327</v>
      </c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</row>
    <row r="14">
      <c r="A14" s="20" t="n"/>
      <c r="B14" s="25" t="n"/>
      <c r="C14" s="26" t="n"/>
      <c r="D14" s="20" t="inlineStr">
        <is>
          <t>APACE (Aranda de Duero)</t>
        </is>
      </c>
      <c r="E14" s="20" t="inlineStr">
        <is>
          <t xml:space="preserve">ACTIVIDADES SOCIALES </t>
        </is>
      </c>
      <c r="F14" s="26" t="n">
        <v>18500</v>
      </c>
      <c r="G14" s="26" t="n">
        <v>18500</v>
      </c>
      <c r="H14" s="4" t="n">
        <v>0</v>
      </c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</row>
    <row r="15">
      <c r="A15" s="20" t="n"/>
      <c r="B15" s="25" t="n"/>
      <c r="C15" s="26" t="n"/>
      <c r="D15" s="20" t="inlineStr">
        <is>
          <t>AREM</t>
        </is>
      </c>
      <c r="E15" s="20" t="inlineStr">
        <is>
          <t xml:space="preserve">ACTIVIDADES SOCIALES </t>
        </is>
      </c>
      <c r="F15" s="26" t="n">
        <v>5000</v>
      </c>
      <c r="G15" s="26" t="n">
        <v>5000</v>
      </c>
      <c r="H15" s="4" t="n">
        <v>0</v>
      </c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</row>
    <row r="16">
      <c r="A16" s="20" t="n"/>
      <c r="B16" s="25" t="n"/>
      <c r="C16" s="26" t="n"/>
      <c r="D16" s="20" t="inlineStr">
        <is>
          <t>ASADEMA</t>
        </is>
      </c>
      <c r="E16" s="20" t="inlineStr">
        <is>
          <t>TRANSPORTE INTERURBANO COLECTIVO</t>
        </is>
      </c>
      <c r="F16" s="26" t="n">
        <v>5900</v>
      </c>
      <c r="G16" s="26" t="n">
        <v>6000</v>
      </c>
      <c r="H16" s="4" t="n">
        <v>0.01694915254</v>
      </c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</row>
    <row r="17">
      <c r="A17" s="20" t="n"/>
      <c r="B17" s="25" t="n"/>
      <c r="C17" s="26" t="n"/>
      <c r="D17" s="20" t="inlineStr">
        <is>
          <t>ASOC. ESPAÑOLA DE LUCHA CONTRA EL CANCER</t>
        </is>
      </c>
      <c r="E17" s="20" t="inlineStr">
        <is>
          <t>ACTIVIDADES SOCIALES Y MANTENIMIENTO</t>
        </is>
      </c>
      <c r="F17" s="26" t="n">
        <v>7610</v>
      </c>
      <c r="G17" s="26" t="n">
        <v>8000</v>
      </c>
      <c r="H17" s="4" t="n">
        <v>0.05124835742</v>
      </c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</row>
    <row r="18">
      <c r="A18" s="20" t="n"/>
      <c r="B18" s="20" t="n"/>
      <c r="C18" s="26" t="n"/>
      <c r="D18" s="20" t="inlineStr">
        <is>
          <t>AUTISMO BURGOS</t>
        </is>
      </c>
      <c r="E18" s="20" t="inlineStr">
        <is>
          <t>ACTIVIDADES SOCIALES</t>
        </is>
      </c>
      <c r="F18" s="26" t="n">
        <v>7500</v>
      </c>
      <c r="G18" s="26" t="n">
        <v>7500</v>
      </c>
      <c r="H18" s="4" t="n">
        <v>0</v>
      </c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</row>
    <row r="19">
      <c r="A19" s="20" t="n"/>
      <c r="B19" s="20" t="n"/>
      <c r="C19" s="26" t="n"/>
      <c r="D19" s="20" t="inlineStr">
        <is>
          <t>CARITAS</t>
        </is>
      </c>
      <c r="E19" s="20" t="inlineStr">
        <is>
          <t>PM DROGAS</t>
        </is>
      </c>
      <c r="F19" s="26" t="n">
        <v>2900</v>
      </c>
      <c r="G19" s="26" t="n">
        <v>3000</v>
      </c>
      <c r="H19" s="4" t="n">
        <v>0.03448275862</v>
      </c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</row>
    <row r="20">
      <c r="A20" s="20" t="n"/>
      <c r="B20" s="20" t="n"/>
      <c r="C20" s="26" t="n"/>
      <c r="D20" s="20" t="inlineStr">
        <is>
          <t>CRUZ ROJA</t>
        </is>
      </c>
      <c r="E20" s="20" t="inlineStr">
        <is>
          <t xml:space="preserve">ACTIVIDADES SOCIALES </t>
        </is>
      </c>
      <c r="F20" s="26" t="n">
        <v>8460</v>
      </c>
      <c r="G20" s="26" t="n">
        <v>8500</v>
      </c>
      <c r="H20" s="4" t="n">
        <v>0.004728132388</v>
      </c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</row>
    <row r="21">
      <c r="A21" s="20" t="n"/>
      <c r="B21" s="20" t="n"/>
      <c r="C21" s="26" t="n"/>
      <c r="D21" s="20" t="inlineStr">
        <is>
          <t>DISFAR</t>
        </is>
      </c>
      <c r="E21" s="20" t="inlineStr">
        <is>
          <t>FOMENTO EMPLEO PERSONAS CON DISCAPAC.</t>
        </is>
      </c>
      <c r="F21" s="26" t="n">
        <v>4110</v>
      </c>
      <c r="G21" s="26" t="n">
        <v>4500</v>
      </c>
      <c r="H21" s="4" t="n">
        <v>0.09489051095000001</v>
      </c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</row>
    <row r="22" ht="15.75" customHeight="1" s="107">
      <c r="A22" s="20" t="n"/>
      <c r="B22" s="20" t="n"/>
      <c r="C22" s="26" t="n"/>
      <c r="D22" s="20" t="inlineStr">
        <is>
          <t>ASOCIACION SALUD MENTAL ARANDA</t>
        </is>
      </c>
      <c r="E22" s="20" t="inlineStr">
        <is>
          <t>ACTIV., ALQUILER Y MANTEN. CENTRO</t>
        </is>
      </c>
      <c r="F22" s="26" t="n">
        <v>60000</v>
      </c>
      <c r="G22" s="26" t="n">
        <v>80000</v>
      </c>
      <c r="H22" s="4" t="n">
        <v>0.3333333333</v>
      </c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</row>
    <row r="23" ht="15.75" customHeight="1" s="107">
      <c r="A23" s="20" t="n"/>
      <c r="B23" s="20" t="n"/>
      <c r="C23" s="26" t="n"/>
      <c r="D23" s="20" t="inlineStr">
        <is>
          <t>RESIDENCIA SAGRADA FAMILIA</t>
        </is>
      </c>
      <c r="E23" s="20" t="inlineStr">
        <is>
          <t xml:space="preserve">ACTIVIDADES SOCIALES </t>
        </is>
      </c>
      <c r="F23" s="26" t="n">
        <v>10000</v>
      </c>
      <c r="G23" s="26" t="n">
        <v>10000</v>
      </c>
      <c r="H23" s="4" t="n">
        <v>0</v>
      </c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</row>
    <row r="24" ht="15.75" customHeight="1" s="107">
      <c r="A24" s="20" t="n"/>
      <c r="B24" s="20" t="n"/>
      <c r="C24" s="26" t="n"/>
      <c r="D24" s="20" t="inlineStr">
        <is>
          <t>NUEVO FUTURO</t>
        </is>
      </c>
      <c r="E24" s="20" t="inlineStr">
        <is>
          <t>ACTIVIDADES SOCIALES</t>
        </is>
      </c>
      <c r="F24" s="26" t="n">
        <v>2500</v>
      </c>
      <c r="G24" s="26" t="n">
        <v>2500</v>
      </c>
      <c r="H24" s="4" t="n">
        <v>0</v>
      </c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</row>
    <row r="25" ht="15.75" customHeight="1" s="107">
      <c r="A25" s="20" t="n"/>
      <c r="B25" s="20" t="n"/>
      <c r="C25" s="26" t="n"/>
      <c r="D25" s="20" t="inlineStr">
        <is>
          <t>ASOC. PERSONAS SORDAS ARANDA Y RIBERA</t>
        </is>
      </c>
      <c r="E25" s="20" t="inlineStr">
        <is>
          <t xml:space="preserve">ACTIVIDADES SOCIALES </t>
        </is>
      </c>
      <c r="F25" s="26" t="n">
        <v>2750</v>
      </c>
      <c r="G25" s="26" t="n">
        <v>2750</v>
      </c>
      <c r="H25" s="4" t="n">
        <v>0</v>
      </c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</row>
    <row r="26" ht="16.5" customHeight="1" s="107">
      <c r="A26" s="20" t="n"/>
      <c r="B26" s="20" t="n"/>
      <c r="C26" s="26" t="n"/>
      <c r="D26" s="20" t="n"/>
      <c r="E26" s="21" t="n">
        <v>2311</v>
      </c>
      <c r="F26" s="23" t="n">
        <v>149020</v>
      </c>
      <c r="G26" s="23" t="n">
        <v>170750</v>
      </c>
      <c r="H26" s="4" t="n">
        <v>0.1458193531</v>
      </c>
      <c r="I26" s="23" t="n">
        <v>7160</v>
      </c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</row>
    <row r="27" ht="15.75" customHeight="1" s="107">
      <c r="A27" s="20" t="n"/>
      <c r="B27" s="57" t="n"/>
      <c r="C27" s="26" t="n"/>
      <c r="D27" s="16" t="n"/>
      <c r="E27" s="20" t="n"/>
      <c r="F27" s="45" t="n"/>
      <c r="G27" s="26" t="n"/>
      <c r="H27" s="4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</row>
    <row r="28" ht="15.75" customHeight="1" s="107">
      <c r="A28" s="35" t="n"/>
      <c r="B28" s="28" t="inlineStr">
        <is>
          <t>2313 489.00</t>
        </is>
      </c>
      <c r="C28" s="29" t="n">
        <v>83400</v>
      </c>
      <c r="D28" s="30" t="inlineStr">
        <is>
          <t>PROMOCIÓN DE LA IGUALDAD</t>
        </is>
      </c>
      <c r="E28" s="35" t="n"/>
      <c r="F28" s="31" t="n"/>
      <c r="G28" s="31" t="n"/>
      <c r="H28" s="32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</row>
    <row r="29" ht="15.75" customHeight="1" s="107">
      <c r="A29" s="35" t="n"/>
      <c r="B29" s="33" t="n"/>
      <c r="C29" s="31" t="n"/>
      <c r="D29" s="34" t="inlineStr">
        <is>
          <t>ASOCIACIÓN MUJERES PROGRESISTAS ROSA DE LIMA</t>
        </is>
      </c>
      <c r="E29" s="35" t="inlineStr">
        <is>
          <t>Promoción de la mujer</t>
        </is>
      </c>
      <c r="F29" s="36" t="n"/>
      <c r="G29" s="36" t="n">
        <v>12000</v>
      </c>
      <c r="H29" s="37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</row>
    <row r="30" ht="15.75" customHeight="1" s="107">
      <c r="A30" s="35" t="n"/>
      <c r="B30" s="33" t="n"/>
      <c r="C30" s="31" t="n"/>
      <c r="D30" s="34" t="inlineStr">
        <is>
          <t>ASOCIACIÓN AMAS DE CASA UNAE ARANDA</t>
        </is>
      </c>
      <c r="E30" s="35" t="inlineStr">
        <is>
          <t>Promoción de la mujer</t>
        </is>
      </c>
      <c r="F30" s="36" t="n"/>
      <c r="G30" s="36" t="n">
        <v>12000</v>
      </c>
      <c r="H30" s="37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</row>
    <row r="31" ht="15.75" customHeight="1" s="107">
      <c r="A31" s="35" t="n"/>
      <c r="B31" s="33" t="n"/>
      <c r="C31" s="31" t="n"/>
      <c r="D31" s="34" t="inlineStr">
        <is>
          <t>Asoc. feminista Ruperta Baraya</t>
        </is>
      </c>
      <c r="E31" s="35" t="inlineStr">
        <is>
          <t>Promoción de la mujer</t>
        </is>
      </c>
      <c r="F31" s="36" t="n">
        <v>0</v>
      </c>
      <c r="G31" s="36" t="n">
        <v>12000</v>
      </c>
      <c r="H31" s="37" t="inlineStr">
        <is>
          <t>#DIV/0!</t>
        </is>
      </c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</row>
    <row r="32" ht="15.75" customHeight="1" s="107">
      <c r="A32" s="35" t="n"/>
      <c r="B32" s="35" t="n"/>
      <c r="C32" s="31" t="n"/>
      <c r="D32" s="34" t="n"/>
      <c r="E32" s="38" t="n">
        <v>2313</v>
      </c>
      <c r="F32" s="39" t="n">
        <v>0</v>
      </c>
      <c r="G32" s="39" t="n">
        <v>36000</v>
      </c>
      <c r="H32" s="40" t="inlineStr">
        <is>
          <t>#DIV/0!</t>
        </is>
      </c>
      <c r="I32" s="39" t="n">
        <v>7160</v>
      </c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</row>
    <row r="33" ht="15.75" customHeight="1" s="107">
      <c r="A33" s="20" t="n"/>
      <c r="B33" s="57" t="n"/>
      <c r="C33" s="26" t="n"/>
      <c r="D33" s="16" t="n"/>
      <c r="E33" s="20" t="n"/>
      <c r="F33" s="45" t="n"/>
      <c r="G33" s="26" t="n"/>
      <c r="H33" s="4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</row>
    <row r="34" ht="15.75" customHeight="1" s="107">
      <c r="A34" s="20" t="n"/>
      <c r="B34" s="41" t="inlineStr">
        <is>
          <t xml:space="preserve">3260 489.00 </t>
        </is>
      </c>
      <c r="C34" s="26" t="n">
        <v>91400</v>
      </c>
      <c r="D34" s="42" t="inlineStr">
        <is>
          <t>SERVICIOS COMPLEMENTARIOS DE EDUCACIÓN</t>
        </is>
      </c>
      <c r="E34" s="21" t="n"/>
      <c r="F34" s="45" t="n"/>
      <c r="G34" s="5" t="n"/>
      <c r="H34" s="4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</row>
    <row r="35" ht="16.5" customHeight="1" s="107">
      <c r="A35" s="20" t="n"/>
      <c r="B35" s="41" t="n"/>
      <c r="C35" s="26" t="n"/>
      <c r="D35" s="20" t="inlineStr">
        <is>
          <t>Convenio colabroración Romorantin-Lanthenay</t>
        </is>
      </c>
      <c r="E35" s="20" t="inlineStr">
        <is>
          <t>Convenio colaboración</t>
        </is>
      </c>
      <c r="F35" s="26" t="n">
        <v>2000</v>
      </c>
      <c r="G35" s="26" t="n">
        <v>2000</v>
      </c>
      <c r="H35" s="4" t="n">
        <v>0</v>
      </c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</row>
    <row r="36" ht="16.5" customHeight="1" s="107">
      <c r="A36" s="20" t="n"/>
      <c r="B36" s="41" t="n"/>
      <c r="C36" s="26" t="n"/>
      <c r="D36" s="20" t="inlineStr">
        <is>
          <t>UNED</t>
        </is>
      </c>
      <c r="E36" s="20" t="inlineStr">
        <is>
          <t>Sostenimiento universidad</t>
        </is>
      </c>
      <c r="F36" s="26" t="n">
        <v>0</v>
      </c>
      <c r="G36" s="26" t="n">
        <v>24000</v>
      </c>
      <c r="H36" s="4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</row>
    <row r="37" ht="16.5" customHeight="1" s="107">
      <c r="A37" s="20" t="n"/>
      <c r="B37" s="20" t="n"/>
      <c r="C37" s="26" t="n"/>
      <c r="D37" s="20" t="n"/>
      <c r="E37" s="21" t="n">
        <v>3260</v>
      </c>
      <c r="F37" s="23" t="n">
        <v>2000</v>
      </c>
      <c r="G37" s="23" t="n">
        <v>26000</v>
      </c>
      <c r="H37" s="4" t="n">
        <v>12</v>
      </c>
      <c r="I37" s="23" t="n">
        <v>300</v>
      </c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</row>
    <row r="38" ht="15.75" customHeight="1" s="107">
      <c r="A38" s="20" t="n"/>
      <c r="B38" s="57" t="n"/>
      <c r="C38" s="26" t="n"/>
      <c r="D38" s="16" t="n"/>
      <c r="E38" s="20" t="n"/>
      <c r="F38" s="45" t="n"/>
      <c r="G38" s="26" t="n"/>
      <c r="H38" s="4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</row>
    <row r="39" ht="15.75" customHeight="1" s="107">
      <c r="A39" s="20" t="n"/>
      <c r="B39" s="57" t="inlineStr">
        <is>
          <t>3340 489.00</t>
        </is>
      </c>
      <c r="C39" s="26" t="n">
        <v>104700</v>
      </c>
      <c r="D39" s="42" t="inlineStr">
        <is>
          <t>PROMOCION CULTURAL</t>
        </is>
      </c>
      <c r="E39" s="20" t="n"/>
      <c r="F39" s="45" t="n"/>
      <c r="G39" s="26" t="n"/>
      <c r="H39" s="4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</row>
    <row r="40" ht="15.75" customHeight="1" s="107">
      <c r="A40" s="20" t="n"/>
      <c r="B40" s="20" t="n"/>
      <c r="C40" s="26" t="n"/>
      <c r="D40" s="20" t="inlineStr">
        <is>
          <t>CINE CLUB DUERO</t>
        </is>
      </c>
      <c r="E40" s="20" t="inlineStr">
        <is>
          <t>SEMANA DE CINE Y CURSO CINEMATOGRÁFICO</t>
        </is>
      </c>
      <c r="F40" s="26" t="n">
        <v>5400</v>
      </c>
      <c r="G40" s="26" t="n">
        <v>5400</v>
      </c>
      <c r="H40" s="4" t="n">
        <v>0</v>
      </c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</row>
    <row r="41" ht="15.75" customHeight="1" s="107">
      <c r="A41" s="20" t="n"/>
      <c r="B41" s="20" t="n"/>
      <c r="C41" s="26" t="n"/>
      <c r="D41" s="20" t="inlineStr">
        <is>
          <t>ORFEON ARANDINO</t>
        </is>
      </c>
      <c r="E41" s="20" t="inlineStr">
        <is>
          <t>OTOÑO POLIFONICO Y ALQUILER DE LOCAL</t>
        </is>
      </c>
      <c r="F41" s="26" t="n">
        <v>16200</v>
      </c>
      <c r="G41" s="26" t="n">
        <v>16200</v>
      </c>
      <c r="H41" s="4" t="n">
        <v>0</v>
      </c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</row>
    <row r="42" ht="15.75" customHeight="1" s="107">
      <c r="A42" s="20" t="n"/>
      <c r="B42" s="20" t="n"/>
      <c r="C42" s="26" t="n"/>
      <c r="D42" s="20" t="inlineStr">
        <is>
          <t>ASOCIACION CULTURAL "LA TANGUILLA"</t>
        </is>
      </c>
      <c r="E42" s="20" t="inlineStr">
        <is>
          <t>ACTV. PROMC., FESTIV., CONGR. Y TALLERES</t>
        </is>
      </c>
      <c r="F42" s="26" t="n">
        <v>15000</v>
      </c>
      <c r="G42" s="26" t="n">
        <v>15000</v>
      </c>
      <c r="H42" s="4" t="n">
        <v>0</v>
      </c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</row>
    <row r="43" ht="12.75" customHeight="1" s="107">
      <c r="A43" s="67" t="n"/>
      <c r="B43" s="67" t="n"/>
      <c r="C43" s="44" t="n"/>
      <c r="D43" s="20" t="inlineStr">
        <is>
          <t>AGRUPACION RIBEREÑA DE LAS ARTES</t>
        </is>
      </c>
      <c r="E43" s="20" t="inlineStr">
        <is>
          <t>CONCURSO DE PINTURA RAPIDA</t>
        </is>
      </c>
      <c r="F43" s="26" t="n">
        <v>3000</v>
      </c>
      <c r="G43" s="26" t="n">
        <v>3000</v>
      </c>
      <c r="H43" s="4" t="n">
        <v>0</v>
      </c>
      <c r="I43" s="67" t="n"/>
      <c r="J43" s="67" t="n"/>
      <c r="K43" s="67" t="n"/>
      <c r="L43" s="67" t="n"/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  <c r="Z43" s="67" t="n"/>
    </row>
    <row r="44" ht="15.75" customHeight="1" s="107">
      <c r="A44" s="20" t="n"/>
      <c r="B44" s="20" t="n"/>
      <c r="C44" s="26" t="n"/>
      <c r="D44" s="20" t="inlineStr">
        <is>
          <t>ASOCIACION ART DE TROYA</t>
        </is>
      </c>
      <c r="E44" s="20" t="inlineStr">
        <is>
          <t>JORNADAS DEL POP</t>
        </is>
      </c>
      <c r="F44" s="26" t="n">
        <v>5300</v>
      </c>
      <c r="G44" s="26" t="n">
        <v>5300</v>
      </c>
      <c r="H44" s="4" t="n">
        <v>0</v>
      </c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</row>
    <row r="45" ht="15.75" customHeight="1" s="107">
      <c r="A45" s="20" t="n"/>
      <c r="B45" s="20" t="n"/>
      <c r="C45" s="26" t="n"/>
      <c r="D45" s="20" t="inlineStr">
        <is>
          <t>FILARMONICA ARANDA</t>
        </is>
      </c>
      <c r="E45" s="20" t="inlineStr">
        <is>
          <t>CONCIERTOS MUSICALES</t>
        </is>
      </c>
      <c r="F45" s="26" t="n">
        <v>5000</v>
      </c>
      <c r="G45" s="26" t="n">
        <v>7000</v>
      </c>
      <c r="H45" s="4" t="n">
        <v>0.4</v>
      </c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</row>
    <row r="46" ht="15.75" customHeight="1" s="107">
      <c r="A46" s="20" t="n"/>
      <c r="B46" s="20" t="n"/>
      <c r="C46" s="26" t="n"/>
      <c r="D46" s="20" t="inlineStr">
        <is>
          <t>FUNDACION LOLA PEREZ RIVERA</t>
        </is>
      </c>
      <c r="E46" s="20" t="inlineStr">
        <is>
          <t>PROMOCION MUSICA TRADICIONAL</t>
        </is>
      </c>
      <c r="F46" s="26" t="n">
        <v>10000</v>
      </c>
      <c r="G46" s="26" t="n">
        <v>10000</v>
      </c>
      <c r="H46" s="4" t="n">
        <v>0</v>
      </c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</row>
    <row r="47" ht="15.75" customHeight="1" s="107">
      <c r="A47" s="20" t="n"/>
      <c r="B47" s="20" t="n"/>
      <c r="C47" s="26" t="n"/>
      <c r="D47" s="20" t="inlineStr">
        <is>
          <t>FILATELIA Y NUMISMÁTICA</t>
        </is>
      </c>
      <c r="E47" s="20" t="inlineStr">
        <is>
          <t>EXPOSICION FILATELIA Y NUMISMÁTICA CON EDICIÓN SELLOS</t>
        </is>
      </c>
      <c r="F47" s="45" t="n">
        <v>0</v>
      </c>
      <c r="G47" s="26" t="n">
        <v>2500</v>
      </c>
      <c r="H47" s="4" t="inlineStr">
        <is>
          <t>#REF!</t>
        </is>
      </c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</row>
    <row r="48" ht="15.75" customHeight="1" s="107">
      <c r="A48" s="20" t="n"/>
      <c r="B48" s="20" t="n"/>
      <c r="C48" s="26" t="n"/>
      <c r="D48" s="20" t="inlineStr">
        <is>
          <t>ASOCIACIÓN CULTURAL "EL MOSTACHO"</t>
        </is>
      </c>
      <c r="E48" s="20" t="inlineStr">
        <is>
          <t>FESTIVAL INTERNACIONAL DE CINE</t>
        </is>
      </c>
      <c r="F48" s="45" t="n">
        <v>0</v>
      </c>
      <c r="G48" s="26" t="n">
        <v>14000</v>
      </c>
      <c r="H48" s="4" t="inlineStr">
        <is>
          <t>#REF!</t>
        </is>
      </c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</row>
    <row r="49" ht="16.5" customHeight="1" s="107">
      <c r="A49" s="20" t="n"/>
      <c r="B49" s="20" t="n"/>
      <c r="C49" s="26" t="n"/>
      <c r="D49" s="20" t="n"/>
      <c r="E49" s="21" t="n">
        <v>3340</v>
      </c>
      <c r="F49" s="23" t="n">
        <v>59900</v>
      </c>
      <c r="G49" s="23" t="n">
        <v>78400</v>
      </c>
      <c r="H49" s="4" t="n">
        <v>0.3088480801</v>
      </c>
      <c r="I49" s="23" t="n">
        <v>24800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</row>
    <row r="50" ht="16.5" customHeight="1" s="107">
      <c r="A50" s="20" t="n"/>
      <c r="B50" s="20" t="n"/>
      <c r="C50" s="26" t="n"/>
      <c r="D50" s="20" t="n"/>
      <c r="E50" s="21" t="n"/>
      <c r="F50" s="46" t="n"/>
      <c r="G50" s="46" t="n"/>
      <c r="H50" s="4" t="n"/>
      <c r="I50" s="46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</row>
    <row r="51" ht="15.75" customHeight="1" s="107">
      <c r="A51" s="47" t="n"/>
      <c r="B51" s="57" t="inlineStr">
        <is>
          <t>3373 489.00</t>
        </is>
      </c>
      <c r="C51" s="26" t="n">
        <v>180000</v>
      </c>
      <c r="D51" s="42" t="inlineStr">
        <is>
          <t>JUVENTUD</t>
        </is>
      </c>
      <c r="E51" s="47" t="n"/>
      <c r="F51" s="48" t="n"/>
      <c r="G51" s="48" t="n"/>
      <c r="H51" s="4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47" t="n"/>
      <c r="X51" s="47" t="n"/>
      <c r="Y51" s="50" t="n"/>
      <c r="Z51" s="50" t="n"/>
    </row>
    <row r="52" ht="15.75" customHeight="1" s="107">
      <c r="A52" s="47" t="n"/>
      <c r="B52" s="50" t="n"/>
      <c r="C52" s="48" t="n"/>
      <c r="D52" s="20" t="inlineStr">
        <is>
          <t>Asociación Grupo 93</t>
        </is>
      </c>
      <c r="E52" s="20" t="inlineStr">
        <is>
          <t xml:space="preserve">EUROFESTIVAL 2024 </t>
        </is>
      </c>
      <c r="F52" s="51" t="n">
        <v>15000</v>
      </c>
      <c r="G52" s="51" t="n">
        <v>85000</v>
      </c>
      <c r="H52" s="4" t="n">
        <v>4.666666667</v>
      </c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47" t="n"/>
      <c r="X52" s="47" t="n"/>
      <c r="Y52" s="50" t="n"/>
      <c r="Z52" s="50" t="n"/>
    </row>
    <row r="53" ht="16.5" customHeight="1" s="107">
      <c r="A53" s="20" t="n"/>
      <c r="B53" s="20" t="n"/>
      <c r="C53" s="26" t="n"/>
      <c r="D53" s="20" t="n"/>
      <c r="E53" s="21" t="n">
        <v>3373</v>
      </c>
      <c r="F53" s="23" t="n">
        <v>15000</v>
      </c>
      <c r="G53" s="23" t="n">
        <v>85000</v>
      </c>
      <c r="H53" s="4" t="n">
        <v>4.666666667</v>
      </c>
      <c r="I53" s="23" t="n">
        <v>95000</v>
      </c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</row>
    <row r="54" ht="15.75" customHeight="1" s="107">
      <c r="A54" s="20" t="n"/>
      <c r="B54" s="20" t="n"/>
      <c r="C54" s="26" t="n"/>
      <c r="D54" s="20" t="n"/>
      <c r="E54" s="21" t="n"/>
      <c r="F54" s="45" t="n"/>
      <c r="G54" s="46" t="n"/>
      <c r="H54" s="4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</row>
    <row r="55" ht="15.75" customHeight="1" s="107">
      <c r="A55" s="20" t="n"/>
      <c r="B55" s="57" t="inlineStr">
        <is>
          <t>3410 489.00</t>
        </is>
      </c>
      <c r="C55" s="26" t="n">
        <v>339400</v>
      </c>
      <c r="D55" s="42" t="inlineStr">
        <is>
          <t>PROMOCIÓN DEPORTIVA</t>
        </is>
      </c>
      <c r="E55" s="20" t="n"/>
      <c r="F55" s="45" t="n"/>
      <c r="G55" s="26" t="n"/>
      <c r="H55" s="4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</row>
    <row r="56" ht="15.75" customHeight="1" s="107">
      <c r="A56" s="20" t="n"/>
      <c r="B56" s="57" t="n"/>
      <c r="C56" s="26" t="n"/>
      <c r="D56" s="20" t="inlineStr">
        <is>
          <t>C D ARANDA BOX</t>
        </is>
      </c>
      <c r="E56" s="20" t="inlineStr">
        <is>
          <t>PROMOCION DEPORTIVA</t>
        </is>
      </c>
      <c r="F56" s="26" t="n">
        <v>2000</v>
      </c>
      <c r="G56" s="26" t="n">
        <v>3000</v>
      </c>
      <c r="H56" s="4" t="n">
        <v>0.5</v>
      </c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</row>
    <row r="57" ht="15.75" customHeight="1" s="107">
      <c r="A57" s="20" t="n"/>
      <c r="B57" s="57" t="n"/>
      <c r="C57" s="26" t="n"/>
      <c r="D57" s="20" t="inlineStr">
        <is>
          <t>C D ARANDA CORRE</t>
        </is>
      </c>
      <c r="E57" s="20" t="inlineStr">
        <is>
          <t>PROMOCION DEPORTIVA</t>
        </is>
      </c>
      <c r="F57" s="26" t="n">
        <v>350</v>
      </c>
      <c r="G57" s="26" t="n">
        <v>350</v>
      </c>
      <c r="H57" s="4" t="n">
        <v>0</v>
      </c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</row>
    <row r="58" ht="15.75" customHeight="1" s="107">
      <c r="A58" s="20" t="n"/>
      <c r="B58" s="57" t="n"/>
      <c r="C58" s="26" t="n"/>
      <c r="D58" s="20" t="inlineStr">
        <is>
          <t>C D ARANDA RIBER</t>
        </is>
      </c>
      <c r="E58" s="20" t="inlineStr">
        <is>
          <t>PROMOCION DEPORTIVA</t>
        </is>
      </c>
      <c r="F58" s="26" t="n">
        <v>6000</v>
      </c>
      <c r="G58" s="26" t="n">
        <v>21000</v>
      </c>
      <c r="H58" s="4" t="n">
        <v>2.5</v>
      </c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</row>
    <row r="59" ht="15.75" customHeight="1" s="107">
      <c r="A59" s="20" t="n"/>
      <c r="B59" s="57" t="n"/>
      <c r="C59" s="26" t="n"/>
      <c r="D59" s="52" t="inlineStr">
        <is>
          <t>C D ARANDA VETERANOS CF</t>
        </is>
      </c>
      <c r="E59" s="20" t="inlineStr">
        <is>
          <t>PROMOCION DEPORTIVA</t>
        </is>
      </c>
      <c r="F59" s="26" t="n">
        <v>500</v>
      </c>
      <c r="G59" s="26" t="n">
        <v>500</v>
      </c>
      <c r="H59" s="4" t="n">
        <v>0</v>
      </c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</row>
    <row r="60" ht="15.75" customHeight="1" s="107">
      <c r="A60" s="20" t="n"/>
      <c r="B60" s="57" t="n"/>
      <c r="C60" s="26" t="n"/>
      <c r="D60" s="52" t="inlineStr">
        <is>
          <t>C D ARANDINA CLUB DE FUTBOL</t>
        </is>
      </c>
      <c r="E60" s="20" t="inlineStr">
        <is>
          <t>PROMOCION DEPORTIVA</t>
        </is>
      </c>
      <c r="F60" s="54" t="n">
        <v>56000</v>
      </c>
      <c r="G60" s="54" t="n">
        <v>63000</v>
      </c>
      <c r="H60" s="4" t="n">
        <v>0.125</v>
      </c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</row>
    <row r="61" ht="15.75" customHeight="1" s="107">
      <c r="A61" s="20" t="n"/>
      <c r="B61" s="57" t="n"/>
      <c r="C61" s="26" t="n"/>
      <c r="D61" s="20" t="inlineStr">
        <is>
          <t>C D ARCO CLUB MOSQUETEROS</t>
        </is>
      </c>
      <c r="E61" s="20" t="inlineStr">
        <is>
          <t>PROMOCION DEPORTIVA</t>
        </is>
      </c>
      <c r="F61" s="26" t="n">
        <v>750</v>
      </c>
      <c r="G61" s="26" t="n">
        <v>750</v>
      </c>
      <c r="H61" s="4" t="n">
        <v>0</v>
      </c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</row>
    <row r="62" ht="15.75" customHeight="1" s="107">
      <c r="A62" s="20" t="n"/>
      <c r="B62" s="57" t="n"/>
      <c r="C62" s="26" t="n"/>
      <c r="D62" s="20" t="inlineStr">
        <is>
          <t>C D ARETE</t>
        </is>
      </c>
      <c r="E62" s="20" t="inlineStr">
        <is>
          <t>PROMOCION DEPORTIVA</t>
        </is>
      </c>
      <c r="F62" s="26" t="n">
        <v>2500</v>
      </c>
      <c r="G62" s="26" t="n">
        <v>2500</v>
      </c>
      <c r="H62" s="4" t="n">
        <v>0</v>
      </c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</row>
    <row r="63" ht="15.75" customHeight="1" s="107">
      <c r="A63" s="20" t="n"/>
      <c r="B63" s="57" t="n"/>
      <c r="C63" s="26" t="n"/>
      <c r="D63" s="20" t="inlineStr">
        <is>
          <t>C D ATLETISMO ARANDA</t>
        </is>
      </c>
      <c r="E63" s="20" t="inlineStr">
        <is>
          <t>PROMOCION DEPORTIVA</t>
        </is>
      </c>
      <c r="F63" s="26" t="n">
        <v>20000</v>
      </c>
      <c r="G63" s="26" t="n">
        <v>20000</v>
      </c>
      <c r="H63" s="4" t="n">
        <v>0</v>
      </c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</row>
    <row r="64" ht="15.75" customHeight="1" s="107">
      <c r="A64" s="20" t="n"/>
      <c r="B64" s="57" t="n"/>
      <c r="C64" s="26" t="n"/>
      <c r="D64" s="20" t="inlineStr">
        <is>
          <t>C D CICLISTA ARANDINO</t>
        </is>
      </c>
      <c r="E64" s="20" t="inlineStr">
        <is>
          <t>PROMOCION DEPORTIVA</t>
        </is>
      </c>
      <c r="F64" s="26" t="n">
        <v>14000</v>
      </c>
      <c r="G64" s="26" t="n">
        <v>14000</v>
      </c>
      <c r="H64" s="4" t="n">
        <v>0</v>
      </c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</row>
    <row r="65" ht="15.75" customHeight="1" s="107">
      <c r="A65" s="20" t="n"/>
      <c r="B65" s="57" t="n"/>
      <c r="C65" s="26" t="n"/>
      <c r="D65" s="20" t="inlineStr">
        <is>
          <t>C D DONCEL ASADEMA</t>
        </is>
      </c>
      <c r="E65" s="20" t="inlineStr">
        <is>
          <t>PROMOCION DEPORTIVA</t>
        </is>
      </c>
      <c r="F65" s="26" t="n">
        <v>2000</v>
      </c>
      <c r="G65" s="26" t="n">
        <v>2000</v>
      </c>
      <c r="H65" s="4" t="n">
        <v>0</v>
      </c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</row>
    <row r="66" ht="15.75" customHeight="1" s="107">
      <c r="A66" s="20" t="n"/>
      <c r="B66" s="57" t="n"/>
      <c r="C66" s="26" t="n"/>
      <c r="D66" s="20" t="inlineStr">
        <is>
          <t>C D ESPELEODUERO</t>
        </is>
      </c>
      <c r="E66" s="20" t="inlineStr">
        <is>
          <t>PROMOCION DEPORTIVA</t>
        </is>
      </c>
      <c r="F66" s="26" t="n">
        <v>3300</v>
      </c>
      <c r="G66" s="26" t="n">
        <v>3300</v>
      </c>
      <c r="H66" s="4" t="n">
        <v>0</v>
      </c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</row>
    <row r="67" ht="15.75" customHeight="1" s="107">
      <c r="A67" s="20" t="n"/>
      <c r="B67" s="57" t="n"/>
      <c r="C67" s="26" t="n"/>
      <c r="D67" s="20" t="inlineStr">
        <is>
          <t>C D ESPELEOLOGICO RIBEREÑO</t>
        </is>
      </c>
      <c r="E67" s="20" t="inlineStr">
        <is>
          <t>PROMOCION DEPORTIVA</t>
        </is>
      </c>
      <c r="F67" s="26" t="n">
        <v>2500</v>
      </c>
      <c r="G67" s="26" t="n">
        <v>2500</v>
      </c>
      <c r="H67" s="4" t="n">
        <v>0</v>
      </c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</row>
    <row r="68" ht="15.75" customHeight="1" s="107">
      <c r="A68" s="20" t="n"/>
      <c r="B68" s="57" t="n"/>
      <c r="C68" s="26" t="n"/>
      <c r="D68" s="20" t="inlineStr">
        <is>
          <t>C D FUTBOL SALA 1503</t>
        </is>
      </c>
      <c r="E68" s="20" t="inlineStr">
        <is>
          <t>PROMOCION DEPORTIVA</t>
        </is>
      </c>
      <c r="F68" s="26" t="n">
        <v>1000</v>
      </c>
      <c r="G68" s="26" t="n">
        <v>1000</v>
      </c>
      <c r="H68" s="4" t="n">
        <v>0</v>
      </c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</row>
    <row r="69" ht="15.75" customHeight="1" s="107">
      <c r="A69" s="20" t="n"/>
      <c r="B69" s="57" t="n"/>
      <c r="C69" s="26" t="n"/>
      <c r="D69" s="20" t="inlineStr">
        <is>
          <t>C D GIMNASIA ARTISTICA ARANDA</t>
        </is>
      </c>
      <c r="E69" s="20" t="inlineStr">
        <is>
          <t>PROMOCION DEPORTIVA</t>
        </is>
      </c>
      <c r="F69" s="26" t="n">
        <v>1000</v>
      </c>
      <c r="G69" s="26" t="n">
        <v>1500</v>
      </c>
      <c r="H69" s="4" t="n">
        <v>0.5</v>
      </c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</row>
    <row r="70" ht="15.75" customHeight="1" s="107">
      <c r="A70" s="20" t="n"/>
      <c r="B70" s="57" t="n"/>
      <c r="C70" s="26" t="n"/>
      <c r="D70" s="20" t="inlineStr">
        <is>
          <t>C D GOLF ARANDA</t>
        </is>
      </c>
      <c r="E70" s="20" t="inlineStr">
        <is>
          <t>PROMOCION DEPORTIVA</t>
        </is>
      </c>
      <c r="F70" s="26" t="n">
        <v>3000</v>
      </c>
      <c r="G70" s="26" t="n">
        <v>3000</v>
      </c>
      <c r="H70" s="4" t="n">
        <v>0</v>
      </c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</row>
    <row r="71" ht="15.75" customHeight="1" s="107">
      <c r="A71" s="20" t="n"/>
      <c r="B71" s="57" t="n"/>
      <c r="C71" s="26" t="n"/>
      <c r="D71" s="20" t="inlineStr">
        <is>
          <t>C D HOKEY LINEA</t>
        </is>
      </c>
      <c r="E71" s="20" t="inlineStr">
        <is>
          <t>PROMOCION DEPORTIVA</t>
        </is>
      </c>
      <c r="F71" s="26" t="n">
        <v>7000</v>
      </c>
      <c r="G71" s="26" t="n">
        <v>7500</v>
      </c>
      <c r="H71" s="4" t="n">
        <v>0.07142857143</v>
      </c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</row>
    <row r="72" ht="15.75" customHeight="1" s="107">
      <c r="A72" s="20" t="n"/>
      <c r="B72" s="57" t="n"/>
      <c r="C72" s="26" t="n"/>
      <c r="D72" s="20" t="inlineStr">
        <is>
          <t>C D JUVENTUD ARANDA</t>
        </is>
      </c>
      <c r="E72" s="20" t="inlineStr">
        <is>
          <t>PROMOCION DEPORTIVA</t>
        </is>
      </c>
      <c r="F72" s="26" t="n">
        <v>7500</v>
      </c>
      <c r="G72" s="26" t="n">
        <v>7500</v>
      </c>
      <c r="H72" s="4" t="n">
        <v>0</v>
      </c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</row>
    <row r="73" ht="15.75" customHeight="1" s="107">
      <c r="A73" s="20" t="n"/>
      <c r="B73" s="57" t="n"/>
      <c r="C73" s="26" t="n"/>
      <c r="D73" s="20" t="inlineStr">
        <is>
          <t>C D MOTOCLUB ARANDA</t>
        </is>
      </c>
      <c r="E73" s="20" t="inlineStr">
        <is>
          <t>PROMOCION DEPORTIVA</t>
        </is>
      </c>
      <c r="F73" s="26" t="n">
        <v>2000</v>
      </c>
      <c r="G73" s="26" t="n">
        <v>2500</v>
      </c>
      <c r="H73" s="4" t="n">
        <v>0.25</v>
      </c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</row>
    <row r="74" ht="15.75" customHeight="1" s="107">
      <c r="A74" s="20" t="n"/>
      <c r="B74" s="57" t="n"/>
      <c r="C74" s="26" t="n"/>
      <c r="D74" s="52" t="inlineStr">
        <is>
          <t>C.D PROMOARANDA</t>
        </is>
      </c>
      <c r="E74" s="20" t="inlineStr">
        <is>
          <t>PROMOCION DEPORTIVA</t>
        </is>
      </c>
      <c r="F74" s="54" t="n">
        <v>20000</v>
      </c>
      <c r="G74" s="54" t="n">
        <v>20000</v>
      </c>
      <c r="H74" s="4" t="n">
        <v>0</v>
      </c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</row>
    <row r="75" ht="15.75" customHeight="1" s="107">
      <c r="A75" s="20" t="n"/>
      <c r="B75" s="57" t="n"/>
      <c r="C75" s="26" t="n"/>
      <c r="D75" s="20" t="inlineStr">
        <is>
          <t>C D RUGBY ARANDA</t>
        </is>
      </c>
      <c r="E75" s="20" t="inlineStr">
        <is>
          <t>PROMOCION DEPORTIVA</t>
        </is>
      </c>
      <c r="F75" s="26" t="n">
        <v>6000</v>
      </c>
      <c r="G75" s="26" t="n">
        <v>6000</v>
      </c>
      <c r="H75" s="4" t="n">
        <v>0</v>
      </c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</row>
    <row r="76" ht="15.75" customHeight="1" s="107">
      <c r="A76" s="20" t="n"/>
      <c r="B76" s="57" t="n"/>
      <c r="C76" s="26" t="n"/>
      <c r="D76" s="20" t="inlineStr">
        <is>
          <t>C D TENIS ARANDA</t>
        </is>
      </c>
      <c r="E76" s="20" t="inlineStr">
        <is>
          <t>PROMOCION DEPORTIVA</t>
        </is>
      </c>
      <c r="F76" s="26" t="n">
        <v>1500</v>
      </c>
      <c r="G76" s="26" t="n">
        <v>1500</v>
      </c>
      <c r="H76" s="4" t="n">
        <v>0</v>
      </c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</row>
    <row r="77" ht="15.75" customHeight="1" s="107">
      <c r="A77" s="20" t="n"/>
      <c r="B77" s="57" t="n"/>
      <c r="C77" s="26" t="n"/>
      <c r="D77" s="20" t="inlineStr">
        <is>
          <t>C D TIRO ALCOTANES</t>
        </is>
      </c>
      <c r="E77" s="20" t="inlineStr">
        <is>
          <t>PROMOCION DEPORTIVA</t>
        </is>
      </c>
      <c r="F77" s="26" t="n">
        <v>2000</v>
      </c>
      <c r="G77" s="26" t="n">
        <v>2000</v>
      </c>
      <c r="H77" s="4" t="n">
        <v>0</v>
      </c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</row>
    <row r="78" ht="15.75" customHeight="1" s="107">
      <c r="A78" s="20" t="n"/>
      <c r="B78" s="57" t="n"/>
      <c r="C78" s="26" t="n"/>
      <c r="D78" s="20" t="inlineStr">
        <is>
          <t>C D TORRE NEGRA AJEDREZ</t>
        </is>
      </c>
      <c r="E78" s="20" t="inlineStr">
        <is>
          <t>PROMOCION DEPORTIVA</t>
        </is>
      </c>
      <c r="F78" s="26" t="n">
        <v>1000</v>
      </c>
      <c r="G78" s="26" t="n">
        <v>1500</v>
      </c>
      <c r="H78" s="4" t="n">
        <v>0.5</v>
      </c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</row>
    <row r="79" ht="15.75" customHeight="1" s="107">
      <c r="A79" s="20" t="n"/>
      <c r="B79" s="57" t="n"/>
      <c r="C79" s="26" t="n"/>
      <c r="D79" s="20" t="inlineStr">
        <is>
          <t>C D TRIATLON ARANDA</t>
        </is>
      </c>
      <c r="E79" s="20" t="inlineStr">
        <is>
          <t>PROMOCION DEPORTIVA</t>
        </is>
      </c>
      <c r="F79" s="26" t="n">
        <v>2000</v>
      </c>
      <c r="G79" s="26" t="n">
        <v>2000</v>
      </c>
      <c r="H79" s="4" t="n">
        <v>0</v>
      </c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</row>
    <row r="80" ht="15.75" customHeight="1" s="107">
      <c r="A80" s="20" t="n"/>
      <c r="B80" s="57" t="n"/>
      <c r="C80" s="26" t="n"/>
      <c r="D80" s="20" t="inlineStr">
        <is>
          <t>C D TRIATLON TRIBU RIBERA</t>
        </is>
      </c>
      <c r="E80" s="20" t="inlineStr">
        <is>
          <t>PROMOCION DEPORTIVA</t>
        </is>
      </c>
      <c r="F80" s="26" t="n">
        <v>250</v>
      </c>
      <c r="G80" s="26" t="n">
        <v>250</v>
      </c>
      <c r="H80" s="4" t="n">
        <v>0</v>
      </c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</row>
    <row r="81" ht="15.75" customHeight="1" s="107">
      <c r="A81" s="20" t="n"/>
      <c r="B81" s="57" t="n"/>
      <c r="C81" s="26" t="n"/>
      <c r="D81" s="20" t="inlineStr">
        <is>
          <t>C D PADDELFIT</t>
        </is>
      </c>
      <c r="E81" s="20" t="inlineStr">
        <is>
          <t>PROMOCION DEPORTIVA</t>
        </is>
      </c>
      <c r="F81" s="26" t="n">
        <v>450</v>
      </c>
      <c r="G81" s="26" t="n">
        <v>450</v>
      </c>
      <c r="H81" s="4" t="n">
        <v>0</v>
      </c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</row>
    <row r="82" ht="15.75" customHeight="1" s="107">
      <c r="A82" s="20" t="n"/>
      <c r="B82" s="20" t="n"/>
      <c r="C82" s="26" t="n"/>
      <c r="D82" s="20" t="inlineStr">
        <is>
          <t>C D VELO CLUB RIBERA DUERO</t>
        </is>
      </c>
      <c r="E82" s="20" t="inlineStr">
        <is>
          <t>PROMOCION DEPORTIVA</t>
        </is>
      </c>
      <c r="F82" s="26" t="n">
        <v>8000</v>
      </c>
      <c r="G82" s="26" t="n">
        <v>8000</v>
      </c>
      <c r="H82" s="4" t="n">
        <v>0</v>
      </c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</row>
    <row r="83" ht="15.75" customHeight="1" s="107">
      <c r="A83" s="20" t="n"/>
      <c r="B83" s="20" t="n"/>
      <c r="C83" s="26" t="n"/>
      <c r="D83" s="20" t="inlineStr">
        <is>
          <t>C D VILLA DE ARANDA BLM</t>
        </is>
      </c>
      <c r="E83" s="20" t="inlineStr">
        <is>
          <t>PROMOCION DEPORTIVA</t>
        </is>
      </c>
      <c r="F83" s="26" t="n">
        <v>63000</v>
      </c>
      <c r="G83" s="26" t="n">
        <v>68000</v>
      </c>
      <c r="H83" s="4" t="n">
        <v>0.07936507936999999</v>
      </c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</row>
    <row r="84" ht="15.75" customHeight="1" s="107">
      <c r="A84" s="20" t="n"/>
      <c r="B84" s="20" t="n"/>
      <c r="C84" s="26" t="n"/>
      <c r="D84" s="20" t="inlineStr">
        <is>
          <t>C D BOMBEROS</t>
        </is>
      </c>
      <c r="E84" s="20" t="inlineStr">
        <is>
          <t xml:space="preserve">ORGANIZACIÓN SAN SILVESTRE </t>
        </is>
      </c>
      <c r="F84" s="26" t="n">
        <v>12000</v>
      </c>
      <c r="G84" s="26" t="n">
        <v>12000</v>
      </c>
      <c r="H84" s="4" t="n">
        <v>0</v>
      </c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</row>
    <row r="85" ht="15.75" customHeight="1" s="107">
      <c r="A85" s="20" t="n"/>
      <c r="B85" s="20" t="n"/>
      <c r="C85" s="26" t="n"/>
      <c r="D85" s="20" t="inlineStr">
        <is>
          <t>RIBERA RUGBY</t>
        </is>
      </c>
      <c r="E85" s="20" t="inlineStr">
        <is>
          <t>PROMOCION DEPORTIVA</t>
        </is>
      </c>
      <c r="F85" s="26" t="n">
        <v>0</v>
      </c>
      <c r="G85" s="26" t="n">
        <v>1000</v>
      </c>
      <c r="H85" s="4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</row>
    <row r="86" ht="16.5" customHeight="1" s="107">
      <c r="A86" s="20" t="n"/>
      <c r="B86" s="20" t="n"/>
      <c r="C86" s="26" t="n"/>
      <c r="D86" s="20" t="n"/>
      <c r="E86" s="21" t="n">
        <v>3410</v>
      </c>
      <c r="F86" s="55" t="n">
        <v>247600</v>
      </c>
      <c r="G86" s="55" t="n">
        <v>278600</v>
      </c>
      <c r="H86" s="4" t="n">
        <v>0.1252019386</v>
      </c>
      <c r="I86" s="23" t="n">
        <v>60800</v>
      </c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</row>
    <row r="87" ht="15.75" customHeight="1" s="107">
      <c r="A87" s="20" t="n"/>
      <c r="B87" s="20" t="n"/>
      <c r="C87" s="50" t="n"/>
      <c r="D87" s="20" t="n"/>
      <c r="E87" s="21" t="n"/>
      <c r="F87" s="26" t="n"/>
      <c r="G87" s="56" t="n"/>
      <c r="H87" s="4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</row>
    <row r="88" ht="15.75" customHeight="1" s="107">
      <c r="A88" s="20" t="n"/>
      <c r="B88" s="57" t="inlineStr">
        <is>
          <t>4310 489.00</t>
        </is>
      </c>
      <c r="C88" s="26" t="n">
        <v>50000</v>
      </c>
      <c r="D88" s="42" t="inlineStr">
        <is>
          <t>COMERCIO</t>
        </is>
      </c>
      <c r="E88" s="20" t="n"/>
      <c r="F88" s="45" t="n"/>
      <c r="G88" s="26" t="n"/>
      <c r="H88" s="4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</row>
    <row r="89" ht="15.75" customHeight="1" s="107">
      <c r="A89" s="20" t="n"/>
      <c r="B89" s="20" t="n"/>
      <c r="C89" s="26" t="n"/>
      <c r="D89" s="20" t="inlineStr">
        <is>
          <t>ACOA</t>
        </is>
      </c>
      <c r="E89" s="20" t="inlineStr">
        <is>
          <t>PLAN DINAMIZACION COMERCIO LOCAL</t>
        </is>
      </c>
      <c r="F89" s="26" t="n">
        <v>50000</v>
      </c>
      <c r="G89" s="26" t="n">
        <v>30000</v>
      </c>
      <c r="H89" s="4" t="n">
        <v>-0.4</v>
      </c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</row>
    <row r="90" ht="13.5" customHeight="1" s="107">
      <c r="A90" s="67" t="n"/>
      <c r="B90" s="67" t="n"/>
      <c r="C90" s="44" t="n"/>
      <c r="D90" s="20" t="inlineStr">
        <is>
          <t>ASOC. COMERCIANTES SANTA CATALINA</t>
        </is>
      </c>
      <c r="E90" s="20" t="inlineStr">
        <is>
          <t>DINAMIZACION COMERCIO LOCAL</t>
        </is>
      </c>
      <c r="F90" s="26" t="n">
        <v>20000</v>
      </c>
      <c r="G90" s="26" t="n">
        <v>20000</v>
      </c>
      <c r="H90" s="4" t="n">
        <v>0</v>
      </c>
      <c r="I90" s="67" t="n"/>
      <c r="J90" s="67" t="n"/>
      <c r="K90" s="67" t="n"/>
      <c r="L90" s="67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n"/>
      <c r="Z90" s="67" t="n"/>
    </row>
    <row r="91" ht="16.5" customHeight="1" s="107">
      <c r="A91" s="20" t="n"/>
      <c r="B91" s="20" t="n"/>
      <c r="C91" s="26" t="n"/>
      <c r="D91" s="20" t="n"/>
      <c r="E91" s="21" t="n">
        <v>4310</v>
      </c>
      <c r="F91" s="23" t="n">
        <v>70000</v>
      </c>
      <c r="G91" s="23" t="n">
        <v>50000</v>
      </c>
      <c r="H91" s="4" t="n">
        <v>-0.2857142857</v>
      </c>
      <c r="I91" s="23" t="n">
        <v>0</v>
      </c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</row>
    <row r="92" ht="16.5" customHeight="1" s="107">
      <c r="A92" s="20" t="n"/>
      <c r="B92" s="20" t="n"/>
      <c r="C92" s="26" t="n"/>
      <c r="D92" s="20" t="n"/>
      <c r="E92" s="21" t="n"/>
      <c r="F92" s="46" t="n"/>
      <c r="G92" s="46" t="n"/>
      <c r="H92" s="4" t="n"/>
      <c r="I92" s="46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</row>
    <row r="93" ht="15.75" customHeight="1" s="107">
      <c r="A93" s="47" t="n"/>
      <c r="B93" s="57" t="inlineStr">
        <is>
          <t>4320 489.00</t>
        </is>
      </c>
      <c r="C93" s="26" t="n">
        <v>43700</v>
      </c>
      <c r="D93" s="42" t="inlineStr">
        <is>
          <t>TURISMO</t>
        </is>
      </c>
      <c r="E93" s="47" t="n"/>
      <c r="F93" s="48" t="n"/>
      <c r="G93" s="48" t="n"/>
      <c r="H93" s="4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  <c r="W93" s="47" t="n"/>
      <c r="X93" s="47" t="n"/>
      <c r="Y93" s="50" t="n"/>
      <c r="Z93" s="50" t="n"/>
    </row>
    <row r="94" ht="16.5" customHeight="1" s="107">
      <c r="A94" s="20" t="n"/>
      <c r="B94" s="20" t="n"/>
      <c r="C94" s="26" t="n"/>
      <c r="D94" s="20" t="inlineStr">
        <is>
          <t>BIKER RACING SHOW DOS LEONES</t>
        </is>
      </c>
      <c r="E94" s="20" t="inlineStr">
        <is>
          <t>ORGANIZACIÓN Concentración motera</t>
        </is>
      </c>
      <c r="F94" s="45" t="n">
        <v>0</v>
      </c>
      <c r="G94" s="45" t="n">
        <v>24000</v>
      </c>
      <c r="H94" s="4" t="n"/>
      <c r="I94" s="46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</row>
    <row r="95" ht="15.75" customHeight="1" s="107">
      <c r="A95" s="20" t="n"/>
      <c r="B95" s="57" t="n"/>
      <c r="C95" s="26" t="n"/>
      <c r="D95" s="20" t="inlineStr">
        <is>
          <t>HERMANDAD DE COFRADIAS</t>
        </is>
      </c>
      <c r="E95" s="20" t="inlineStr">
        <is>
          <t>BAJADA DEL ANGEL , SEMANA SANTA Y ALQUILER ALMACEN</t>
        </is>
      </c>
      <c r="F95" s="26" t="n">
        <v>9000</v>
      </c>
      <c r="G95" s="26" t="n">
        <v>9000</v>
      </c>
      <c r="H95" s="4" t="n">
        <v>0</v>
      </c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</row>
    <row r="96" ht="16.5" customHeight="1" s="107">
      <c r="A96" s="20" t="n"/>
      <c r="B96" s="20" t="n"/>
      <c r="C96" s="26" t="n"/>
      <c r="D96" s="20" t="n"/>
      <c r="E96" s="21" t="n">
        <v>4320</v>
      </c>
      <c r="F96" s="23" t="n">
        <v>0</v>
      </c>
      <c r="G96" s="23" t="n">
        <v>33000</v>
      </c>
      <c r="H96" s="4" t="inlineStr">
        <is>
          <t>#DIV/0!</t>
        </is>
      </c>
      <c r="I96" s="23" t="n">
        <v>95000</v>
      </c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</row>
    <row r="97" ht="16.5" customHeight="1" s="107">
      <c r="A97" s="20" t="n"/>
      <c r="B97" s="20" t="n"/>
      <c r="C97" s="26" t="n"/>
      <c r="D97" s="20" t="n"/>
      <c r="E97" s="21" t="n"/>
      <c r="F97" s="46" t="n"/>
      <c r="G97" s="46" t="n"/>
      <c r="H97" s="4" t="n"/>
      <c r="I97" s="46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</row>
    <row r="98" ht="16.5" customHeight="1" s="107">
      <c r="A98" s="20" t="n"/>
      <c r="B98" s="20" t="n"/>
      <c r="C98" s="26" t="n"/>
      <c r="D98" s="20" t="n"/>
      <c r="E98" s="21" t="n"/>
      <c r="F98" s="46" t="n"/>
      <c r="G98" s="46" t="n"/>
      <c r="H98" s="4" t="n"/>
      <c r="I98" s="46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</row>
    <row r="99" ht="15.75" customHeight="1" s="107">
      <c r="A99" s="20" t="n"/>
      <c r="B99" s="57" t="inlineStr">
        <is>
          <t>4330 489.00</t>
        </is>
      </c>
      <c r="C99" s="26" t="n">
        <v>65900</v>
      </c>
      <c r="D99" s="42" t="inlineStr">
        <is>
          <t>DESARROLLO ECONÓMICO</t>
        </is>
      </c>
      <c r="E99" s="20" t="n"/>
      <c r="F99" s="45" t="n"/>
      <c r="G99" s="26" t="n"/>
      <c r="H99" s="4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</row>
    <row r="100" ht="15.75" customHeight="1" s="107">
      <c r="A100" s="20" t="n"/>
      <c r="B100" s="20" t="n"/>
      <c r="C100" s="26" t="n"/>
      <c r="D100" s="20" t="inlineStr">
        <is>
          <t xml:space="preserve">ASOHAR </t>
        </is>
      </c>
      <c r="E100" s="20" t="inlineStr">
        <is>
          <t xml:space="preserve">PLAN DINAMIZACION HOSTELERIA </t>
        </is>
      </c>
      <c r="F100" s="26" t="n">
        <v>100000</v>
      </c>
      <c r="G100" s="26" t="n">
        <v>30000</v>
      </c>
      <c r="H100" s="4" t="n">
        <v>-0.7</v>
      </c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  <c r="Y100" s="20" t="n"/>
      <c r="Z100" s="20" t="n"/>
    </row>
    <row r="101" ht="15.75" customHeight="1" s="107">
      <c r="A101" s="20" t="n"/>
      <c r="B101" s="20" t="n"/>
      <c r="C101" s="26" t="n"/>
      <c r="D101" s="20" t="inlineStr">
        <is>
          <t>JEARCO</t>
        </is>
      </c>
      <c r="E101" s="20" t="inlineStr">
        <is>
          <t>DESARROLLO PROYECTOS EMPRENDEDORES</t>
        </is>
      </c>
      <c r="F101" s="26" t="n">
        <v>3500</v>
      </c>
      <c r="G101" s="26" t="n">
        <v>3500</v>
      </c>
      <c r="H101" s="4" t="n">
        <v>0</v>
      </c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</row>
    <row r="102" ht="15.75" customHeight="1" s="107">
      <c r="A102" s="20" t="n"/>
      <c r="B102" s="20" t="n"/>
      <c r="C102" s="26" t="n"/>
      <c r="D102" s="20" t="inlineStr">
        <is>
          <t>ASEMAR</t>
        </is>
      </c>
      <c r="E102" s="20" t="inlineStr">
        <is>
          <t>PREMIO INICIATIVA EMPRESARIAL</t>
        </is>
      </c>
      <c r="F102" s="26" t="n">
        <v>3000</v>
      </c>
      <c r="G102" s="26" t="n">
        <v>3000</v>
      </c>
      <c r="H102" s="4" t="n">
        <v>0</v>
      </c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</row>
    <row r="103" ht="15.75" customHeight="1" s="107">
      <c r="A103" s="20" t="n"/>
      <c r="B103" s="58" t="n"/>
      <c r="C103" s="26" t="n"/>
      <c r="D103" s="20" t="inlineStr">
        <is>
          <t>FEDER. DE ORG. DE PANADERIA DE CAST. Y LEON</t>
        </is>
      </c>
      <c r="E103" s="20" t="inlineStr">
        <is>
          <t xml:space="preserve">PROMC. MARCA DE GART. TORTA DE ARANDA </t>
        </is>
      </c>
      <c r="F103" s="26" t="n">
        <v>2500</v>
      </c>
      <c r="G103" s="26" t="n">
        <v>2500</v>
      </c>
      <c r="H103" s="4" t="n">
        <v>0</v>
      </c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</row>
    <row r="104" ht="15.75" customHeight="1" s="107">
      <c r="A104" s="20" t="n"/>
      <c r="B104" s="58" t="n"/>
      <c r="C104" s="26" t="n"/>
      <c r="D104" s="20" t="inlineStr">
        <is>
          <t>ASOCIACION ENOLOGOS DE LA RIBERA</t>
        </is>
      </c>
      <c r="E104" s="20" t="inlineStr">
        <is>
          <t>MANTENIMIENTO SEDE Y ACTIVIDADES VARIAS</t>
        </is>
      </c>
      <c r="F104" s="26" t="n">
        <v>1500</v>
      </c>
      <c r="G104" s="26" t="n">
        <v>1500</v>
      </c>
      <c r="H104" s="4" t="n">
        <v>0</v>
      </c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  <c r="Y104" s="20" t="n"/>
      <c r="Z104" s="20" t="n"/>
    </row>
    <row r="105" ht="15.75" customHeight="1" s="107">
      <c r="A105" s="20" t="n"/>
      <c r="B105" s="20" t="n"/>
      <c r="C105" s="26" t="n"/>
      <c r="D105" s="20" t="inlineStr">
        <is>
          <t>Plataforma por el Ferrocarril Directo Madrid - Aranda</t>
        </is>
      </c>
      <c r="E105" s="20" t="inlineStr">
        <is>
          <t>APOYO A LA PLATAFORMA</t>
        </is>
      </c>
      <c r="F105" s="26" t="n">
        <v>0</v>
      </c>
      <c r="G105" s="26" t="n">
        <v>12000</v>
      </c>
      <c r="H105" s="4" t="inlineStr">
        <is>
          <t>#DIV/0!</t>
        </is>
      </c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</row>
    <row r="106" ht="16.5" customHeight="1" s="107">
      <c r="A106" s="20" t="n"/>
      <c r="B106" s="20" t="n"/>
      <c r="C106" s="26" t="n"/>
      <c r="D106" s="20" t="n"/>
      <c r="E106" s="21" t="n">
        <v>4330</v>
      </c>
      <c r="F106" s="23" t="n">
        <v>110500</v>
      </c>
      <c r="G106" s="23" t="n">
        <v>52500</v>
      </c>
      <c r="H106" s="4" t="n">
        <v>-0.5248868778</v>
      </c>
      <c r="I106" s="23" t="n">
        <v>0</v>
      </c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  <c r="Y106" s="20" t="n"/>
      <c r="Z106" s="20" t="n"/>
    </row>
    <row r="107" ht="15.75" customHeight="1" s="107">
      <c r="A107" s="20" t="n"/>
      <c r="B107" s="20" t="n"/>
      <c r="C107" s="50" t="n"/>
      <c r="D107" s="20" t="n"/>
      <c r="E107" s="20" t="n"/>
      <c r="F107" s="45" t="n"/>
      <c r="G107" s="26" t="n"/>
      <c r="H107" s="4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</row>
    <row r="108" ht="15.75" customHeight="1" s="107">
      <c r="A108" s="20" t="n"/>
      <c r="B108" s="57" t="inlineStr">
        <is>
          <t>9240 489.00</t>
        </is>
      </c>
      <c r="C108" s="26" t="n">
        <v>85000</v>
      </c>
      <c r="D108" s="42" t="inlineStr">
        <is>
          <t>PARTICIPACIÓN CIUDADANA</t>
        </is>
      </c>
      <c r="E108" s="20" t="n"/>
      <c r="F108" s="45" t="n"/>
      <c r="G108" s="26" t="n"/>
      <c r="H108" s="4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  <c r="Y108" s="20" t="n"/>
      <c r="Z108" s="20" t="n"/>
    </row>
    <row r="109" ht="15.75" customHeight="1" s="107">
      <c r="A109" s="20" t="n"/>
      <c r="B109" s="20" t="n"/>
      <c r="C109" s="26" t="n"/>
      <c r="D109" s="20" t="inlineStr">
        <is>
          <t>ASOCIACIÓN VECINOS LA ESTACIÓN</t>
        </is>
      </c>
      <c r="E109" s="20" t="inlineStr">
        <is>
          <t>Proyectos vecinales</t>
        </is>
      </c>
      <c r="F109" s="26" t="n">
        <v>100000</v>
      </c>
      <c r="G109" s="26" t="n">
        <v>5000</v>
      </c>
      <c r="H109" s="4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</row>
    <row r="110" ht="15.75" customHeight="1" s="107">
      <c r="A110" s="20" t="n"/>
      <c r="B110" s="20" t="n"/>
      <c r="C110" s="26" t="n"/>
      <c r="D110" s="20" t="inlineStr">
        <is>
          <t>ASOCIACIÓN VECINOS EL POLÍGONO</t>
        </is>
      </c>
      <c r="E110" s="20" t="inlineStr">
        <is>
          <t>Proyectos vecinales</t>
        </is>
      </c>
      <c r="F110" s="26" t="n">
        <v>3500</v>
      </c>
      <c r="G110" s="26" t="n">
        <v>5000</v>
      </c>
      <c r="H110" s="4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  <c r="X110" s="20" t="n"/>
      <c r="Y110" s="20" t="n"/>
      <c r="Z110" s="20" t="n"/>
    </row>
    <row r="111" ht="15.75" customHeight="1" s="107">
      <c r="A111" s="20" t="n"/>
      <c r="B111" s="20" t="n"/>
      <c r="C111" s="26" t="n"/>
      <c r="D111" s="20" t="inlineStr">
        <is>
          <t>ASOCIACIÓN VECINOS ALLENDEDUERO</t>
        </is>
      </c>
      <c r="E111" s="20" t="inlineStr">
        <is>
          <t>Proyectos vecinales</t>
        </is>
      </c>
      <c r="F111" s="26" t="n">
        <v>3000</v>
      </c>
      <c r="G111" s="26" t="n">
        <v>5000</v>
      </c>
      <c r="H111" s="4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</row>
    <row r="112" ht="15.75" customHeight="1" s="107">
      <c r="A112" s="20" t="n"/>
      <c r="B112" s="58" t="n"/>
      <c r="C112" s="26" t="n"/>
      <c r="D112" s="20" t="inlineStr">
        <is>
          <t>ASOCIACIÓN VECINOS CENTRO</t>
        </is>
      </c>
      <c r="E112" s="20" t="inlineStr">
        <is>
          <t>Proyectos vecinales</t>
        </is>
      </c>
      <c r="F112" s="26" t="n">
        <v>2500</v>
      </c>
      <c r="G112" s="26" t="n">
        <v>5000</v>
      </c>
      <c r="H112" s="4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</row>
    <row r="113" ht="15.75" customHeight="1" s="107">
      <c r="A113" s="20" t="n"/>
      <c r="B113" s="58" t="n"/>
      <c r="C113" s="26" t="n"/>
      <c r="D113" s="20" t="inlineStr">
        <is>
          <t>ASOCIACIÓN VECINOS FERIAL BAÑUELOS</t>
        </is>
      </c>
      <c r="E113" s="20" t="inlineStr">
        <is>
          <t>Proyectos vecinales</t>
        </is>
      </c>
      <c r="F113" s="26" t="n"/>
      <c r="G113" s="26" t="n">
        <v>5000</v>
      </c>
      <c r="H113" s="4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</row>
    <row r="114" ht="15.75" customHeight="1" s="107">
      <c r="A114" s="20" t="n"/>
      <c r="B114" s="58" t="n"/>
      <c r="C114" s="26" t="n"/>
      <c r="D114" s="20" t="inlineStr">
        <is>
          <t>ASOCIACIÓN VECINOS SANTA CATALINA</t>
        </is>
      </c>
      <c r="E114" s="20" t="inlineStr">
        <is>
          <t>Proyectos vecinales</t>
        </is>
      </c>
      <c r="F114" s="26" t="n"/>
      <c r="G114" s="26" t="n">
        <v>5000</v>
      </c>
      <c r="H114" s="4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  <c r="X114" s="20" t="n"/>
      <c r="Y114" s="20" t="n"/>
      <c r="Z114" s="20" t="n"/>
    </row>
    <row r="115" ht="15.75" customHeight="1" s="107">
      <c r="A115" s="20" t="n"/>
      <c r="B115" s="58" t="n"/>
      <c r="C115" s="26" t="n"/>
      <c r="D115" s="20" t="inlineStr">
        <is>
          <t>ASOCIACIÓN VECINOS SINOVAS</t>
        </is>
      </c>
      <c r="E115" s="20" t="inlineStr">
        <is>
          <t>Proyectos vecinales</t>
        </is>
      </c>
      <c r="F115" s="26" t="n"/>
      <c r="G115" s="26" t="n">
        <v>5000</v>
      </c>
      <c r="H115" s="4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</row>
    <row r="116" ht="16.5" customHeight="1" s="107">
      <c r="A116" s="20" t="n"/>
      <c r="B116" s="20" t="n"/>
      <c r="C116" s="26" t="n"/>
      <c r="D116" s="20" t="n"/>
      <c r="E116" s="21" t="n">
        <v>9240</v>
      </c>
      <c r="F116" s="23" t="n">
        <v>109000</v>
      </c>
      <c r="G116" s="23" t="n">
        <v>35000</v>
      </c>
      <c r="H116" s="4" t="n">
        <v>-0.6788990826</v>
      </c>
      <c r="I116" s="23" t="n">
        <v>0</v>
      </c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  <c r="Y116" s="20" t="n"/>
      <c r="Z116" s="20" t="n"/>
    </row>
    <row r="117" ht="16.5" customHeight="1" s="107">
      <c r="A117" s="20" t="n"/>
      <c r="B117" s="20" t="n"/>
      <c r="C117" s="26" t="n"/>
      <c r="D117" s="59" t="n"/>
      <c r="E117" s="20" t="n"/>
      <c r="F117" s="45" t="n"/>
      <c r="G117" s="26" t="n"/>
      <c r="H117" s="4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</row>
    <row r="118" ht="16.5" customHeight="1" s="107">
      <c r="A118" s="20" t="n"/>
      <c r="B118" s="20" t="n"/>
      <c r="C118" s="26" t="n"/>
      <c r="D118" s="59" t="n"/>
      <c r="E118" s="60" t="inlineStr">
        <is>
          <t>TOTAL SUBVENCIONES NOMINATIVAS</t>
        </is>
      </c>
      <c r="F118" s="61" t="inlineStr">
        <is>
          <t>#REF!</t>
        </is>
      </c>
      <c r="G118" s="61" t="n">
        <v>752250</v>
      </c>
      <c r="H118" s="4" t="inlineStr">
        <is>
          <t>#REF!</t>
        </is>
      </c>
      <c r="I118" s="23" t="inlineStr">
        <is>
          <t>#REF!</t>
        </is>
      </c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  <c r="Y118" s="20" t="n"/>
      <c r="Z118" s="20" t="n"/>
    </row>
    <row r="119" ht="16.5" customHeight="1" s="107">
      <c r="A119" s="20" t="n"/>
      <c r="B119" s="20" t="n"/>
      <c r="C119" s="26" t="n"/>
      <c r="D119" s="59" t="n"/>
      <c r="E119" s="20" t="n"/>
      <c r="F119" s="45" t="n"/>
      <c r="G119" s="26" t="n"/>
      <c r="H119" s="4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</row>
    <row r="120" ht="16.5" customHeight="1" s="107">
      <c r="A120" s="20" t="n"/>
      <c r="B120" s="20" t="n"/>
      <c r="C120" s="26" t="n"/>
      <c r="D120" s="6" t="inlineStr">
        <is>
          <t>APORTACIONES Y CUOTAS ASOCIACIONES</t>
        </is>
      </c>
      <c r="E120" s="20" t="n"/>
      <c r="F120" s="45" t="n"/>
      <c r="G120" s="26" t="n"/>
      <c r="H120" s="4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  <c r="Y120" s="20" t="n"/>
      <c r="Z120" s="20" t="n"/>
    </row>
    <row r="121" ht="15.75" customHeight="1" s="107">
      <c r="A121" s="20" t="n"/>
      <c r="B121" s="20" t="n"/>
      <c r="C121" s="26" t="n"/>
      <c r="D121" s="62" t="n"/>
      <c r="E121" s="20" t="n"/>
      <c r="F121" s="45" t="n"/>
      <c r="G121" s="26" t="n"/>
      <c r="H121" s="4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</row>
    <row r="122" ht="15.75" customHeight="1" s="107">
      <c r="A122" s="20" t="n"/>
      <c r="B122" s="108" t="inlineStr">
        <is>
          <t>PARTIDA</t>
        </is>
      </c>
      <c r="C122" s="109" t="inlineStr">
        <is>
          <t>CRÉDITO PARTIDA</t>
        </is>
      </c>
      <c r="D122" s="10" t="inlineStr">
        <is>
          <t>PROGRAMA</t>
        </is>
      </c>
      <c r="E122" s="10" t="inlineStr">
        <is>
          <t>CONCEPTO</t>
        </is>
      </c>
      <c r="F122" s="110" t="inlineStr">
        <is>
          <t>2023</t>
        </is>
      </c>
      <c r="G122" s="110" t="inlineStr">
        <is>
          <t>2024</t>
        </is>
      </c>
      <c r="H122" s="4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  <c r="Y122" s="20" t="n"/>
      <c r="Z122" s="20" t="n"/>
    </row>
    <row r="123" ht="15.75" customHeight="1" s="107">
      <c r="A123" s="20" t="n"/>
      <c r="B123" s="112" t="n"/>
      <c r="C123" s="112" t="n"/>
      <c r="D123" s="10" t="inlineStr">
        <is>
          <t>ENTIDAD BENEFICIARIA</t>
        </is>
      </c>
      <c r="E123" s="112" t="n"/>
      <c r="F123" s="112" t="n"/>
      <c r="G123" s="112" t="n"/>
      <c r="H123" s="4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</row>
    <row r="124" ht="15.75" customHeight="1" s="107">
      <c r="A124" s="20" t="n"/>
      <c r="B124" s="57" t="inlineStr">
        <is>
          <t xml:space="preserve">1610 489.00 </t>
        </is>
      </c>
      <c r="C124" s="26" t="n">
        <v>8500</v>
      </c>
      <c r="D124" s="63" t="inlineStr">
        <is>
          <t>ABASTECIMIENTO Y DISTRIBUCIÓN DE AGUAS</t>
        </is>
      </c>
      <c r="E124" s="21" t="n"/>
      <c r="F124" s="45" t="n"/>
      <c r="G124" s="5" t="n"/>
      <c r="H124" s="4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</row>
    <row r="125" ht="15.75" customHeight="1" s="107">
      <c r="A125" s="20" t="n"/>
      <c r="B125" s="57" t="n"/>
      <c r="C125" s="5" t="n"/>
      <c r="D125" s="20" t="inlineStr">
        <is>
          <t>ASOCIACION ESP. DE ABASTC. DE AGUAS Y SANEA.</t>
        </is>
      </c>
      <c r="E125" s="20" t="inlineStr">
        <is>
          <t>CUOTA</t>
        </is>
      </c>
      <c r="F125" s="64" t="n">
        <v>2200</v>
      </c>
      <c r="G125" s="64" t="n">
        <v>2200</v>
      </c>
      <c r="H125" s="4" t="n">
        <v>0</v>
      </c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</row>
    <row r="126" ht="15.75" customHeight="1" s="107">
      <c r="A126" s="20" t="n"/>
      <c r="B126" s="57" t="n"/>
      <c r="C126" s="57" t="n"/>
      <c r="D126" s="20" t="n"/>
      <c r="E126" s="20" t="n"/>
      <c r="F126" s="26" t="n"/>
      <c r="G126" s="26" t="n"/>
      <c r="H126" s="4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</row>
    <row r="127" ht="15.75" customHeight="1" s="107">
      <c r="A127" s="20" t="n"/>
      <c r="B127" s="57" t="inlineStr">
        <is>
          <t xml:space="preserve">1700 489.00 </t>
        </is>
      </c>
      <c r="C127" s="26" t="n">
        <v>2300</v>
      </c>
      <c r="D127" s="42" t="inlineStr">
        <is>
          <t>ADMON. GRAL MEDIO AMBIENTE</t>
        </is>
      </c>
      <c r="E127" s="21" t="n"/>
      <c r="F127" s="5" t="n"/>
      <c r="G127" s="5" t="n"/>
      <c r="H127" s="4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</row>
    <row r="128" ht="15.75" customHeight="1" s="107">
      <c r="A128" s="20" t="n"/>
      <c r="B128" s="20" t="n"/>
      <c r="C128" s="26" t="n"/>
      <c r="D128" s="20" t="inlineStr">
        <is>
          <t>FEDERACION ESPAÑOLA DE MUNICIPIOS Y PROV.</t>
        </is>
      </c>
      <c r="E128" s="20" t="inlineStr">
        <is>
          <t>CUOTA RED ESP. CIUDADES DEL CLIMA</t>
        </is>
      </c>
      <c r="F128" s="65" t="n">
        <v>150</v>
      </c>
      <c r="G128" s="65" t="n">
        <v>150</v>
      </c>
      <c r="H128" s="4" t="n">
        <v>0</v>
      </c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</row>
    <row r="129" ht="15.75" customHeight="1" s="107">
      <c r="A129" s="20" t="n"/>
      <c r="B129" s="20" t="n"/>
      <c r="C129" s="26" t="n"/>
      <c r="D129" s="20" t="n"/>
      <c r="E129" s="20" t="n"/>
      <c r="F129" s="54" t="n"/>
      <c r="G129" s="54" t="n"/>
      <c r="H129" s="4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</row>
    <row r="130" ht="15.75" customHeight="1" s="107">
      <c r="A130" s="20" t="n"/>
      <c r="B130" s="57" t="inlineStr">
        <is>
          <t xml:space="preserve">1710 489.00 </t>
        </is>
      </c>
      <c r="C130" s="26" t="n">
        <v>210</v>
      </c>
      <c r="D130" s="42" t="inlineStr">
        <is>
          <t>PARQUES Y JARDINES</t>
        </is>
      </c>
      <c r="E130" s="21" t="n"/>
      <c r="F130" s="5" t="n"/>
      <c r="G130" s="5" t="n"/>
      <c r="H130" s="4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</row>
    <row r="131" ht="15.75" customHeight="1" s="107">
      <c r="A131" s="20" t="n"/>
      <c r="B131" s="20" t="n"/>
      <c r="C131" s="26" t="n"/>
      <c r="D131" s="20" t="inlineStr">
        <is>
          <t>ASOCIACION ESP. DE PARQUES Y JARDINES</t>
        </is>
      </c>
      <c r="E131" s="20" t="inlineStr">
        <is>
          <t>CUOTA</t>
        </is>
      </c>
      <c r="F131" s="65" t="n">
        <v>210</v>
      </c>
      <c r="G131" s="65" t="n">
        <v>210</v>
      </c>
      <c r="H131" s="4" t="n">
        <v>0</v>
      </c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</row>
    <row r="132" ht="15.75" customHeight="1" s="107">
      <c r="A132" s="20" t="n"/>
      <c r="B132" s="20" t="n"/>
      <c r="C132" s="26" t="n"/>
      <c r="D132" s="20" t="n"/>
      <c r="E132" s="20" t="n"/>
      <c r="F132" s="54" t="n"/>
      <c r="G132" s="54" t="n"/>
      <c r="H132" s="4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</row>
    <row r="133" ht="15.75" customHeight="1" s="107">
      <c r="A133" s="20" t="n"/>
      <c r="B133" s="57" t="inlineStr">
        <is>
          <t>3260 489.00</t>
        </is>
      </c>
      <c r="C133" s="26" t="n">
        <v>91400</v>
      </c>
      <c r="D133" s="66" t="inlineStr">
        <is>
          <t>SERVICIOS COMPLEMENTARIOS EDUCACIÓN</t>
        </is>
      </c>
      <c r="E133" s="20" t="n"/>
      <c r="F133" s="26" t="n"/>
      <c r="G133" s="26" t="n"/>
      <c r="H133" s="4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</row>
    <row r="134" ht="15.75" customHeight="1" s="107">
      <c r="A134" s="20" t="n"/>
      <c r="B134" s="57" t="n"/>
      <c r="C134" s="50" t="n"/>
      <c r="D134" s="20" t="inlineStr">
        <is>
          <t>FUNDACION UNIVERSIDAD DE BURGOS</t>
        </is>
      </c>
      <c r="E134" s="20" t="inlineStr">
        <is>
          <t>CUOTA</t>
        </is>
      </c>
      <c r="F134" s="64" t="n">
        <v>800</v>
      </c>
      <c r="G134" s="64" t="n">
        <v>800</v>
      </c>
      <c r="H134" s="4" t="n">
        <v>0</v>
      </c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</row>
    <row r="135" ht="15.75" customHeight="1" s="107">
      <c r="A135" s="20" t="n"/>
      <c r="B135" s="57" t="n"/>
      <c r="C135" s="26" t="n"/>
      <c r="D135" s="20" t="n"/>
      <c r="E135" s="20" t="n"/>
      <c r="F135" s="26" t="n"/>
      <c r="G135" s="26" t="n"/>
      <c r="H135" s="4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</row>
    <row r="136" ht="15.75" customHeight="1" s="107">
      <c r="A136" s="20" t="n"/>
      <c r="B136" s="57" t="inlineStr">
        <is>
          <t>3340 489.00</t>
        </is>
      </c>
      <c r="C136" s="26" t="n">
        <v>104700</v>
      </c>
      <c r="D136" s="42" t="inlineStr">
        <is>
          <t>PROMOCION CULTURAL</t>
        </is>
      </c>
      <c r="E136" s="20" t="n"/>
      <c r="F136" s="26" t="n"/>
      <c r="G136" s="26" t="n"/>
      <c r="H136" s="4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</row>
    <row r="137" ht="15.75" customHeight="1" s="107">
      <c r="A137" s="20" t="n"/>
      <c r="B137" s="20" t="n"/>
      <c r="C137" s="26" t="n"/>
      <c r="D137" s="20" t="inlineStr">
        <is>
          <t>INSTITUTO CASTELLANO Y LEONES DE LA LENGUA</t>
        </is>
      </c>
      <c r="E137" s="20" t="inlineStr">
        <is>
          <t>CUOTA PATRONATO</t>
        </is>
      </c>
      <c r="F137" s="64" t="n">
        <v>12000</v>
      </c>
      <c r="G137" s="64" t="n">
        <v>12000</v>
      </c>
      <c r="H137" s="4" t="n">
        <v>0</v>
      </c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</row>
    <row r="138" ht="15.75" customHeight="1" s="107">
      <c r="A138" s="20" t="n"/>
      <c r="B138" s="20" t="n"/>
      <c r="C138" s="26" t="n"/>
      <c r="D138" s="20" t="n"/>
      <c r="E138" s="20" t="n"/>
      <c r="F138" s="26" t="n"/>
      <c r="G138" s="26" t="n"/>
      <c r="H138" s="4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</row>
    <row r="139" ht="15.75" customHeight="1" s="107">
      <c r="A139" s="20" t="n"/>
      <c r="B139" s="57" t="inlineStr">
        <is>
          <t>3341 489.00</t>
        </is>
      </c>
      <c r="C139" s="26" t="n">
        <v>100</v>
      </c>
      <c r="D139" s="42" t="inlineStr">
        <is>
          <t>BANDA DE MUSICA</t>
        </is>
      </c>
      <c r="E139" s="20" t="n"/>
      <c r="F139" s="26" t="n"/>
      <c r="G139" s="26" t="n"/>
      <c r="H139" s="4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</row>
    <row r="140" ht="15.75" customHeight="1" s="107">
      <c r="A140" s="20" t="n"/>
      <c r="B140" s="20" t="n"/>
      <c r="C140" s="50" t="n"/>
      <c r="D140" s="20" t="inlineStr">
        <is>
          <t>FEDERACION BANDAS DE MUSICA</t>
        </is>
      </c>
      <c r="E140" s="20" t="inlineStr">
        <is>
          <t>CUOTA</t>
        </is>
      </c>
      <c r="F140" s="64" t="n">
        <v>100</v>
      </c>
      <c r="G140" s="64" t="n">
        <v>100</v>
      </c>
      <c r="H140" s="4" t="n">
        <v>0</v>
      </c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0" t="n"/>
    </row>
    <row r="141" ht="15.75" customHeight="1" s="107">
      <c r="A141" s="20" t="n"/>
      <c r="B141" s="20" t="n"/>
      <c r="C141" s="26" t="n"/>
      <c r="D141" s="20" t="n"/>
      <c r="E141" s="20" t="n"/>
      <c r="F141" s="46" t="n"/>
      <c r="G141" s="46" t="n"/>
      <c r="H141" s="4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</row>
    <row r="142" ht="15.75" customHeight="1" s="107">
      <c r="A142" s="20" t="n"/>
      <c r="B142" s="20" t="n"/>
      <c r="C142" s="50" t="n"/>
      <c r="D142" s="42" t="inlineStr">
        <is>
          <t>TURISMO</t>
        </is>
      </c>
      <c r="E142" s="20" t="n"/>
      <c r="F142" s="26" t="n"/>
      <c r="G142" s="26" t="n"/>
      <c r="H142" s="4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0" t="n"/>
    </row>
    <row r="143" ht="15.75" customHeight="1" s="107">
      <c r="A143" s="20" t="n"/>
      <c r="B143" s="57" t="inlineStr">
        <is>
          <t>4320 467.00</t>
        </is>
      </c>
      <c r="C143" s="26" t="n">
        <v>18000</v>
      </c>
      <c r="D143" s="20" t="inlineStr">
        <is>
          <t>CONSORCIO RUTA DEL VINO RIBERA DEL DUERO</t>
        </is>
      </c>
      <c r="E143" s="20" t="inlineStr">
        <is>
          <t>CUOTA</t>
        </is>
      </c>
      <c r="F143" s="26" t="n">
        <v>18000</v>
      </c>
      <c r="G143" s="26" t="n">
        <v>18000</v>
      </c>
      <c r="H143" s="4" t="n">
        <v>0</v>
      </c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</row>
    <row r="144" ht="15.75" customHeight="1" s="107">
      <c r="A144" s="20" t="n"/>
      <c r="B144" s="57" t="inlineStr">
        <is>
          <t>4320 489.00</t>
        </is>
      </c>
      <c r="C144" s="26" t="n">
        <v>43700</v>
      </c>
      <c r="D144" s="20" t="inlineStr">
        <is>
          <t>ASOCIACION DE MUSEOS DEL VINO</t>
        </is>
      </c>
      <c r="E144" s="20" t="inlineStr">
        <is>
          <t>CUOTA</t>
        </is>
      </c>
      <c r="F144" s="26" t="n">
        <v>300</v>
      </c>
      <c r="G144" s="26" t="n">
        <v>300</v>
      </c>
      <c r="H144" s="4" t="n">
        <v>0</v>
      </c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</row>
    <row r="145" ht="16.5" customHeight="1" s="107">
      <c r="A145" s="20" t="n"/>
      <c r="B145" s="20" t="n"/>
      <c r="C145" s="50" t="n"/>
      <c r="D145" s="20" t="n"/>
      <c r="E145" s="21" t="n">
        <v>4320</v>
      </c>
      <c r="F145" s="23" t="n">
        <v>18300</v>
      </c>
      <c r="G145" s="23" t="n">
        <v>18300</v>
      </c>
      <c r="H145" s="4" t="n">
        <v>0</v>
      </c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</row>
    <row r="146" ht="15.75" customHeight="1" s="107">
      <c r="A146" s="20" t="n"/>
      <c r="B146" s="20" t="n"/>
      <c r="C146" s="26" t="n"/>
      <c r="D146" s="20" t="n"/>
      <c r="E146" s="21" t="n"/>
      <c r="F146" s="45" t="n"/>
      <c r="G146" s="46" t="n"/>
      <c r="H146" s="4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0" t="n"/>
    </row>
    <row r="147" ht="15.75" customHeight="1" s="107">
      <c r="A147" s="20" t="n"/>
      <c r="B147" s="57" t="inlineStr">
        <is>
          <t>4330 489.00</t>
        </is>
      </c>
      <c r="C147" s="26" t="n">
        <v>65900</v>
      </c>
      <c r="D147" s="42" t="inlineStr">
        <is>
          <t>DESARROLLO ECONÓMICO</t>
        </is>
      </c>
      <c r="E147" s="20" t="n"/>
      <c r="F147" s="45" t="n"/>
      <c r="G147" s="26" t="n"/>
      <c r="H147" s="4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</row>
    <row r="148" ht="15.75" customHeight="1" s="107">
      <c r="A148" s="20" t="n"/>
      <c r="B148" s="20" t="n"/>
      <c r="C148" s="50" t="n"/>
      <c r="D148" s="20" t="inlineStr">
        <is>
          <t>ASOCIACION IBERICA DE MUNICIPIOS RIBEREÑOS</t>
        </is>
      </c>
      <c r="E148" s="20" t="inlineStr">
        <is>
          <t>CUOTA</t>
        </is>
      </c>
      <c r="F148" s="26" t="n">
        <v>5000</v>
      </c>
      <c r="G148" s="26" t="n">
        <v>5000</v>
      </c>
      <c r="H148" s="4" t="n">
        <v>0</v>
      </c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</row>
    <row r="149" ht="15.75" customHeight="1" s="107">
      <c r="A149" s="20" t="n"/>
      <c r="B149" s="20" t="n"/>
      <c r="C149" s="26" t="n"/>
      <c r="D149" s="20" t="inlineStr">
        <is>
          <t>ACEVIN</t>
        </is>
      </c>
      <c r="E149" s="20" t="inlineStr">
        <is>
          <t>CUOTA</t>
        </is>
      </c>
      <c r="F149" s="26" t="n">
        <v>2000</v>
      </c>
      <c r="G149" s="26" t="n">
        <v>2000</v>
      </c>
      <c r="H149" s="4" t="n">
        <v>0</v>
      </c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</row>
    <row r="150" ht="15.75" customHeight="1" s="107">
      <c r="A150" s="20" t="n"/>
      <c r="B150" s="20" t="n"/>
      <c r="C150" s="26" t="n"/>
      <c r="D150" s="20" t="inlineStr">
        <is>
          <t>RED IMPULSO</t>
        </is>
      </c>
      <c r="E150" s="20" t="inlineStr">
        <is>
          <t>CUOTA</t>
        </is>
      </c>
      <c r="F150" s="26" t="n">
        <v>1500</v>
      </c>
      <c r="G150" s="26" t="n">
        <v>1500</v>
      </c>
      <c r="H150" s="4" t="n">
        <v>0</v>
      </c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0" t="n"/>
    </row>
    <row r="151">
      <c r="A151" s="20" t="n"/>
      <c r="B151" s="20" t="n"/>
      <c r="C151" s="26" t="n"/>
      <c r="D151" s="20" t="inlineStr">
        <is>
          <t>RED CIUDADES MICHELIN</t>
        </is>
      </c>
      <c r="E151" s="20" t="inlineStr">
        <is>
          <t>CUOTA</t>
        </is>
      </c>
      <c r="F151" s="26" t="n">
        <v>1500</v>
      </c>
      <c r="G151" s="26" t="n">
        <v>1500</v>
      </c>
      <c r="H151" s="4" t="n">
        <v>0</v>
      </c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</row>
    <row r="152">
      <c r="A152" s="67" t="n"/>
      <c r="B152" s="67" t="n"/>
      <c r="C152" s="44" t="n"/>
      <c r="D152" s="20" t="inlineStr">
        <is>
          <t>H2CyL</t>
        </is>
      </c>
      <c r="E152" s="20" t="inlineStr">
        <is>
          <t>CUOTA</t>
        </is>
      </c>
      <c r="F152" s="26" t="n">
        <v>0</v>
      </c>
      <c r="G152" s="26" t="n">
        <v>3000</v>
      </c>
      <c r="H152" s="4" t="inlineStr">
        <is>
          <t>#DIV/0!</t>
        </is>
      </c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  <c r="X152" s="67" t="n"/>
      <c r="Y152" s="67" t="n"/>
      <c r="Z152" s="67" t="n"/>
    </row>
    <row r="153" ht="16.5" customHeight="1" s="107">
      <c r="A153" s="20" t="n"/>
      <c r="B153" s="20" t="n"/>
      <c r="C153" s="26" t="n"/>
      <c r="D153" s="20" t="n"/>
      <c r="E153" s="21" t="n">
        <v>4330</v>
      </c>
      <c r="F153" s="23" t="n">
        <v>10000</v>
      </c>
      <c r="G153" s="23" t="n">
        <v>13000</v>
      </c>
      <c r="H153" s="4" t="n">
        <v>0.3</v>
      </c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</row>
    <row r="154" ht="15.75" customHeight="1" s="107">
      <c r="A154" s="20" t="n"/>
      <c r="B154" s="57" t="n"/>
      <c r="C154" s="26" t="n"/>
      <c r="D154" s="16" t="n"/>
      <c r="E154" s="20" t="n"/>
      <c r="F154" s="26" t="n"/>
      <c r="G154" s="26" t="n"/>
      <c r="H154" s="4" t="n"/>
      <c r="I154" s="20" t="n"/>
      <c r="J154" s="20" t="n"/>
      <c r="K154" s="20" t="n"/>
      <c r="L154" s="20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  <c r="X154" s="20" t="n"/>
      <c r="Y154" s="20" t="n"/>
      <c r="Z154" s="20" t="n"/>
    </row>
    <row r="155" ht="15.75" customHeight="1" s="107">
      <c r="A155" s="20" t="n"/>
      <c r="B155" s="57" t="inlineStr">
        <is>
          <t>9200 489.00</t>
        </is>
      </c>
      <c r="C155" s="26" t="n">
        <v>4500</v>
      </c>
      <c r="D155" s="42" t="inlineStr">
        <is>
          <t>ADMINISTRACIÓN GENERAL</t>
        </is>
      </c>
      <c r="E155" s="20" t="n"/>
      <c r="F155" s="26" t="n"/>
      <c r="G155" s="26" t="n"/>
      <c r="H155" s="4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</row>
    <row r="156" ht="15.75" customHeight="1" s="107">
      <c r="A156" s="20" t="n"/>
      <c r="B156" s="20" t="n"/>
      <c r="C156" s="50" t="n"/>
      <c r="D156" s="20" t="inlineStr">
        <is>
          <t>FEDERACION ESPAÑOLA DE MUNICIPIOS Y PROV.</t>
        </is>
      </c>
      <c r="E156" s="20" t="inlineStr">
        <is>
          <t>CUOTA POR HABITANTE</t>
        </is>
      </c>
      <c r="F156" s="26" t="n">
        <v>1883.74</v>
      </c>
      <c r="G156" s="26" t="n">
        <v>1883.74</v>
      </c>
      <c r="H156" s="4" t="n">
        <v>0</v>
      </c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n"/>
      <c r="W156" s="20" t="n"/>
      <c r="X156" s="20" t="n"/>
      <c r="Y156" s="20" t="n"/>
      <c r="Z156" s="20" t="n"/>
    </row>
    <row r="157" ht="15.75" customHeight="1" s="107">
      <c r="A157" s="20" t="n"/>
      <c r="B157" s="20" t="n"/>
      <c r="C157" s="26" t="n"/>
      <c r="D157" s="20" t="inlineStr">
        <is>
          <t>FEDE. REG. MUNICIPIOS Y PROV. CASTILLA Y LEON</t>
        </is>
      </c>
      <c r="E157" s="20" t="inlineStr">
        <is>
          <t>CUOTA POR HABITANTE</t>
        </is>
      </c>
      <c r="F157" s="26" t="n">
        <v>1343.36</v>
      </c>
      <c r="G157" s="26" t="n">
        <v>1343.36</v>
      </c>
      <c r="H157" s="4" t="n">
        <v>0</v>
      </c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</row>
    <row r="158" ht="15.75" customHeight="1" s="107">
      <c r="A158" s="20" t="n"/>
      <c r="B158" s="20" t="n"/>
      <c r="C158" s="26" t="n"/>
      <c r="D158" s="20" t="inlineStr">
        <is>
          <t>FEDERACION ESPAÑOLA DE MUNICIPIOS Y PROV.</t>
        </is>
      </c>
      <c r="E158" s="20" t="inlineStr">
        <is>
          <t>CUOTA RED ESP. CIUDADES SALUDABLES</t>
        </is>
      </c>
      <c r="F158" s="26" t="n">
        <v>1000</v>
      </c>
      <c r="G158" s="26" t="n">
        <v>1000</v>
      </c>
      <c r="H158" s="4" t="n">
        <v>0</v>
      </c>
      <c r="I158" s="20" t="n"/>
      <c r="J158" s="20" t="n"/>
      <c r="K158" s="20" t="n"/>
      <c r="L158" s="20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n"/>
      <c r="W158" s="20" t="n"/>
      <c r="X158" s="20" t="n"/>
      <c r="Y158" s="20" t="n"/>
      <c r="Z158" s="20" t="n"/>
    </row>
    <row r="159" ht="15.75" customHeight="1" s="107">
      <c r="A159" s="20" t="n"/>
      <c r="B159" s="20" t="n"/>
      <c r="C159" s="26" t="n"/>
      <c r="D159" s="20" t="n"/>
      <c r="E159" s="21" t="n">
        <v>9200</v>
      </c>
      <c r="F159" s="55" t="n">
        <v>4227.1</v>
      </c>
      <c r="G159" s="55" t="n">
        <v>4227.1</v>
      </c>
      <c r="H159" s="4" t="n">
        <v>0</v>
      </c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</row>
  </sheetData>
  <mergeCells count="13">
    <mergeCell ref="B122:B123"/>
    <mergeCell ref="F122:F123"/>
    <mergeCell ref="B4:B5"/>
    <mergeCell ref="C4:C5"/>
    <mergeCell ref="F4:F5"/>
    <mergeCell ref="E4:E5"/>
    <mergeCell ref="G4:G5"/>
    <mergeCell ref="E122:E123"/>
    <mergeCell ref="C122:C123"/>
    <mergeCell ref="H4:H5"/>
    <mergeCell ref="G122:G123"/>
    <mergeCell ref="I4:I5"/>
    <mergeCell ref="J4:J5"/>
  </mergeCells>
  <conditionalFormatting sqref="H1:H159 I4:J5">
    <cfRule type="colorScale" priority="1">
      <colorScale>
        <cfvo type="formula" val="-1"/>
        <cfvo type="formula" val="0"/>
        <cfvo type="formula" val="1"/>
        <color rgb="FFB7E1CD"/>
        <color rgb="FFFFFFFF"/>
        <color rgb="FFE67C73"/>
      </colorScale>
    </cfRule>
  </conditionalFormatting>
  <pageMargins left="0.7" right="0.7" top="0.75" bottom="0.75" header="0" footer="0"/>
  <pageSetup orientation="portrait" paperSize="9" fitToHeight="0"/>
  <headerFooter>
    <oddHeader/>
    <oddFooter>&amp;CPresupuesto Ayuntamiento Aranda de Duero 2024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2026-10-19T07:43:15Z</dcterms:created>
  <dcterms:modified xsi:type="dcterms:W3CDTF">2026-10-19T07:43:15Z</dcterms:modified>
</cp:coreProperties>
</file>