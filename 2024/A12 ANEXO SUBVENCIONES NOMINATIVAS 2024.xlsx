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4" sheetId="1" r:id="rId5"/>
    <sheet state="visible" name="Copia de 2024 1" sheetId="2" r:id="rId6"/>
    <sheet state="visible" name="Copia de 2024" sheetId="3" r:id="rId7"/>
  </sheets>
  <definedNames>
    <definedName localSheetId="2" name="p1610_489">'Copia de 2024'!$C$124</definedName>
    <definedName name="p1610_489">'2024'!$C$124</definedName>
    <definedName localSheetId="1" name="p1610_489">'Copia de 2024 1'!$C$124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tc={1716f0e7-39ce-4f78-99a6-12d90ec3463d}</author>
    <author>tc={7e48d84b-c7eb-4e05-a838-97d8fcd31e05}</author>
    <author>tc={bbc2e9b2-49ea-48e4-9fc7-202583d533d9}</author>
  </authors>
  <commentList>
    <comment authorId="0" xr:uid="{1716f0e7-39ce-4f78-99a6-12d90ec3463d}" ref="G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Bajada de 50.000, puesto en promoción de la ciudad, no deportiva
</t>
      </text>
    </comment>
    <comment authorId="1" xr:uid="{7e48d84b-c7eb-4e05-a838-97d8fcd31e0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¿cuál es el nombre oficial?
</t>
      </text>
    </comment>
    <comment authorId="2" xr:uid="{bbc2e9b2-49ea-48e4-9fc7-202583d533d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La ermita es de la Iglesia, no es propia
</t>
      </text>
    </comment>
  </commentList>
</comments>
</file>

<file path=xl/sharedStrings.xml><?xml version="1.0" encoding="utf-8"?>
<sst xmlns="http://schemas.openxmlformats.org/spreadsheetml/2006/main" count="741" uniqueCount="177">
  <si>
    <t>SUBVENCIONES NOMINATIVAS</t>
  </si>
  <si>
    <t>PARTIDA</t>
  </si>
  <si>
    <t>CRÉDITO PARTIDA</t>
  </si>
  <si>
    <t>PROGRAMA</t>
  </si>
  <si>
    <t>OBJETO DEL CONVENIO</t>
  </si>
  <si>
    <t>2023</t>
  </si>
  <si>
    <t>2024</t>
  </si>
  <si>
    <t>DIFF</t>
  </si>
  <si>
    <t>Concurrencia Comp</t>
  </si>
  <si>
    <t>Aport y Cuotas</t>
  </si>
  <si>
    <t>ENTIDAD BENEFICIARIA</t>
  </si>
  <si>
    <t xml:space="preserve">1700 489.00 </t>
  </si>
  <si>
    <t>ADMON. GRAL MEDIO AMBIENTE</t>
  </si>
  <si>
    <t>CLUB DEPORTIVO ESPELEODUERO</t>
  </si>
  <si>
    <t>LIMPIEZA DE RIOS</t>
  </si>
  <si>
    <t>2311 489.00</t>
  </si>
  <si>
    <t>ASISTENCIA SOCIAL PRIMARIA</t>
  </si>
  <si>
    <t>AFAR</t>
  </si>
  <si>
    <t xml:space="preserve">ACTIVIDADES SOCIALES </t>
  </si>
  <si>
    <t>ANDAR</t>
  </si>
  <si>
    <t>APACE (Aranda de Duero)</t>
  </si>
  <si>
    <t>AREM</t>
  </si>
  <si>
    <t>ASADEMA</t>
  </si>
  <si>
    <t>TRANSPORTE INTERURBANO COLECTIVO</t>
  </si>
  <si>
    <t>ASOC. ESPAÑOLA DE LUCHA CONTRA EL CANCER</t>
  </si>
  <si>
    <t>ACTIVIDADES SOCIALES Y MANTENIMIENTO</t>
  </si>
  <si>
    <t>AUTISMO BURGOS</t>
  </si>
  <si>
    <t>ACTIVIDADES SOCIALES</t>
  </si>
  <si>
    <t>CARITAS</t>
  </si>
  <si>
    <t>PM DROGAS</t>
  </si>
  <si>
    <t>CRUZ ROJA</t>
  </si>
  <si>
    <t>DISFAR</t>
  </si>
  <si>
    <t>FOMENTO EMPLEO PERSONAS CON DISCAPAC.</t>
  </si>
  <si>
    <t>ASOCIACION SALUD MENTAL ARANDA</t>
  </si>
  <si>
    <t>ACTIV., ALQUILER Y MANTEN. CENTRO</t>
  </si>
  <si>
    <t>RESIDENCIA SAGRADA FAMILIA</t>
  </si>
  <si>
    <t>NUEVO FUTURO</t>
  </si>
  <si>
    <t>ASOC. PERSONAS SORDAS ARANDA Y RIBERA</t>
  </si>
  <si>
    <t>2313 489.00</t>
  </si>
  <si>
    <t>PROMOCIÓN DE LA IGUALDAD</t>
  </si>
  <si>
    <t>ASOCIACIÓN MUJERES PROGRESISTAS ROSA DE LIMA</t>
  </si>
  <si>
    <t>Promoción de la mujer</t>
  </si>
  <si>
    <t>ASOCIACIÓN AMAS DE CASA UNAE ARANDA</t>
  </si>
  <si>
    <t>Asoc. feminista Ruperta Baraya</t>
  </si>
  <si>
    <t xml:space="preserve">3260 489.00 </t>
  </si>
  <si>
    <t>SERVICIOS COMPLEMENTARIOS DE EDUCACIÓN</t>
  </si>
  <si>
    <t>Convenio colabroración Romorantin-Lanthenay</t>
  </si>
  <si>
    <t>Convenio colaboración</t>
  </si>
  <si>
    <t>UNED</t>
  </si>
  <si>
    <t>Sostenimiento universidad</t>
  </si>
  <si>
    <t>3340 489.00</t>
  </si>
  <si>
    <t>PROMOCION CULTURAL</t>
  </si>
  <si>
    <t>CINE CLUB DUERO</t>
  </si>
  <si>
    <t>SEMANA DE CINE Y CURSO CINEMATOGRÁFICO</t>
  </si>
  <si>
    <t>ORFEON ARANDINO</t>
  </si>
  <si>
    <t>OTOÑO POLIFONICO Y ALQUILER DE LOCAL</t>
  </si>
  <si>
    <t>ASOCIACION CULTURAL "LA TANGUILLA"</t>
  </si>
  <si>
    <t>ACTV. PROMC., FESTIV., CONGR. Y TALLERES</t>
  </si>
  <si>
    <t>AGRUPACION RIBEREÑA DE LAS ARTES</t>
  </si>
  <si>
    <t>CONCURSO DE PINTURA RAPIDA</t>
  </si>
  <si>
    <t>ASOCIACION ART DE TROYA</t>
  </si>
  <si>
    <t>JORNADAS DEL POP</t>
  </si>
  <si>
    <t>FILARMONICA ARANDA</t>
  </si>
  <si>
    <t>CONCIERTOS MUSICALES</t>
  </si>
  <si>
    <t>FUNDACION LOLA PEREZ RIVERA</t>
  </si>
  <si>
    <t>PROMOCION MUSICA TRADICIONAL</t>
  </si>
  <si>
    <t>FILATELIA Y NUMISMÁTICA</t>
  </si>
  <si>
    <t>EXPOSICION FILATELIA Y NUMISMÁTICA CON EDICIÓN SELLOS</t>
  </si>
  <si>
    <t>ASOCIACIÓN CULTURAL "EL MOSTACHO"</t>
  </si>
  <si>
    <t>FESTIVAL INTERNACIONAL DE CINE</t>
  </si>
  <si>
    <t>3373 489.00</t>
  </si>
  <si>
    <t>JUVENTUD</t>
  </si>
  <si>
    <t>Asociación Grupo 93</t>
  </si>
  <si>
    <t xml:space="preserve">EUROFESTIVAL 2024 </t>
  </si>
  <si>
    <t>3410 489.00</t>
  </si>
  <si>
    <t>PROMOCIÓN DEPORTIVA</t>
  </si>
  <si>
    <t>C D ARANDA BOX</t>
  </si>
  <si>
    <t>PROMOCION DEPORTIVA</t>
  </si>
  <si>
    <t>C D ARANDA CORRE</t>
  </si>
  <si>
    <t>C D ARANDA RIBER</t>
  </si>
  <si>
    <t>C D ARANDA VETERANOS CF</t>
  </si>
  <si>
    <t>C D ARANDINA CLUB DE FUTBOL</t>
  </si>
  <si>
    <t>C D ARCO CLUB MOSQUETEROS</t>
  </si>
  <si>
    <t>C D ARETE</t>
  </si>
  <si>
    <t>C D ATLETISMO ARANDA</t>
  </si>
  <si>
    <t>C D CICLISTA ARANDINO</t>
  </si>
  <si>
    <t>C D DONCEL ASADEMA</t>
  </si>
  <si>
    <t>C D ESPELEODUERO</t>
  </si>
  <si>
    <t>C D ESPELEOLOGICO RIBEREÑO</t>
  </si>
  <si>
    <t>C D FUTBOL SALA 1503</t>
  </si>
  <si>
    <t>C D GIMNASIA ARTISTICA ARANDA</t>
  </si>
  <si>
    <t>C D GOLF ARANDA</t>
  </si>
  <si>
    <t>C D HOKEY LINEA</t>
  </si>
  <si>
    <t>C D JUVENTUD ARANDA</t>
  </si>
  <si>
    <t>C D MOTOCLUB ARANDA</t>
  </si>
  <si>
    <t>C.D PROMOARANDA</t>
  </si>
  <si>
    <t>C D RUGBY ARANDA</t>
  </si>
  <si>
    <t>C D TENIS ARANDA</t>
  </si>
  <si>
    <t>C D TIRO ALCOTANES</t>
  </si>
  <si>
    <t>C D TORRE NEGRA AJEDREZ</t>
  </si>
  <si>
    <t>C D TRIATLON ARANDA</t>
  </si>
  <si>
    <t>C D TRIATLON TRIBU RIBERA</t>
  </si>
  <si>
    <t>C D PADDELFIT</t>
  </si>
  <si>
    <t>C D VELO CLUB RIBERA DUERO</t>
  </si>
  <si>
    <t>C D VILLA DE ARANDA BLM</t>
  </si>
  <si>
    <t>C D BOMBEROS</t>
  </si>
  <si>
    <t xml:space="preserve">ORGANIZACIÓN SAN SILVESTRE </t>
  </si>
  <si>
    <t>RIBERA RUGBY</t>
  </si>
  <si>
    <t>4310 489.00</t>
  </si>
  <si>
    <t>COMERCIO</t>
  </si>
  <si>
    <t>ACOA</t>
  </si>
  <si>
    <t>PLAN DINAMIZACION COMERCIO LOCAL</t>
  </si>
  <si>
    <t>ASOC. COMERCIANTES SANTA CATALINA</t>
  </si>
  <si>
    <t>DINAMIZACION COMERCIO LOCAL</t>
  </si>
  <si>
    <t>4320 489.00</t>
  </si>
  <si>
    <t>TURISMO</t>
  </si>
  <si>
    <t>BIKER RACING SHOW DOS LEONES</t>
  </si>
  <si>
    <t>ORGANIZACIÓN Concentración motera</t>
  </si>
  <si>
    <t>HERMANDAD DE COFRADIAS</t>
  </si>
  <si>
    <t>BAJADA DEL ANGEL , SEMANA SANTA Y ALQUILER ALMACEN</t>
  </si>
  <si>
    <t>4330 489.00</t>
  </si>
  <si>
    <t>DESARROLLO ECONÓMICO</t>
  </si>
  <si>
    <t xml:space="preserve">ASOHAR </t>
  </si>
  <si>
    <t xml:space="preserve">PLAN DINAMIZACION HOSTELERIA </t>
  </si>
  <si>
    <t>JEARCO</t>
  </si>
  <si>
    <t>DESARROLLO PROYECTOS EMPRENDEDORES</t>
  </si>
  <si>
    <t>ASEMAR</t>
  </si>
  <si>
    <t>PREMIO INICIATIVA EMPRESARIAL</t>
  </si>
  <si>
    <t>FEDER. DE ORG. DE PANADERIA DE CAST. Y LEON</t>
  </si>
  <si>
    <t xml:space="preserve">PROMC. MARCA DE GART. TORTA DE ARANDA </t>
  </si>
  <si>
    <t>ASOCIACION ENOLOGOS DE LA RIBERA</t>
  </si>
  <si>
    <t>MANTENIMIENTO SEDE Y ACTIVIDADES VARIAS</t>
  </si>
  <si>
    <t>Plataforma por el Ferrocarril Directo Madrid - Aranda</t>
  </si>
  <si>
    <t>APOYO A LA PLATAFORMA</t>
  </si>
  <si>
    <t>9240 489.00</t>
  </si>
  <si>
    <t>PARTICIPACIÓN CIUDADANA</t>
  </si>
  <si>
    <t>ASOCIACIÓN VECINOS LA ESTACIÓN</t>
  </si>
  <si>
    <t>Proyectos vecinales</t>
  </si>
  <si>
    <t>ASOCIACIÓN VECINOS EL POLÍGONO</t>
  </si>
  <si>
    <t>ASOCIACIÓN VECINOS ALLENDEDUERO</t>
  </si>
  <si>
    <t>ASOCIACIÓN VECINOS CENTRO</t>
  </si>
  <si>
    <t>ASOCIACIÓN VECINOS FERIAL BAÑUELOS</t>
  </si>
  <si>
    <t>ASOCIACIÓN VECINOS SANTA CATALINA</t>
  </si>
  <si>
    <t>ASOCIACIÓN VECINOS SINOVAS</t>
  </si>
  <si>
    <t>TOTAL SUBVENCIONES NOMINATIVAS</t>
  </si>
  <si>
    <t>APORTACIONES Y CUOTAS ASOCIACIONES</t>
  </si>
  <si>
    <t>CONCEPTO</t>
  </si>
  <si>
    <t xml:space="preserve">1610 489.00 </t>
  </si>
  <si>
    <t>ABASTECIMIENTO Y DISTRIBUCIÓN DE AGUAS</t>
  </si>
  <si>
    <t>ASOCIACION ESP. DE ABASTC. DE AGUAS Y SANEA.</t>
  </si>
  <si>
    <t>CUOTA</t>
  </si>
  <si>
    <t>FEDERACION ESPAÑOLA DE MUNICIPIOS Y PROV.</t>
  </si>
  <si>
    <t>CUOTA RED ESP. CIUDADES DEL CLIMA</t>
  </si>
  <si>
    <t xml:space="preserve">1710 489.00 </t>
  </si>
  <si>
    <t>PARQUES Y JARDINES</t>
  </si>
  <si>
    <t>ASOCIACION ESP. DE PARQUES Y JARDINES</t>
  </si>
  <si>
    <t>3260 489.00</t>
  </si>
  <si>
    <t>SERVICIOS COMPLEMENTARIOS EDUCACIÓN</t>
  </si>
  <si>
    <t>FUNDACION UNIVERSIDAD DE BURGOS</t>
  </si>
  <si>
    <t>INSTITUTO CASTELLANO Y LEONES DE LA LENGUA</t>
  </si>
  <si>
    <t>CUOTA PATRONATO</t>
  </si>
  <si>
    <t>3341 489.00</t>
  </si>
  <si>
    <t>BANDA DE MUSICA</t>
  </si>
  <si>
    <t>FEDERACION BANDAS DE MUSICA</t>
  </si>
  <si>
    <t>4320 467.00</t>
  </si>
  <si>
    <t>CONSORCIO RUTA DEL VINO RIBERA DEL DUERO</t>
  </si>
  <si>
    <t>ASOCIACION DE MUSEOS DEL VINO</t>
  </si>
  <si>
    <t>ASOCIACION IBERICA DE MUNICIPIOS RIBEREÑOS</t>
  </si>
  <si>
    <t>ACEVIN</t>
  </si>
  <si>
    <t>RED IMPULSO</t>
  </si>
  <si>
    <t>RED CIUDADES MICHELIN</t>
  </si>
  <si>
    <t>H2CyL</t>
  </si>
  <si>
    <t>9200 489.00</t>
  </si>
  <si>
    <t>ADMINISTRACIÓN GENERAL</t>
  </si>
  <si>
    <t>CUOTA POR HABITANTE</t>
  </si>
  <si>
    <t>FEDE. REG. MUNICIPIOS Y PROV. CASTILLA Y LEON</t>
  </si>
  <si>
    <t>CUOTA RED ESP. CIUDADES SALUDABLES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</si>
</sst>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7">
    <font>
      <sz val="11.0"/>
      <color theme="1"/>
      <name val="Calibri"/>
      <scheme val="minor"/>
    </font>
    <font>
      <sz val="10.0"/>
      <color theme="1"/>
      <name val="Calibri"/>
      <scheme val="minor"/>
    </font>
    <font>
      <b/>
      <sz val="10.0"/>
      <color theme="1"/>
      <name val="Calibri"/>
      <scheme val="minor"/>
    </font>
    <font/>
    <font>
      <sz val="10.0"/>
      <color theme="1"/>
      <name val="Calibri"/>
    </font>
    <font>
      <b/>
      <sz val="10.0"/>
      <color theme="1"/>
      <name val="Calibri"/>
    </font>
    <font>
      <sz val="10.0"/>
      <color rgb="FFFF0000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7CAAC"/>
        <bgColor rgb="FFF7CAAC"/>
      </patternFill>
    </fill>
    <fill>
      <patternFill patternType="solid">
        <fgColor rgb="FFFBE4D5"/>
        <bgColor rgb="FFFBE4D5"/>
      </patternFill>
    </fill>
    <fill>
      <patternFill patternType="solid">
        <fgColor rgb="FFFEFAF9"/>
        <bgColor rgb="FFFEFAF9"/>
      </patternFill>
    </fill>
    <fill>
      <patternFill patternType="solid">
        <fgColor rgb="FFFCECEB"/>
        <bgColor rgb="FFFCECEB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</fills>
  <borders count="8">
    <border/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164" xfId="0" applyAlignment="1" applyFont="1" applyNumberFormat="1">
      <alignment shrinkToFit="0" vertical="bottom" wrapText="0"/>
    </xf>
    <xf borderId="0" fillId="0" fontId="1" numFmtId="164" xfId="0" applyFont="1" applyNumberFormat="1"/>
    <xf borderId="0" fillId="0" fontId="1" numFmtId="10" xfId="0" applyFont="1" applyNumberFormat="1"/>
    <xf borderId="0" fillId="0" fontId="2" numFmtId="164" xfId="0" applyAlignment="1" applyFont="1" applyNumberFormat="1">
      <alignment horizontal="center" shrinkToFit="0" vertical="bottom" wrapText="0"/>
    </xf>
    <xf borderId="1" fillId="2" fontId="2" numFmtId="0" xfId="0" applyAlignment="1" applyBorder="1" applyFill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2" fillId="3" fontId="2" numFmtId="0" xfId="0" applyAlignment="1" applyBorder="1" applyFill="1" applyFont="1">
      <alignment horizontal="center" shrinkToFit="0" vertical="center" wrapText="0"/>
    </xf>
    <xf borderId="2" fillId="3" fontId="2" numFmtId="164" xfId="0" applyAlignment="1" applyBorder="1" applyFill="1" applyFont="1" applyNumberFormat="1">
      <alignment horizontal="center" shrinkToFit="0" vertical="center" wrapText="1"/>
    </xf>
    <xf borderId="1" fillId="3" fontId="2" numFmtId="0" xfId="0" applyAlignment="1" applyBorder="1" applyFill="1" applyFont="1">
      <alignment shrinkToFit="0" vertical="center" wrapText="0"/>
    </xf>
    <xf borderId="2" fillId="3" fontId="2" numFmtId="0" xfId="0" applyAlignment="1" applyBorder="1" applyFill="1" applyFont="1">
      <alignment shrinkToFit="0" vertical="center" wrapText="0"/>
    </xf>
    <xf borderId="2" fillId="3" fontId="2" numFmtId="49" xfId="0" applyAlignment="1" applyBorder="1" applyFill="1" applyFont="1" applyNumberFormat="1">
      <alignment horizontal="center" readingOrder="0" shrinkToFit="0" vertical="center" wrapText="0"/>
    </xf>
    <xf borderId="2" fillId="3" fontId="2" numFmtId="164" xfId="0" applyAlignment="1" applyBorder="1" applyFill="1" applyFont="1" applyNumberFormat="1">
      <alignment horizontal="center" readingOrder="0" shrinkToFit="0" vertical="center" wrapText="0"/>
    </xf>
    <xf borderId="2" fillId="3" fontId="2" numFmtId="164" xfId="0" applyAlignment="1" applyBorder="1" applyFill="1" applyFont="1" applyNumberFormat="1">
      <alignment horizontal="center" readingOrder="0" shrinkToFit="0" vertical="center" wrapText="1"/>
    </xf>
    <xf borderId="3" fillId="0" fontId="3" numFmtId="0" xfId="0" applyBorder="1" applyFont="1"/>
    <xf borderId="0" fillId="0" fontId="2" numFmtId="1" xfId="0" applyAlignment="1" applyFont="1" applyNumberFormat="1">
      <alignment horizontal="left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horizontal="center" shrinkToFit="0" vertical="center" wrapText="0"/>
    </xf>
    <xf borderId="4" fillId="0" fontId="2" numFmtId="1" xfId="0" applyAlignment="1" applyBorder="1" applyFont="1" applyNumberFormat="1">
      <alignment horizontal="left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1" fillId="0" fontId="2" numFmtId="164" xfId="0" applyAlignment="1" applyBorder="1" applyFont="1" applyNumberFormat="1">
      <alignment shrinkToFit="0" vertical="bottom" wrapText="0"/>
    </xf>
    <xf borderId="1" fillId="0" fontId="2" numFmtId="164" xfId="0" applyAlignment="1" applyBorder="1" applyFont="1" applyNumberFormat="1">
      <alignment readingOrder="0" shrinkToFit="0" vertical="bottom" wrapText="0"/>
    </xf>
    <xf borderId="0" fillId="0" fontId="2" numFmtId="164" xfId="0" applyAlignment="1" applyFont="1" applyNumberFormat="1">
      <alignment shrinkToFit="0" vertical="bottom" wrapText="0"/>
    </xf>
    <xf borderId="0" fillId="0" fontId="1" numFmtId="0" xfId="0" applyAlignment="1" applyFont="1">
      <alignment horizontal="center" shrinkToFit="0" vertical="center" wrapText="0"/>
    </xf>
    <xf borderId="0" fillId="0" fontId="1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5" numFmtId="0" xfId="0" applyAlignment="1" applyFont="1">
      <alignment horizontal="center" readingOrder="0"/>
    </xf>
    <xf borderId="5" fillId="0" fontId="4" numFmtId="164" xfId="0" applyAlignment="1" applyBorder="1" applyFont="1" applyNumberFormat="1">
      <alignment horizontal="right" vertical="bottom"/>
    </xf>
    <xf borderId="6" fillId="0" fontId="5" numFmtId="1" xfId="0" applyAlignment="1" applyBorder="1" applyFont="1" applyNumberFormat="1">
      <alignment readingOrder="0" vertical="bottom"/>
    </xf>
    <xf borderId="0" fillId="0" fontId="4" numFmtId="164" xfId="0" applyAlignment="1" applyFont="1" applyNumberFormat="1">
      <alignment vertical="bottom"/>
    </xf>
    <xf borderId="0" fillId="0" fontId="4" numFmtId="10" xfId="0" applyAlignment="1" applyFont="1" applyNumberFormat="1">
      <alignment vertical="bottom"/>
    </xf>
    <xf borderId="0" fillId="0" fontId="4" numFmtId="0" xfId="0" applyFont="1"/>
    <xf borderId="0" fillId="0" fontId="4" numFmtId="1" xfId="0" applyAlignment="1" applyFont="1" applyNumberFormat="1">
      <alignment readingOrder="0" vertical="bottom"/>
    </xf>
    <xf borderId="0" fillId="0" fontId="4" numFmtId="0" xfId="0" applyAlignment="1" applyFont="1">
      <alignment readingOrder="0" vertical="bottom"/>
    </xf>
    <xf borderId="0" fillId="0" fontId="4" numFmtId="164" xfId="0" applyAlignment="1" applyFont="1" applyNumberFormat="1">
      <alignment horizontal="right" readingOrder="0" vertical="bottom"/>
    </xf>
    <xf borderId="0" fillId="4" fontId="4" numFmtId="10" xfId="0" applyAlignment="1" applyFill="1" applyFont="1" applyNumberFormat="1">
      <alignment horizontal="right" vertical="bottom"/>
    </xf>
    <xf borderId="0" fillId="0" fontId="5" numFmtId="0" xfId="0" applyAlignment="1" applyFont="1">
      <alignment horizontal="right" readingOrder="0" vertical="bottom"/>
    </xf>
    <xf borderId="1" fillId="0" fontId="5" numFmtId="164" xfId="0" applyAlignment="1" applyBorder="1" applyFont="1" applyNumberFormat="1">
      <alignment horizontal="right" vertical="bottom"/>
    </xf>
    <xf borderId="0" fillId="5" fontId="4" numFmtId="10" xfId="0" applyAlignment="1" applyFill="1" applyFont="1" applyNumberFormat="1">
      <alignment horizontal="right" vertical="bottom"/>
    </xf>
    <xf borderId="0" fillId="0" fontId="2" numFmtId="0" xfId="0" applyAlignment="1" applyFont="1">
      <alignment horizontal="center" readingOrder="0" shrinkToFit="0" vertical="center" wrapText="0"/>
    </xf>
    <xf borderId="4" fillId="0" fontId="2" numFmtId="1" xfId="0" applyAlignment="1" applyBorder="1" applyFont="1" applyNumberFormat="1">
      <alignment horizontal="left"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164" xfId="0" applyAlignment="1" applyFont="1" applyNumberFormat="1">
      <alignment shrinkToFit="0" vertical="bottom" wrapText="0"/>
    </xf>
    <xf borderId="0" fillId="0" fontId="1" numFmtId="164" xfId="0" applyAlignment="1" applyFont="1" applyNumberFormat="1">
      <alignment readingOrder="0"/>
    </xf>
    <xf borderId="0" fillId="0" fontId="2" numFmtId="164" xfId="0" applyAlignment="1" applyFont="1" applyNumberForma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Font="1"/>
    <xf borderId="0" fillId="0" fontId="1" numFmtId="0" xfId="0" applyFont="1"/>
    <xf borderId="0" fillId="0" fontId="1" numFmtId="164" xfId="0" applyAlignment="1" applyFont="1" applyNumberFormat="1">
      <alignment horizontal="right" readingOrder="0" vertical="bottom"/>
    </xf>
    <xf borderId="0" fillId="0" fontId="1" numFmtId="0" xfId="0" applyAlignment="1" applyFont="1">
      <alignment horizontal="left" shrinkToFit="0" vertical="bottom" wrapText="0"/>
    </xf>
    <xf borderId="0" fillId="0" fontId="1" numFmtId="164" xfId="0" applyAlignment="1" applyFont="1" applyNumberFormat="1">
      <alignment horizontal="right" readingOrder="0" shrinkToFit="0" vertical="bottom" wrapText="0"/>
    </xf>
    <xf borderId="0" fillId="0" fontId="1" numFmtId="164" xfId="0" applyAlignment="1" applyFont="1" applyNumberFormat="1">
      <alignment horizontal="right" shrinkToFit="0" vertical="bottom" wrapText="0"/>
    </xf>
    <xf borderId="1" fillId="0" fontId="2" numFmtId="164" xfId="0" applyAlignment="1" applyBorder="1" applyFont="1" applyNumberFormat="1">
      <alignment horizontal="right" shrinkToFit="0" vertical="bottom" wrapText="0"/>
    </xf>
    <xf borderId="0" fillId="0" fontId="2" numFmtId="164" xfId="0" applyAlignment="1" applyFont="1" applyNumberFormat="1">
      <alignment horizontal="right" shrinkToFit="0" vertical="bottom" wrapText="0"/>
    </xf>
    <xf borderId="0" fillId="0" fontId="2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6" fontId="2" numFmtId="0" xfId="0" applyAlignment="1" applyFill="1" applyFont="1">
      <alignment horizontal="center" shrinkToFit="0" vertical="bottom" wrapText="0"/>
    </xf>
    <xf borderId="0" fillId="0" fontId="2" numFmtId="0" xfId="0" applyAlignment="1" applyFont="1">
      <alignment horizontal="right" shrinkToFit="0" vertical="bottom" wrapText="0"/>
    </xf>
    <xf borderId="7" fillId="0" fontId="2" numFmtId="164" xfId="0" applyAlignment="1" applyBorder="1" applyFont="1" applyNumberFormat="1">
      <alignment shrinkToFit="0" vertical="bottom" wrapText="0"/>
    </xf>
    <xf borderId="0" fillId="0" fontId="1" numFmtId="0" xfId="0" applyAlignment="1" applyFont="1">
      <alignment horizontal="right" shrinkToFit="0" vertical="bottom" wrapText="0"/>
    </xf>
    <xf borderId="4" fillId="0" fontId="2" numFmtId="0" xfId="0" applyAlignment="1" applyBorder="1" applyFont="1">
      <alignment shrinkToFit="0" vertical="bottom" wrapText="0"/>
    </xf>
    <xf borderId="1" fillId="0" fontId="1" numFmtId="164" xfId="0" applyAlignment="1" applyBorder="1" applyFont="1" applyNumberFormat="1">
      <alignment shrinkToFit="0" vertical="bottom" wrapText="0"/>
    </xf>
    <xf borderId="1" fillId="0" fontId="1" numFmtId="164" xfId="0" applyAlignment="1" applyBorder="1" applyFont="1" applyNumberFormat="1">
      <alignment horizontal="right" shrinkToFit="0" vertical="bottom" wrapText="0"/>
    </xf>
    <xf borderId="4" fillId="0" fontId="2" numFmtId="1" xfId="0" applyAlignment="1" applyBorder="1" applyFont="1" applyNumberFormat="1">
      <alignment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7" fontId="2" numFmtId="0" xfId="0" applyAlignment="1" applyFill="1" applyFont="1">
      <alignment horizontal="center" shrinkToFit="0" vertical="center" wrapText="0"/>
    </xf>
    <xf borderId="0" fillId="7" fontId="1" numFmtId="164" xfId="0" applyAlignment="1" applyFill="1" applyFont="1" applyNumberFormat="1">
      <alignment shrinkToFit="0" vertical="bottom" wrapText="0"/>
    </xf>
    <xf borderId="4" fillId="7" fontId="2" numFmtId="1" xfId="0" applyAlignment="1" applyBorder="1" applyFill="1" applyFont="1" applyNumberFormat="1">
      <alignment horizontal="left" shrinkToFit="0" vertical="bottom" wrapText="0"/>
    </xf>
    <xf borderId="0" fillId="7" fontId="2" numFmtId="0" xfId="0" applyAlignment="1" applyFill="1" applyFont="1">
      <alignment shrinkToFit="0" vertical="bottom" wrapText="0"/>
    </xf>
    <xf borderId="0" fillId="7" fontId="1" numFmtId="164" xfId="0" applyFill="1" applyFont="1" applyNumberFormat="1"/>
    <xf borderId="0" fillId="7" fontId="2" numFmtId="164" xfId="0" applyAlignment="1" applyFill="1" applyFont="1" applyNumberFormat="1">
      <alignment horizontal="center" shrinkToFit="0" vertical="bottom" wrapText="0"/>
    </xf>
    <xf borderId="0" fillId="7" fontId="1" numFmtId="10" xfId="0" applyFill="1" applyFont="1" applyNumberFormat="1"/>
    <xf borderId="0" fillId="7" fontId="1" numFmtId="0" xfId="0" applyAlignment="1" applyFill="1" applyFont="1">
      <alignment shrinkToFit="0" vertical="bottom" wrapText="0"/>
    </xf>
    <xf borderId="0" fillId="7" fontId="1" numFmtId="0" xfId="0" applyAlignment="1" applyFill="1" applyFont="1">
      <alignment readingOrder="0" shrinkToFit="0" vertical="bottom" wrapText="0"/>
    </xf>
    <xf borderId="0" fillId="7" fontId="2" numFmtId="0" xfId="0" applyAlignment="1" applyFill="1" applyFont="1">
      <alignment readingOrder="0" shrinkToFit="0" vertical="bottom" wrapText="0"/>
    </xf>
    <xf borderId="1" fillId="7" fontId="2" numFmtId="164" xfId="0" applyAlignment="1" applyBorder="1" applyFill="1" applyFont="1" applyNumberFormat="1">
      <alignment shrinkToFit="0" vertical="bottom" wrapText="0"/>
    </xf>
    <xf borderId="1" fillId="7" fontId="2" numFmtId="164" xfId="0" applyAlignment="1" applyBorder="1" applyFill="1" applyFont="1" applyNumberFormat="1">
      <alignment readingOrder="0" shrinkToFit="0" vertical="bottom" wrapText="0"/>
    </xf>
    <xf borderId="0" fillId="7" fontId="1" numFmtId="0" xfId="0" applyAlignment="1" applyFill="1" applyFont="1">
      <alignment horizontal="center" shrinkToFit="0" vertical="center" wrapText="0"/>
    </xf>
    <xf borderId="0" fillId="7" fontId="1" numFmtId="164" xfId="0" applyAlignment="1" applyFill="1" applyFont="1" applyNumberFormat="1">
      <alignment readingOrder="0" shrinkToFit="0" vertical="bottom" wrapText="0"/>
    </xf>
    <xf borderId="0" fillId="7" fontId="5" numFmtId="0" xfId="0" applyAlignment="1" applyFill="1" applyFont="1">
      <alignment horizontal="center" readingOrder="0"/>
    </xf>
    <xf borderId="5" fillId="7" fontId="4" numFmtId="164" xfId="0" applyAlignment="1" applyBorder="1" applyFill="1" applyFont="1" applyNumberFormat="1">
      <alignment horizontal="right" vertical="bottom"/>
    </xf>
    <xf borderId="6" fillId="7" fontId="5" numFmtId="1" xfId="0" applyAlignment="1" applyBorder="1" applyFill="1" applyFont="1" applyNumberFormat="1">
      <alignment readingOrder="0" vertical="bottom"/>
    </xf>
    <xf borderId="0" fillId="7" fontId="4" numFmtId="0" xfId="0" applyAlignment="1" applyFill="1" applyFont="1">
      <alignment vertical="bottom"/>
    </xf>
    <xf borderId="0" fillId="7" fontId="4" numFmtId="164" xfId="0" applyAlignment="1" applyFill="1" applyFont="1" applyNumberFormat="1">
      <alignment vertical="bottom"/>
    </xf>
    <xf borderId="0" fillId="7" fontId="4" numFmtId="10" xfId="0" applyAlignment="1" applyFill="1" applyFont="1" applyNumberFormat="1">
      <alignment vertical="bottom"/>
    </xf>
    <xf borderId="0" fillId="7" fontId="4" numFmtId="0" xfId="0" applyFill="1" applyFont="1"/>
    <xf borderId="0" fillId="7" fontId="4" numFmtId="1" xfId="0" applyAlignment="1" applyFill="1" applyFont="1" applyNumberFormat="1">
      <alignment readingOrder="0" vertical="bottom"/>
    </xf>
    <xf borderId="0" fillId="7" fontId="4" numFmtId="0" xfId="0" applyAlignment="1" applyFill="1" applyFont="1">
      <alignment readingOrder="0" vertical="bottom"/>
    </xf>
    <xf borderId="0" fillId="7" fontId="4" numFmtId="164" xfId="0" applyAlignment="1" applyFill="1" applyFont="1" applyNumberFormat="1">
      <alignment horizontal="right" readingOrder="0" vertical="bottom"/>
    </xf>
    <xf borderId="0" fillId="7" fontId="4" numFmtId="10" xfId="0" applyAlignment="1" applyFill="1" applyFont="1" applyNumberFormat="1">
      <alignment horizontal="right" vertical="bottom"/>
    </xf>
    <xf borderId="0" fillId="7" fontId="5" numFmtId="0" xfId="0" applyAlignment="1" applyFill="1" applyFont="1">
      <alignment horizontal="right" readingOrder="0" vertical="bottom"/>
    </xf>
    <xf borderId="1" fillId="7" fontId="5" numFmtId="164" xfId="0" applyAlignment="1" applyBorder="1" applyFill="1" applyFont="1" applyNumberFormat="1">
      <alignment horizontal="right" vertical="bottom"/>
    </xf>
    <xf borderId="0" fillId="7" fontId="2" numFmtId="0" xfId="0" applyAlignment="1" applyFill="1" applyFont="1">
      <alignment horizontal="center" shrinkToFit="0" vertical="bottom" wrapText="0"/>
    </xf>
    <xf borderId="0" fillId="7" fontId="6" numFmtId="0" xfId="0" applyAlignment="1" applyFill="1" applyFont="1">
      <alignment shrinkToFit="0" vertical="bottom" wrapText="0"/>
    </xf>
    <xf borderId="0" fillId="7" fontId="6" numFmtId="164" xfId="0" applyAlignment="1" applyFill="1" applyFont="1" applyNumberFormat="1">
      <alignment shrinkToFit="0" vertical="bottom" wrapText="0"/>
    </xf>
    <xf borderId="0" fillId="7" fontId="2" numFmtId="0" xfId="0" applyAlignment="1" applyFill="1" applyFont="1">
      <alignment horizontal="center" readingOrder="0" shrinkToFit="0" vertical="bottom" wrapText="0"/>
    </xf>
    <xf borderId="4" fillId="7" fontId="2" numFmtId="1" xfId="0" applyAlignment="1" applyBorder="1" applyFill="1" applyFont="1" applyNumberFormat="1">
      <alignment horizontal="left" readingOrder="0" shrinkToFit="0" vertical="bottom" wrapText="0"/>
    </xf>
    <xf borderId="0" fillId="7" fontId="1" numFmtId="0" xfId="0" applyAlignment="1" applyFill="1" applyFont="1">
      <alignment vertical="bottom"/>
    </xf>
    <xf borderId="0" fillId="7" fontId="1" numFmtId="164" xfId="0" applyAlignment="1" applyFill="1" applyFont="1" applyNumberFormat="1">
      <alignment vertical="bottom"/>
    </xf>
    <xf borderId="0" fillId="7" fontId="1" numFmtId="164" xfId="0" applyAlignment="1" applyFill="1" applyFont="1" applyNumberFormat="1">
      <alignment readingOrder="0"/>
    </xf>
    <xf borderId="0" fillId="7" fontId="2" numFmtId="164" xfId="0" applyAlignment="1" applyFill="1" applyFont="1" applyNumberFormat="1">
      <alignment readingOrder="0" shrinkToFit="0" vertical="bottom" wrapText="0"/>
    </xf>
    <xf borderId="0" fillId="7" fontId="1" numFmtId="0" xfId="0" applyAlignment="1" applyFill="1" applyFont="1">
      <alignment horizontal="center" shrinkToFit="0" vertical="bottom" wrapText="0"/>
    </xf>
    <xf borderId="0" fillId="7" fontId="2" numFmtId="0" xfId="0" applyAlignment="1" applyFill="1" applyFont="1">
      <alignment horizontal="right" shrinkToFit="0" vertical="bottom" wrapText="0"/>
    </xf>
    <xf borderId="7" fillId="7" fontId="2" numFmtId="164" xfId="0" applyAlignment="1" applyBorder="1" applyFill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Guillermo López" id="{bd691d07-78c2-4ae3-8ed6-7c6bf067006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3-11-07T18:12:31.00" personId="{bd691d07-78c2-4ae3-8ed6-7c6bf0670069}" id="{bbc2e9b2-49ea-48e4-9fc7-202583d533d9}" done="0">
    <x18tc:text xml:space="preserve">La ermita es de la Iglesia, no es propia</x18tc:text>
  </x18tc:threadedComment>
  <x18tc:threadedComment ref="A1" dT="2023-10-21T15:46:07.00" personId="{bd691d07-78c2-4ae3-8ed6-7c6bf0670069}" id="{7e48d84b-c7eb-4e05-a838-97d8fcd31e05}" done="0">
    <x18tc:text xml:space="preserve">¿cuál es el nombre oficial?</x18tc:text>
  </x18tc:threadedComment>
  <x18tc:threadedComment ref="G60" dT="2023-10-05T14:14:13.00" personId="{bd691d07-78c2-4ae3-8ed6-7c6bf0670069}" id="{1716f0e7-39ce-4f78-99a6-12d90ec3463d}" done="1">
    <x18tc:text xml:space="preserve">Bajada de 50.000, puesto en promoción de la ciudad, no deportiva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6.71"/>
    <col customWidth="1" min="2" max="2" width="14.43"/>
    <col customWidth="1" min="3" max="3" width="11.43"/>
    <col customWidth="1" min="4" max="4" width="43.57"/>
    <col customWidth="1" min="5" max="5" width="49.0"/>
    <col customWidth="1" hidden="1" min="6" max="6" width="14.86"/>
    <col customWidth="1" min="7" max="7" width="15.71"/>
    <col customWidth="1" min="8" max="26" width="10.0"/>
  </cols>
  <sheetData>
    <row r="1" ht="15.75" customHeight="1">
      <c r="A1" s="1"/>
      <c r="B1" s="1"/>
      <c r="C1" s="2"/>
      <c r="D1" s="1"/>
      <c r="E1" s="1"/>
      <c r="F1" s="3"/>
      <c r="G1" s="2"/>
      <c r="H1" s="4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s="1"/>
      <c r="B2" s="1"/>
      <c r="C2" s="5"/>
      <c r="D2" s="6" t="s">
        <v>0</v>
      </c>
      <c r="E2" s="7"/>
      <c r="F2" s="3"/>
      <c r="G2" s="2"/>
      <c r="H2" s="4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1"/>
      <c r="B3" s="1"/>
      <c r="C3" s="2"/>
      <c r="D3" s="1"/>
      <c r="E3" s="1"/>
      <c r="F3" s="3"/>
      <c r="G3" s="2"/>
      <c r="H3" s="4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8" t="s">
        <v>1</v>
      </c>
      <c r="C4" s="9" t="s">
        <v>2</v>
      </c>
      <c r="D4" s="10" t="s">
        <v>3</v>
      </c>
      <c r="E4" s="11" t="s">
        <v>4</v>
      </c>
      <c r="F4" s="12" t="s">
        <v>5</v>
      </c>
      <c r="G4" s="12" t="s">
        <v>6</v>
      </c>
      <c r="H4" s="13" t="s">
        <v>7</v>
      </c>
      <c r="I4" s="14" t="s">
        <v>8</v>
      </c>
      <c r="J4" s="14" t="s">
        <v>9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5"/>
      <c r="C5" s="15"/>
      <c r="D5" s="10" t="s">
        <v>10</v>
      </c>
      <c r="E5" s="15"/>
      <c r="F5" s="15"/>
      <c r="G5" s="15"/>
      <c r="H5" s="15"/>
      <c r="I5" s="15"/>
      <c r="J5" s="15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7"/>
      <c r="C6" s="2"/>
      <c r="D6" s="16"/>
      <c r="E6" s="17"/>
      <c r="F6" s="3"/>
      <c r="G6" s="5"/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"/>
      <c r="B7" s="18" t="s">
        <v>11</v>
      </c>
      <c r="C7" s="2">
        <f>IFERROR(__xludf.DUMMYFUNCTION("IMPORTRANGE(""https://docs.google.com/spreadsheets/d/1i4_2O56hxDkWjXCHioQ5bUAv8_1y7FkgxXxsMCbP6Y4"", ""2024!p1700_48900"")"),2300.0)</f>
        <v>2300</v>
      </c>
      <c r="D7" s="19" t="s">
        <v>12</v>
      </c>
      <c r="E7" s="17"/>
      <c r="F7" s="3"/>
      <c r="G7" s="5"/>
      <c r="H7" s="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6.5" customHeight="1">
      <c r="A8" s="1"/>
      <c r="B8" s="18"/>
      <c r="C8" s="2"/>
      <c r="D8" s="1" t="s">
        <v>13</v>
      </c>
      <c r="E8" s="20" t="s">
        <v>14</v>
      </c>
      <c r="F8" s="2">
        <v>2000.0</v>
      </c>
      <c r="G8" s="2">
        <v>2000.0</v>
      </c>
      <c r="H8" s="4">
        <f t="shared" ref="H8:H9" si="2">(G8-F8)/F8</f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6.5" customHeight="1">
      <c r="A9" s="1"/>
      <c r="B9" s="1"/>
      <c r="C9" s="2"/>
      <c r="D9" s="1"/>
      <c r="E9" s="21">
        <v>1700.0</v>
      </c>
      <c r="F9" s="22">
        <f t="shared" ref="F9:G9" si="1">SUM(F8)</f>
        <v>2000</v>
      </c>
      <c r="G9" s="22">
        <f t="shared" si="1"/>
        <v>2000</v>
      </c>
      <c r="H9" s="4">
        <f t="shared" si="2"/>
        <v>0</v>
      </c>
      <c r="I9" s="23">
        <v>300.0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8"/>
      <c r="C10" s="2"/>
      <c r="D10" s="1"/>
      <c r="E10" s="1"/>
      <c r="F10" s="3"/>
      <c r="G10" s="24"/>
      <c r="H10" s="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8" t="s">
        <v>15</v>
      </c>
      <c r="C11" s="2">
        <f>IFERROR(__xludf.DUMMYFUNCTION("IMPORTRANGE(""https://docs.google.com/spreadsheets/d/1i4_2O56hxDkWjXCHioQ5bUAv8_1y7FkgxXxsMCbP6Y4"", ""2024!p2311_48900"")"),177910.0)</f>
        <v>177910</v>
      </c>
      <c r="D11" s="19" t="s">
        <v>16</v>
      </c>
      <c r="E11" s="1"/>
      <c r="F11" s="3"/>
      <c r="G11" s="2"/>
      <c r="H11" s="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25"/>
      <c r="C12" s="2"/>
      <c r="D12" s="1" t="s">
        <v>17</v>
      </c>
      <c r="E12" s="1" t="s">
        <v>18</v>
      </c>
      <c r="F12" s="2">
        <v>7670.0</v>
      </c>
      <c r="G12" s="26">
        <v>8000.0</v>
      </c>
      <c r="H12" s="4">
        <f t="shared" ref="H12:H26" si="3">(G12-F12)/F12</f>
        <v>0.04302477184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25"/>
      <c r="C13" s="2"/>
      <c r="D13" s="1" t="s">
        <v>19</v>
      </c>
      <c r="E13" s="1" t="s">
        <v>18</v>
      </c>
      <c r="F13" s="2">
        <v>6120.0</v>
      </c>
      <c r="G13" s="26">
        <v>6500.0</v>
      </c>
      <c r="H13" s="4">
        <f t="shared" si="3"/>
        <v>0.06209150327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25"/>
      <c r="C14" s="2"/>
      <c r="D14" s="1" t="s">
        <v>20</v>
      </c>
      <c r="E14" s="1" t="s">
        <v>18</v>
      </c>
      <c r="F14" s="2">
        <v>18500.0</v>
      </c>
      <c r="G14" s="2">
        <v>18500.0</v>
      </c>
      <c r="H14" s="4">
        <f t="shared" si="3"/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25"/>
      <c r="C15" s="2"/>
      <c r="D15" s="1" t="s">
        <v>21</v>
      </c>
      <c r="E15" s="1" t="s">
        <v>18</v>
      </c>
      <c r="F15" s="2">
        <v>5000.0</v>
      </c>
      <c r="G15" s="2">
        <v>5000.0</v>
      </c>
      <c r="H15" s="4">
        <f t="shared" si="3"/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25"/>
      <c r="C16" s="2"/>
      <c r="D16" s="1" t="s">
        <v>22</v>
      </c>
      <c r="E16" s="1" t="s">
        <v>23</v>
      </c>
      <c r="F16" s="2">
        <v>5900.0</v>
      </c>
      <c r="G16" s="26">
        <v>6000.0</v>
      </c>
      <c r="H16" s="4">
        <f t="shared" si="3"/>
        <v>0.01694915254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25"/>
      <c r="C17" s="2"/>
      <c r="D17" s="1" t="s">
        <v>24</v>
      </c>
      <c r="E17" s="1" t="s">
        <v>25</v>
      </c>
      <c r="F17" s="2">
        <v>7610.0</v>
      </c>
      <c r="G17" s="26">
        <v>8000.0</v>
      </c>
      <c r="H17" s="4">
        <f t="shared" si="3"/>
        <v>0.05124835742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2"/>
      <c r="D18" s="1" t="s">
        <v>26</v>
      </c>
      <c r="E18" s="1" t="s">
        <v>27</v>
      </c>
      <c r="F18" s="2">
        <v>7500.0</v>
      </c>
      <c r="G18" s="2">
        <v>7500.0</v>
      </c>
      <c r="H18" s="4">
        <f t="shared" si="3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2"/>
      <c r="D19" s="1" t="s">
        <v>28</v>
      </c>
      <c r="E19" s="1" t="s">
        <v>29</v>
      </c>
      <c r="F19" s="2">
        <v>2900.0</v>
      </c>
      <c r="G19" s="26">
        <v>3000.0</v>
      </c>
      <c r="H19" s="4">
        <f t="shared" si="3"/>
        <v>0.03448275862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2"/>
      <c r="D20" s="1" t="s">
        <v>30</v>
      </c>
      <c r="E20" s="1" t="s">
        <v>18</v>
      </c>
      <c r="F20" s="2">
        <v>8460.0</v>
      </c>
      <c r="G20" s="26">
        <v>8500.0</v>
      </c>
      <c r="H20" s="4">
        <f t="shared" si="3"/>
        <v>0.004728132388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2"/>
      <c r="D21" s="1" t="s">
        <v>31</v>
      </c>
      <c r="E21" s="1" t="s">
        <v>32</v>
      </c>
      <c r="F21" s="2">
        <v>4110.0</v>
      </c>
      <c r="G21" s="26">
        <v>4500.0</v>
      </c>
      <c r="H21" s="4">
        <f t="shared" si="3"/>
        <v>0.09489051095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2"/>
      <c r="D22" s="1" t="s">
        <v>33</v>
      </c>
      <c r="E22" s="1" t="s">
        <v>34</v>
      </c>
      <c r="F22" s="2">
        <v>60000.0</v>
      </c>
      <c r="G22" s="26">
        <v>80000.0</v>
      </c>
      <c r="H22" s="4">
        <f t="shared" si="3"/>
        <v>0.3333333333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2"/>
      <c r="D23" s="1" t="s">
        <v>35</v>
      </c>
      <c r="E23" s="1" t="s">
        <v>18</v>
      </c>
      <c r="F23" s="2">
        <v>10000.0</v>
      </c>
      <c r="G23" s="26">
        <v>10000.0</v>
      </c>
      <c r="H23" s="4">
        <f t="shared" si="3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2"/>
      <c r="D24" s="1" t="s">
        <v>36</v>
      </c>
      <c r="E24" s="1" t="s">
        <v>27</v>
      </c>
      <c r="F24" s="2">
        <v>2500.0</v>
      </c>
      <c r="G24" s="2">
        <v>2500.0</v>
      </c>
      <c r="H24" s="4">
        <f t="shared" si="3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2"/>
      <c r="D25" s="1" t="s">
        <v>37</v>
      </c>
      <c r="E25" s="1" t="s">
        <v>18</v>
      </c>
      <c r="F25" s="2">
        <v>2750.0</v>
      </c>
      <c r="G25" s="2">
        <v>2750.0</v>
      </c>
      <c r="H25" s="4">
        <f t="shared" si="3"/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6.5" customHeight="1">
      <c r="A26" s="1"/>
      <c r="B26" s="1"/>
      <c r="C26" s="2"/>
      <c r="D26" s="1"/>
      <c r="E26" s="17">
        <v>2311.0</v>
      </c>
      <c r="F26" s="22">
        <f t="shared" ref="F26:G26" si="4">SUM(F12:F25)</f>
        <v>149020</v>
      </c>
      <c r="G26" s="22">
        <f t="shared" si="4"/>
        <v>170750</v>
      </c>
      <c r="H26" s="4">
        <f t="shared" si="3"/>
        <v>0.1458193531</v>
      </c>
      <c r="I26" s="23">
        <v>7160.0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7"/>
      <c r="C27" s="2"/>
      <c r="D27" s="16"/>
      <c r="E27" s="1"/>
      <c r="F27" s="3"/>
      <c r="G27" s="2"/>
      <c r="H27" s="4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27"/>
      <c r="B28" s="28" t="s">
        <v>38</v>
      </c>
      <c r="C28" s="29">
        <f>IFERROR(__xludf.DUMMYFUNCTION("IMPORTRANGE(""https://docs.google.com/spreadsheets/d/1i4_2O56hxDkWjXCHioQ5bUAv8_1y7FkgxXxsMCbP6Y4"", ""2024!p2313_48900"")"),83400.0)</f>
        <v>83400</v>
      </c>
      <c r="D28" s="30" t="s">
        <v>39</v>
      </c>
      <c r="E28" s="27"/>
      <c r="F28" s="31"/>
      <c r="G28" s="31"/>
      <c r="H28" s="32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ht="15.75" customHeight="1">
      <c r="A29" s="27"/>
      <c r="B29" s="33"/>
      <c r="C29" s="31"/>
      <c r="D29" s="34" t="s">
        <v>40</v>
      </c>
      <c r="E29" s="35" t="s">
        <v>41</v>
      </c>
      <c r="F29" s="36"/>
      <c r="G29" s="36">
        <v>12000.0</v>
      </c>
      <c r="H29" s="3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ht="15.75" customHeight="1">
      <c r="A30" s="27"/>
      <c r="B30" s="33"/>
      <c r="C30" s="31"/>
      <c r="D30" s="34" t="s">
        <v>42</v>
      </c>
      <c r="E30" s="35" t="s">
        <v>41</v>
      </c>
      <c r="F30" s="36"/>
      <c r="G30" s="36">
        <v>12000.0</v>
      </c>
      <c r="H30" s="3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ht="15.75" customHeight="1">
      <c r="A31" s="27"/>
      <c r="B31" s="33"/>
      <c r="C31" s="31"/>
      <c r="D31" s="34" t="s">
        <v>43</v>
      </c>
      <c r="E31" s="35" t="s">
        <v>41</v>
      </c>
      <c r="F31" s="36">
        <v>0.0</v>
      </c>
      <c r="G31" s="36">
        <v>12000.0</v>
      </c>
      <c r="H31" s="37" t="str">
        <f t="shared" ref="H31:H32" si="5">(G31-F31)/F31</f>
        <v>#DIV/0!</v>
      </c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ht="15.75" customHeight="1">
      <c r="A32" s="27"/>
      <c r="B32" s="27"/>
      <c r="C32" s="31"/>
      <c r="D32" s="34"/>
      <c r="E32" s="38">
        <v>2313.0</v>
      </c>
      <c r="F32" s="39">
        <f>SUM(F31)</f>
        <v>0</v>
      </c>
      <c r="G32" s="39">
        <f>SUM(G29:G31)</f>
        <v>36000</v>
      </c>
      <c r="H32" s="40" t="str">
        <f t="shared" si="5"/>
        <v>#DIV/0!</v>
      </c>
      <c r="I32" s="39">
        <v>7160.0</v>
      </c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ht="15.75" customHeight="1">
      <c r="A33" s="1"/>
      <c r="B33" s="7"/>
      <c r="C33" s="2"/>
      <c r="D33" s="16"/>
      <c r="E33" s="1"/>
      <c r="F33" s="3"/>
      <c r="G33" s="2"/>
      <c r="H33" s="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41" t="s">
        <v>44</v>
      </c>
      <c r="C34" s="2">
        <f>IFERROR(__xludf.DUMMYFUNCTION("IMPORTRANGE(""https://docs.google.com/spreadsheets/d/1i4_2O56hxDkWjXCHioQ5bUAv8_1y7FkgxXxsMCbP6Y4"", ""2024!p3260_48900"")"),91400.0)</f>
        <v>91400</v>
      </c>
      <c r="D34" s="42" t="s">
        <v>45</v>
      </c>
      <c r="E34" s="17"/>
      <c r="F34" s="3"/>
      <c r="G34" s="5"/>
      <c r="H34" s="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6.5" customHeight="1">
      <c r="A35" s="1"/>
      <c r="B35" s="18"/>
      <c r="C35" s="2"/>
      <c r="D35" s="20" t="s">
        <v>46</v>
      </c>
      <c r="E35" s="20" t="s">
        <v>47</v>
      </c>
      <c r="F35" s="2">
        <v>2000.0</v>
      </c>
      <c r="G35" s="2">
        <v>2000.0</v>
      </c>
      <c r="H35" s="4">
        <f>(G35-F35)/F35</f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6.5" customHeight="1">
      <c r="A36" s="1"/>
      <c r="B36" s="18"/>
      <c r="C36" s="2"/>
      <c r="D36" s="20" t="s">
        <v>48</v>
      </c>
      <c r="E36" s="20" t="s">
        <v>49</v>
      </c>
      <c r="F36" s="26">
        <v>0.0</v>
      </c>
      <c r="G36" s="26">
        <v>24000.0</v>
      </c>
      <c r="H36" s="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6.5" customHeight="1">
      <c r="A37" s="1"/>
      <c r="B37" s="1"/>
      <c r="C37" s="2"/>
      <c r="D37" s="1"/>
      <c r="E37" s="21">
        <v>3260.0</v>
      </c>
      <c r="F37" s="22">
        <f>SUM(F35)</f>
        <v>2000</v>
      </c>
      <c r="G37" s="22">
        <f>SUM(G35:G36)</f>
        <v>26000</v>
      </c>
      <c r="H37" s="4">
        <f>(G37-F37)/F37</f>
        <v>12</v>
      </c>
      <c r="I37" s="23">
        <v>300.0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7"/>
      <c r="C38" s="2"/>
      <c r="D38" s="16"/>
      <c r="E38" s="1"/>
      <c r="F38" s="3"/>
      <c r="G38" s="2"/>
      <c r="H38" s="4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7" t="s">
        <v>50</v>
      </c>
      <c r="C39" s="2">
        <f>IFERROR(__xludf.DUMMYFUNCTION("IMPORTRANGE(""https://docs.google.com/spreadsheets/d/1i4_2O56hxDkWjXCHioQ5bUAv8_1y7FkgxXxsMCbP6Y4"", ""2024!p3340_48900"")"),104700.0)</f>
        <v>104700</v>
      </c>
      <c r="D39" s="19" t="s">
        <v>51</v>
      </c>
      <c r="E39" s="1"/>
      <c r="F39" s="3"/>
      <c r="G39" s="2"/>
      <c r="H39" s="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2"/>
      <c r="D40" s="1" t="s">
        <v>52</v>
      </c>
      <c r="E40" s="1" t="s">
        <v>53</v>
      </c>
      <c r="F40" s="2">
        <v>5400.0</v>
      </c>
      <c r="G40" s="2">
        <v>5400.0</v>
      </c>
      <c r="H40" s="4">
        <f t="shared" ref="H40:H46" si="6">(G40-F40)/F40</f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2"/>
      <c r="D41" s="1" t="s">
        <v>54</v>
      </c>
      <c r="E41" s="1" t="s">
        <v>55</v>
      </c>
      <c r="F41" s="2">
        <v>16200.0</v>
      </c>
      <c r="G41" s="2">
        <v>16200.0</v>
      </c>
      <c r="H41" s="4">
        <f t="shared" si="6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2"/>
      <c r="D42" s="1" t="s">
        <v>56</v>
      </c>
      <c r="E42" s="1" t="s">
        <v>57</v>
      </c>
      <c r="F42" s="2">
        <v>15000.0</v>
      </c>
      <c r="G42" s="2">
        <v>15000.0</v>
      </c>
      <c r="H42" s="4">
        <f t="shared" si="6"/>
        <v>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43"/>
      <c r="B43" s="43"/>
      <c r="C43" s="44"/>
      <c r="D43" s="1" t="s">
        <v>58</v>
      </c>
      <c r="E43" s="1" t="s">
        <v>59</v>
      </c>
      <c r="F43" s="2">
        <v>3000.0</v>
      </c>
      <c r="G43" s="2">
        <v>3000.0</v>
      </c>
      <c r="H43" s="4">
        <f t="shared" si="6"/>
        <v>0</v>
      </c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</row>
    <row r="44" ht="15.75" customHeight="1">
      <c r="A44" s="1"/>
      <c r="B44" s="1"/>
      <c r="C44" s="2"/>
      <c r="D44" s="1" t="s">
        <v>60</v>
      </c>
      <c r="E44" s="1" t="s">
        <v>61</v>
      </c>
      <c r="F44" s="2">
        <v>5300.0</v>
      </c>
      <c r="G44" s="2">
        <v>5300.0</v>
      </c>
      <c r="H44" s="4">
        <f t="shared" si="6"/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2"/>
      <c r="D45" s="1" t="s">
        <v>62</v>
      </c>
      <c r="E45" s="1" t="s">
        <v>63</v>
      </c>
      <c r="F45" s="26">
        <v>5000.0</v>
      </c>
      <c r="G45" s="26">
        <v>7000.0</v>
      </c>
      <c r="H45" s="4">
        <f t="shared" si="6"/>
        <v>0.4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2"/>
      <c r="D46" s="1" t="s">
        <v>64</v>
      </c>
      <c r="E46" s="1" t="s">
        <v>65</v>
      </c>
      <c r="F46" s="26">
        <v>10000.0</v>
      </c>
      <c r="G46" s="26">
        <v>10000.0</v>
      </c>
      <c r="H46" s="4">
        <f t="shared" si="6"/>
        <v>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2"/>
      <c r="D47" s="20" t="s">
        <v>66</v>
      </c>
      <c r="E47" s="20" t="s">
        <v>67</v>
      </c>
      <c r="F47" s="45">
        <v>0.0</v>
      </c>
      <c r="G47" s="26">
        <v>2500.0</v>
      </c>
      <c r="H47" s="4" t="str">
        <f t="shared" ref="H47:H48" si="7">(#REF!-G47)/G47</f>
        <v>#REF!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2"/>
      <c r="D48" s="20" t="s">
        <v>68</v>
      </c>
      <c r="E48" s="20" t="s">
        <v>69</v>
      </c>
      <c r="F48" s="45">
        <v>0.0</v>
      </c>
      <c r="G48" s="26">
        <v>14000.0</v>
      </c>
      <c r="H48" s="4" t="str">
        <f t="shared" si="7"/>
        <v>#REF!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6.5" customHeight="1">
      <c r="A49" s="1"/>
      <c r="B49" s="1"/>
      <c r="C49" s="2"/>
      <c r="D49" s="1"/>
      <c r="E49" s="17">
        <v>3340.0</v>
      </c>
      <c r="F49" s="22">
        <f t="shared" ref="F49:G49" si="8">SUM(F40:F48)</f>
        <v>59900</v>
      </c>
      <c r="G49" s="22">
        <f t="shared" si="8"/>
        <v>78400</v>
      </c>
      <c r="H49" s="4">
        <f>(G49-F49)/F49</f>
        <v>0.3088480801</v>
      </c>
      <c r="I49" s="23">
        <v>24800.0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6.5" customHeight="1">
      <c r="A50" s="1"/>
      <c r="B50" s="1"/>
      <c r="C50" s="2"/>
      <c r="D50" s="1"/>
      <c r="E50" s="17"/>
      <c r="F50" s="24"/>
      <c r="G50" s="24"/>
      <c r="H50" s="4"/>
      <c r="I50" s="4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47"/>
      <c r="B51" s="7" t="s">
        <v>70</v>
      </c>
      <c r="C51" s="26">
        <f>IFERROR(__xludf.DUMMYFUNCTION("IMPORTRANGE(""https://docs.google.com/spreadsheets/d/1i4_2O56hxDkWjXCHioQ5bUAv8_1y7FkgxXxsMCbP6Y4"", ""2024!p3373_48900"")"),180000.0)</f>
        <v>180000</v>
      </c>
      <c r="D51" s="19" t="s">
        <v>71</v>
      </c>
      <c r="E51" s="47"/>
      <c r="F51" s="48"/>
      <c r="G51" s="48"/>
      <c r="H51" s="4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9"/>
      <c r="Z51" s="49"/>
    </row>
    <row r="52" ht="15.75" customHeight="1">
      <c r="A52" s="47"/>
      <c r="B52" s="50"/>
      <c r="C52" s="48"/>
      <c r="D52" s="1" t="s">
        <v>72</v>
      </c>
      <c r="E52" s="20" t="s">
        <v>73</v>
      </c>
      <c r="F52" s="51">
        <v>15000.0</v>
      </c>
      <c r="G52" s="51">
        <v>85000.0</v>
      </c>
      <c r="H52" s="4">
        <f t="shared" ref="H52:H53" si="10">(G52-F52)/F52</f>
        <v>4.666666667</v>
      </c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9"/>
      <c r="Z52" s="49"/>
    </row>
    <row r="53" ht="16.5" customHeight="1">
      <c r="A53" s="1"/>
      <c r="B53" s="1"/>
      <c r="C53" s="2"/>
      <c r="D53" s="1"/>
      <c r="E53" s="21">
        <v>3373.0</v>
      </c>
      <c r="F53" s="22">
        <f t="shared" ref="F53:G53" si="9">SUM(F52)</f>
        <v>15000</v>
      </c>
      <c r="G53" s="22">
        <f t="shared" si="9"/>
        <v>85000</v>
      </c>
      <c r="H53" s="4">
        <f t="shared" si="10"/>
        <v>4.666666667</v>
      </c>
      <c r="I53" s="23">
        <v>95000.0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2"/>
      <c r="D54" s="1"/>
      <c r="E54" s="17"/>
      <c r="F54" s="3"/>
      <c r="G54" s="24"/>
      <c r="H54" s="4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7" t="s">
        <v>74</v>
      </c>
      <c r="C55" s="26">
        <f>IFERROR(__xludf.DUMMYFUNCTION("IMPORTRANGE(""https://docs.google.com/spreadsheets/d/1i4_2O56hxDkWjXCHioQ5bUAv8_1y7FkgxXxsMCbP6Y4"", ""2024!p3410_48900"")"),339400.0)</f>
        <v>339400</v>
      </c>
      <c r="D55" s="19" t="s">
        <v>75</v>
      </c>
      <c r="E55" s="1"/>
      <c r="F55" s="3"/>
      <c r="G55" s="2"/>
      <c r="H55" s="4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7"/>
      <c r="C56" s="26"/>
      <c r="D56" s="1" t="s">
        <v>76</v>
      </c>
      <c r="E56" s="1" t="s">
        <v>77</v>
      </c>
      <c r="F56" s="2">
        <v>2000.0</v>
      </c>
      <c r="G56" s="26">
        <v>3000.0</v>
      </c>
      <c r="H56" s="4">
        <f t="shared" ref="H56:H84" si="11">(G56-F56)/F56</f>
        <v>0.5</v>
      </c>
      <c r="I56" s="20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7"/>
      <c r="C57" s="2"/>
      <c r="D57" s="1" t="s">
        <v>78</v>
      </c>
      <c r="E57" s="1" t="s">
        <v>77</v>
      </c>
      <c r="F57" s="2">
        <v>350.0</v>
      </c>
      <c r="G57" s="2">
        <v>350.0</v>
      </c>
      <c r="H57" s="4">
        <f t="shared" si="11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7"/>
      <c r="C58" s="2"/>
      <c r="D58" s="1" t="s">
        <v>79</v>
      </c>
      <c r="E58" s="1" t="s">
        <v>77</v>
      </c>
      <c r="F58" s="2">
        <v>6000.0</v>
      </c>
      <c r="G58" s="26">
        <v>21000.0</v>
      </c>
      <c r="H58" s="4">
        <f t="shared" si="11"/>
        <v>2.5</v>
      </c>
      <c r="I58" s="20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7"/>
      <c r="C59" s="2"/>
      <c r="D59" s="52" t="s">
        <v>80</v>
      </c>
      <c r="E59" s="1" t="s">
        <v>77</v>
      </c>
      <c r="F59" s="2">
        <v>500.0</v>
      </c>
      <c r="G59" s="2">
        <v>500.0</v>
      </c>
      <c r="H59" s="4">
        <f t="shared" si="11"/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7"/>
      <c r="C60" s="2"/>
      <c r="D60" s="52" t="s">
        <v>81</v>
      </c>
      <c r="E60" s="1" t="s">
        <v>77</v>
      </c>
      <c r="F60" s="53">
        <v>56000.0</v>
      </c>
      <c r="G60" s="53">
        <v>63000.0</v>
      </c>
      <c r="H60" s="4">
        <f t="shared" si="11"/>
        <v>0.125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7"/>
      <c r="C61" s="2"/>
      <c r="D61" s="1" t="s">
        <v>82</v>
      </c>
      <c r="E61" s="1" t="s">
        <v>77</v>
      </c>
      <c r="F61" s="2">
        <v>750.0</v>
      </c>
      <c r="G61" s="2">
        <v>750.0</v>
      </c>
      <c r="H61" s="4">
        <f t="shared" si="11"/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7"/>
      <c r="C62" s="2"/>
      <c r="D62" s="1" t="s">
        <v>83</v>
      </c>
      <c r="E62" s="1" t="s">
        <v>77</v>
      </c>
      <c r="F62" s="2">
        <v>2500.0</v>
      </c>
      <c r="G62" s="2">
        <v>2500.0</v>
      </c>
      <c r="H62" s="4">
        <f t="shared" si="11"/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7"/>
      <c r="C63" s="2"/>
      <c r="D63" s="1" t="s">
        <v>84</v>
      </c>
      <c r="E63" s="1" t="s">
        <v>77</v>
      </c>
      <c r="F63" s="2">
        <v>20000.0</v>
      </c>
      <c r="G63" s="2">
        <v>20000.0</v>
      </c>
      <c r="H63" s="4">
        <f t="shared" si="11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7"/>
      <c r="C64" s="2"/>
      <c r="D64" s="1" t="s">
        <v>85</v>
      </c>
      <c r="E64" s="1" t="s">
        <v>77</v>
      </c>
      <c r="F64" s="2">
        <v>14000.0</v>
      </c>
      <c r="G64" s="2">
        <v>14000.0</v>
      </c>
      <c r="H64" s="4">
        <f t="shared" si="11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7"/>
      <c r="C65" s="2"/>
      <c r="D65" s="1" t="s">
        <v>86</v>
      </c>
      <c r="E65" s="1" t="s">
        <v>77</v>
      </c>
      <c r="F65" s="2">
        <v>2000.0</v>
      </c>
      <c r="G65" s="2">
        <v>2000.0</v>
      </c>
      <c r="H65" s="4">
        <f t="shared" si="11"/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7"/>
      <c r="C66" s="2"/>
      <c r="D66" s="1" t="s">
        <v>87</v>
      </c>
      <c r="E66" s="1" t="s">
        <v>77</v>
      </c>
      <c r="F66" s="2">
        <v>3300.0</v>
      </c>
      <c r="G66" s="2">
        <v>3300.0</v>
      </c>
      <c r="H66" s="4">
        <f t="shared" si="11"/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7"/>
      <c r="C67" s="2"/>
      <c r="D67" s="1" t="s">
        <v>88</v>
      </c>
      <c r="E67" s="1" t="s">
        <v>77</v>
      </c>
      <c r="F67" s="2">
        <v>2500.0</v>
      </c>
      <c r="G67" s="2">
        <v>2500.0</v>
      </c>
      <c r="H67" s="4">
        <f t="shared" si="11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7"/>
      <c r="C68" s="2"/>
      <c r="D68" s="1" t="s">
        <v>89</v>
      </c>
      <c r="E68" s="1" t="s">
        <v>77</v>
      </c>
      <c r="F68" s="2">
        <v>1000.0</v>
      </c>
      <c r="G68" s="2">
        <v>1000.0</v>
      </c>
      <c r="H68" s="4">
        <f t="shared" si="11"/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7"/>
      <c r="C69" s="2"/>
      <c r="D69" s="1" t="s">
        <v>90</v>
      </c>
      <c r="E69" s="1" t="s">
        <v>77</v>
      </c>
      <c r="F69" s="2">
        <v>1000.0</v>
      </c>
      <c r="G69" s="26">
        <v>1500.0</v>
      </c>
      <c r="H69" s="4">
        <f t="shared" si="11"/>
        <v>0.5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7"/>
      <c r="C70" s="2"/>
      <c r="D70" s="1" t="s">
        <v>91</v>
      </c>
      <c r="E70" s="1" t="s">
        <v>77</v>
      </c>
      <c r="F70" s="2">
        <v>3000.0</v>
      </c>
      <c r="G70" s="2">
        <v>3000.0</v>
      </c>
      <c r="H70" s="4">
        <f t="shared" si="11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7"/>
      <c r="C71" s="2"/>
      <c r="D71" s="1" t="s">
        <v>92</v>
      </c>
      <c r="E71" s="1" t="s">
        <v>77</v>
      </c>
      <c r="F71" s="2">
        <v>7000.0</v>
      </c>
      <c r="G71" s="26">
        <v>7500.0</v>
      </c>
      <c r="H71" s="4">
        <f t="shared" si="11"/>
        <v>0.07142857143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7"/>
      <c r="C72" s="2"/>
      <c r="D72" s="1" t="s">
        <v>93</v>
      </c>
      <c r="E72" s="1" t="s">
        <v>77</v>
      </c>
      <c r="F72" s="2">
        <v>7500.0</v>
      </c>
      <c r="G72" s="2">
        <v>7500.0</v>
      </c>
      <c r="H72" s="4">
        <f t="shared" si="11"/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7"/>
      <c r="C73" s="2"/>
      <c r="D73" s="20" t="s">
        <v>94</v>
      </c>
      <c r="E73" s="1" t="s">
        <v>77</v>
      </c>
      <c r="F73" s="2">
        <v>2000.0</v>
      </c>
      <c r="G73" s="26">
        <v>2500.0</v>
      </c>
      <c r="H73" s="4">
        <f t="shared" si="11"/>
        <v>0.25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7"/>
      <c r="C74" s="2"/>
      <c r="D74" s="52" t="s">
        <v>95</v>
      </c>
      <c r="E74" s="1" t="s">
        <v>77</v>
      </c>
      <c r="F74" s="54">
        <v>20000.0</v>
      </c>
      <c r="G74" s="54">
        <v>20000.0</v>
      </c>
      <c r="H74" s="4">
        <f t="shared" si="11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7"/>
      <c r="C75" s="2"/>
      <c r="D75" s="1" t="s">
        <v>96</v>
      </c>
      <c r="E75" s="1" t="s">
        <v>77</v>
      </c>
      <c r="F75" s="2">
        <v>6000.0</v>
      </c>
      <c r="G75" s="2">
        <v>6000.0</v>
      </c>
      <c r="H75" s="4">
        <f t="shared" si="11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7"/>
      <c r="C76" s="2"/>
      <c r="D76" s="1" t="s">
        <v>97</v>
      </c>
      <c r="E76" s="1" t="s">
        <v>77</v>
      </c>
      <c r="F76" s="2">
        <v>1500.0</v>
      </c>
      <c r="G76" s="2">
        <v>1500.0</v>
      </c>
      <c r="H76" s="4">
        <f t="shared" si="11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7"/>
      <c r="C77" s="2"/>
      <c r="D77" s="1" t="s">
        <v>98</v>
      </c>
      <c r="E77" s="1" t="s">
        <v>77</v>
      </c>
      <c r="F77" s="2">
        <v>2000.0</v>
      </c>
      <c r="G77" s="2">
        <v>2000.0</v>
      </c>
      <c r="H77" s="4">
        <f t="shared" si="11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7"/>
      <c r="C78" s="2"/>
      <c r="D78" s="20" t="s">
        <v>99</v>
      </c>
      <c r="E78" s="1" t="s">
        <v>77</v>
      </c>
      <c r="F78" s="2">
        <v>1000.0</v>
      </c>
      <c r="G78" s="26">
        <v>1500.0</v>
      </c>
      <c r="H78" s="4">
        <f t="shared" si="11"/>
        <v>0.5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7"/>
      <c r="C79" s="2"/>
      <c r="D79" s="1" t="s">
        <v>100</v>
      </c>
      <c r="E79" s="1" t="s">
        <v>77</v>
      </c>
      <c r="F79" s="2">
        <v>2000.0</v>
      </c>
      <c r="G79" s="2">
        <v>2000.0</v>
      </c>
      <c r="H79" s="4">
        <f t="shared" si="11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7"/>
      <c r="C80" s="2"/>
      <c r="D80" s="1" t="s">
        <v>101</v>
      </c>
      <c r="E80" s="1" t="s">
        <v>77</v>
      </c>
      <c r="F80" s="2">
        <v>250.0</v>
      </c>
      <c r="G80" s="2">
        <v>250.0</v>
      </c>
      <c r="H80" s="4">
        <f t="shared" si="11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7"/>
      <c r="C81" s="2"/>
      <c r="D81" s="1" t="s">
        <v>102</v>
      </c>
      <c r="E81" s="1" t="s">
        <v>77</v>
      </c>
      <c r="F81" s="2">
        <v>450.0</v>
      </c>
      <c r="G81" s="2">
        <v>450.0</v>
      </c>
      <c r="H81" s="4">
        <f t="shared" si="11"/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2"/>
      <c r="D82" s="1" t="s">
        <v>103</v>
      </c>
      <c r="E82" s="1" t="s">
        <v>77</v>
      </c>
      <c r="F82" s="2">
        <v>8000.0</v>
      </c>
      <c r="G82" s="2">
        <v>8000.0</v>
      </c>
      <c r="H82" s="4">
        <f t="shared" si="11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2"/>
      <c r="D83" s="1" t="s">
        <v>104</v>
      </c>
      <c r="E83" s="1" t="s">
        <v>77</v>
      </c>
      <c r="F83" s="26">
        <v>63000.0</v>
      </c>
      <c r="G83" s="26">
        <v>68000.0</v>
      </c>
      <c r="H83" s="4">
        <f t="shared" si="11"/>
        <v>0.07936507937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2"/>
      <c r="D84" s="1" t="s">
        <v>105</v>
      </c>
      <c r="E84" s="1" t="s">
        <v>106</v>
      </c>
      <c r="F84" s="2">
        <v>12000.0</v>
      </c>
      <c r="G84" s="2">
        <v>12000.0</v>
      </c>
      <c r="H84" s="4">
        <f t="shared" si="11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2"/>
      <c r="D85" s="20" t="s">
        <v>107</v>
      </c>
      <c r="E85" s="20" t="s">
        <v>77</v>
      </c>
      <c r="F85" s="26">
        <v>0.0</v>
      </c>
      <c r="G85" s="26">
        <v>1000.0</v>
      </c>
      <c r="H85" s="4"/>
      <c r="I85" s="20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6.5" customHeight="1">
      <c r="A86" s="1"/>
      <c r="B86" s="1"/>
      <c r="C86" s="2"/>
      <c r="D86" s="1"/>
      <c r="E86" s="17">
        <v>3410.0</v>
      </c>
      <c r="F86" s="55">
        <f t="shared" ref="F86:G86" si="12">SUM(F56:F85)</f>
        <v>247600</v>
      </c>
      <c r="G86" s="55">
        <f t="shared" si="12"/>
        <v>278600</v>
      </c>
      <c r="H86" s="4">
        <f>(G86-F86)/F86</f>
        <v>0.1252019386</v>
      </c>
      <c r="I86" s="23">
        <v>60800.0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49"/>
      <c r="D87" s="1"/>
      <c r="E87" s="17"/>
      <c r="F87" s="2"/>
      <c r="G87" s="56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7" t="s">
        <v>108</v>
      </c>
      <c r="C88" s="26">
        <f>IFERROR(__xludf.DUMMYFUNCTION("IMPORTRANGE(""https://docs.google.com/spreadsheets/d/1i4_2O56hxDkWjXCHioQ5bUAv8_1y7FkgxXxsMCbP6Y4"", ""2024!p4310_48900"")"),50000.0)</f>
        <v>50000</v>
      </c>
      <c r="D88" s="19" t="s">
        <v>109</v>
      </c>
      <c r="E88" s="1"/>
      <c r="F88" s="3"/>
      <c r="G88" s="2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2"/>
      <c r="D89" s="1" t="s">
        <v>110</v>
      </c>
      <c r="E89" s="1" t="s">
        <v>111</v>
      </c>
      <c r="F89" s="26">
        <v>50000.0</v>
      </c>
      <c r="G89" s="26">
        <v>30000.0</v>
      </c>
      <c r="H89" s="4">
        <f t="shared" ref="H89:H91" si="13">(G89-F89)/F89</f>
        <v>-0.4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3.5" customHeight="1">
      <c r="A90" s="43"/>
      <c r="B90" s="43"/>
      <c r="C90" s="44"/>
      <c r="D90" s="1" t="s">
        <v>112</v>
      </c>
      <c r="E90" s="1" t="s">
        <v>113</v>
      </c>
      <c r="F90" s="26">
        <v>20000.0</v>
      </c>
      <c r="G90" s="26">
        <v>20000.0</v>
      </c>
      <c r="H90" s="4">
        <f t="shared" si="13"/>
        <v>0</v>
      </c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</row>
    <row r="91" ht="16.5" customHeight="1">
      <c r="A91" s="1"/>
      <c r="B91" s="1"/>
      <c r="C91" s="2"/>
      <c r="D91" s="1"/>
      <c r="E91" s="17">
        <v>4310.0</v>
      </c>
      <c r="F91" s="22">
        <f t="shared" ref="F91:G91" si="14">SUM(F89:F90)</f>
        <v>70000</v>
      </c>
      <c r="G91" s="22">
        <f t="shared" si="14"/>
        <v>50000</v>
      </c>
      <c r="H91" s="4">
        <f t="shared" si="13"/>
        <v>-0.2857142857</v>
      </c>
      <c r="I91" s="23">
        <v>0.0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6.5" customHeight="1">
      <c r="A92" s="1"/>
      <c r="B92" s="1"/>
      <c r="C92" s="2"/>
      <c r="D92" s="1"/>
      <c r="E92" s="17"/>
      <c r="F92" s="24"/>
      <c r="G92" s="24"/>
      <c r="H92" s="4"/>
      <c r="I92" s="4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47"/>
      <c r="B93" s="57" t="s">
        <v>114</v>
      </c>
      <c r="C93" s="26">
        <f>IFERROR(__xludf.DUMMYFUNCTION("IMPORTRANGE(""https://docs.google.com/spreadsheets/d/1i4_2O56hxDkWjXCHioQ5bUAv8_1y7FkgxXxsMCbP6Y4"", ""2024!p4320_48900"")"),43700.0)</f>
        <v>43700</v>
      </c>
      <c r="D93" s="42" t="s">
        <v>115</v>
      </c>
      <c r="E93" s="47"/>
      <c r="F93" s="48"/>
      <c r="G93" s="48"/>
      <c r="H93" s="4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9"/>
      <c r="Z93" s="49"/>
    </row>
    <row r="94" ht="16.5" customHeight="1">
      <c r="A94" s="1"/>
      <c r="B94" s="1"/>
      <c r="C94" s="2"/>
      <c r="D94" s="20" t="s">
        <v>116</v>
      </c>
      <c r="E94" s="20" t="s">
        <v>117</v>
      </c>
      <c r="F94" s="45">
        <v>0.0</v>
      </c>
      <c r="G94" s="45">
        <v>24000.0</v>
      </c>
      <c r="H94" s="4"/>
      <c r="I94" s="4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7"/>
      <c r="C95" s="26"/>
      <c r="D95" s="1" t="s">
        <v>118</v>
      </c>
      <c r="E95" s="1" t="s">
        <v>119</v>
      </c>
      <c r="F95" s="2">
        <v>9000.0</v>
      </c>
      <c r="G95" s="2">
        <v>9000.0</v>
      </c>
      <c r="H95" s="4">
        <f t="shared" ref="H95:H96" si="15">(G95-F95)/F95</f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6.5" customHeight="1">
      <c r="A96" s="1"/>
      <c r="B96" s="1"/>
      <c r="C96" s="2"/>
      <c r="D96" s="1"/>
      <c r="E96" s="21">
        <v>4320.0</v>
      </c>
      <c r="F96" s="22">
        <f>SUM(F94)</f>
        <v>0</v>
      </c>
      <c r="G96" s="22">
        <f>SUM(G94:G95)</f>
        <v>33000</v>
      </c>
      <c r="H96" s="4" t="str">
        <f t="shared" si="15"/>
        <v>#DIV/0!</v>
      </c>
      <c r="I96" s="23">
        <v>95000.0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6.5" customHeight="1">
      <c r="A97" s="1"/>
      <c r="B97" s="1"/>
      <c r="C97" s="2"/>
      <c r="D97" s="1"/>
      <c r="E97" s="17"/>
      <c r="F97" s="24"/>
      <c r="G97" s="24"/>
      <c r="H97" s="4"/>
      <c r="I97" s="4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6.5" customHeight="1">
      <c r="A98" s="1"/>
      <c r="B98" s="1"/>
      <c r="C98" s="2"/>
      <c r="D98" s="1"/>
      <c r="E98" s="17"/>
      <c r="F98" s="24"/>
      <c r="G98" s="24"/>
      <c r="H98" s="4"/>
      <c r="I98" s="4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7" t="s">
        <v>120</v>
      </c>
      <c r="C99" s="26">
        <f>IFERROR(__xludf.DUMMYFUNCTION("IMPORTRANGE(""https://docs.google.com/spreadsheets/d/1i4_2O56hxDkWjXCHioQ5bUAv8_1y7FkgxXxsMCbP6Y4"", ""2024!p4330_48900"")"),65900.0)</f>
        <v>65900</v>
      </c>
      <c r="D99" s="19" t="s">
        <v>121</v>
      </c>
      <c r="E99" s="1"/>
      <c r="F99" s="3"/>
      <c r="G99" s="2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2"/>
      <c r="D100" s="20" t="s">
        <v>122</v>
      </c>
      <c r="E100" s="1" t="s">
        <v>123</v>
      </c>
      <c r="F100" s="26">
        <v>100000.0</v>
      </c>
      <c r="G100" s="26">
        <v>30000.0</v>
      </c>
      <c r="H100" s="4">
        <f t="shared" ref="H100:H106" si="16">(G100-F100)/F100</f>
        <v>-0.7</v>
      </c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2"/>
      <c r="D101" s="1" t="s">
        <v>124</v>
      </c>
      <c r="E101" s="1" t="s">
        <v>125</v>
      </c>
      <c r="F101" s="2">
        <v>3500.0</v>
      </c>
      <c r="G101" s="2">
        <v>3500.0</v>
      </c>
      <c r="H101" s="4">
        <f t="shared" si="16"/>
        <v>0</v>
      </c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2"/>
      <c r="D102" s="1" t="s">
        <v>126</v>
      </c>
      <c r="E102" s="1" t="s">
        <v>127</v>
      </c>
      <c r="F102" s="2">
        <v>3000.0</v>
      </c>
      <c r="G102" s="2">
        <v>3000.0</v>
      </c>
      <c r="H102" s="4">
        <f t="shared" si="16"/>
        <v>0</v>
      </c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58"/>
      <c r="C103" s="2"/>
      <c r="D103" s="1" t="s">
        <v>128</v>
      </c>
      <c r="E103" s="1" t="s">
        <v>129</v>
      </c>
      <c r="F103" s="2">
        <v>2500.0</v>
      </c>
      <c r="G103" s="2">
        <v>2500.0</v>
      </c>
      <c r="H103" s="4">
        <f t="shared" si="16"/>
        <v>0</v>
      </c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58"/>
      <c r="C104" s="2"/>
      <c r="D104" s="1" t="s">
        <v>130</v>
      </c>
      <c r="E104" s="20" t="s">
        <v>131</v>
      </c>
      <c r="F104" s="2">
        <v>1500.0</v>
      </c>
      <c r="G104" s="2">
        <v>1500.0</v>
      </c>
      <c r="H104" s="4">
        <f t="shared" si="16"/>
        <v>0</v>
      </c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2"/>
      <c r="D105" s="20" t="s">
        <v>132</v>
      </c>
      <c r="E105" s="20" t="s">
        <v>133</v>
      </c>
      <c r="F105" s="26">
        <v>0.0</v>
      </c>
      <c r="G105" s="26">
        <v>12000.0</v>
      </c>
      <c r="H105" s="4" t="str">
        <f t="shared" si="16"/>
        <v>#DIV/0!</v>
      </c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6.5" customHeight="1">
      <c r="A106" s="1"/>
      <c r="B106" s="1"/>
      <c r="C106" s="2"/>
      <c r="D106" s="1"/>
      <c r="E106" s="17">
        <v>4330.0</v>
      </c>
      <c r="F106" s="22">
        <f>SUM(F100:F104)</f>
        <v>110500</v>
      </c>
      <c r="G106" s="22">
        <f>SUM(G100:G105)</f>
        <v>52500</v>
      </c>
      <c r="H106" s="4">
        <f t="shared" si="16"/>
        <v>-0.5248868778</v>
      </c>
      <c r="I106" s="23">
        <v>0.0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49"/>
      <c r="D107" s="1"/>
      <c r="E107" s="1"/>
      <c r="F107" s="3"/>
      <c r="G107" s="2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57" t="s">
        <v>134</v>
      </c>
      <c r="C108" s="26">
        <f>IFERROR(__xludf.DUMMYFUNCTION("IMPORTRANGE(""https://docs.google.com/spreadsheets/d/1i4_2O56hxDkWjXCHioQ5bUAv8_1y7FkgxXxsMCbP6Y4"", ""2024!p9240_48900"")"),85000.0)</f>
        <v>85000</v>
      </c>
      <c r="D108" s="42" t="s">
        <v>135</v>
      </c>
      <c r="E108" s="1"/>
      <c r="F108" s="3"/>
      <c r="G108" s="2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2"/>
      <c r="D109" s="20" t="s">
        <v>136</v>
      </c>
      <c r="E109" s="20" t="s">
        <v>137</v>
      </c>
      <c r="F109" s="26">
        <v>100000.0</v>
      </c>
      <c r="G109" s="26">
        <v>5000.0</v>
      </c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2"/>
      <c r="D110" s="20" t="s">
        <v>138</v>
      </c>
      <c r="E110" s="20" t="s">
        <v>137</v>
      </c>
      <c r="F110" s="2">
        <v>3500.0</v>
      </c>
      <c r="G110" s="26">
        <v>5000.0</v>
      </c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2"/>
      <c r="D111" s="20" t="s">
        <v>139</v>
      </c>
      <c r="E111" s="20" t="s">
        <v>137</v>
      </c>
      <c r="F111" s="2">
        <v>3000.0</v>
      </c>
      <c r="G111" s="26">
        <v>5000.0</v>
      </c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58"/>
      <c r="C112" s="2"/>
      <c r="D112" s="20" t="s">
        <v>140</v>
      </c>
      <c r="E112" s="20" t="s">
        <v>137</v>
      </c>
      <c r="F112" s="2">
        <v>2500.0</v>
      </c>
      <c r="G112" s="26">
        <v>5000.0</v>
      </c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58"/>
      <c r="C113" s="2"/>
      <c r="D113" s="20" t="s">
        <v>141</v>
      </c>
      <c r="E113" s="20" t="s">
        <v>137</v>
      </c>
      <c r="F113" s="2"/>
      <c r="G113" s="26">
        <v>5000.0</v>
      </c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58"/>
      <c r="C114" s="2"/>
      <c r="D114" s="20" t="s">
        <v>142</v>
      </c>
      <c r="E114" s="20" t="s">
        <v>137</v>
      </c>
      <c r="F114" s="2"/>
      <c r="G114" s="26">
        <v>5000.0</v>
      </c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58"/>
      <c r="C115" s="2"/>
      <c r="D115" s="20" t="s">
        <v>143</v>
      </c>
      <c r="E115" s="20" t="s">
        <v>137</v>
      </c>
      <c r="F115" s="2"/>
      <c r="G115" s="26">
        <v>5000.0</v>
      </c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6.5" customHeight="1">
      <c r="A116" s="1"/>
      <c r="B116" s="1"/>
      <c r="C116" s="2"/>
      <c r="D116" s="1"/>
      <c r="E116" s="21">
        <v>9240.0</v>
      </c>
      <c r="F116" s="22">
        <f t="shared" ref="F116:G116" si="17">SUM(F109:F115)</f>
        <v>109000</v>
      </c>
      <c r="G116" s="22">
        <f t="shared" si="17"/>
        <v>35000</v>
      </c>
      <c r="H116" s="4">
        <f>(G116-F116)/F116</f>
        <v>-0.6788990826</v>
      </c>
      <c r="I116" s="23">
        <v>0.0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6.5" customHeight="1">
      <c r="A117" s="1"/>
      <c r="B117" s="1"/>
      <c r="C117" s="2"/>
      <c r="D117" s="59"/>
      <c r="E117" s="1"/>
      <c r="F117" s="3"/>
      <c r="G117" s="2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6.5" customHeight="1">
      <c r="A118" s="1"/>
      <c r="B118" s="1"/>
      <c r="C118" s="2"/>
      <c r="D118" s="59"/>
      <c r="E118" s="60" t="s">
        <v>144</v>
      </c>
      <c r="F118" s="61" t="str">
        <f>SUM(F9,F26,F49,F86,F91,F106,#REF!,F53,#REF!,#REF!,#REF!)</f>
        <v>#REF!</v>
      </c>
      <c r="G118" s="61">
        <f>SUM(G9,G26,G49,G86,G91,G106,G53,G116)</f>
        <v>752250</v>
      </c>
      <c r="H118" s="4" t="str">
        <f>(G118-F118)/F118</f>
        <v>#REF!</v>
      </c>
      <c r="I118" s="23" t="str">
        <f>SUM(I9,I26,I49,I86,I91,I106,#REF!,I53,#REF!,#REF!,#REF!)</f>
        <v>#REF!</v>
      </c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6.5" customHeight="1">
      <c r="A119" s="1"/>
      <c r="B119" s="1"/>
      <c r="C119" s="2"/>
      <c r="D119" s="59"/>
      <c r="E119" s="1"/>
      <c r="F119" s="3"/>
      <c r="G119" s="2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6.5" customHeight="1">
      <c r="A120" s="1"/>
      <c r="B120" s="1"/>
      <c r="C120" s="2"/>
      <c r="D120" s="6" t="s">
        <v>145</v>
      </c>
      <c r="E120" s="1"/>
      <c r="F120" s="3"/>
      <c r="G120" s="2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2"/>
      <c r="D121" s="62"/>
      <c r="E121" s="1"/>
      <c r="F121" s="3"/>
      <c r="G121" s="2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8" t="s">
        <v>1</v>
      </c>
      <c r="C122" s="9" t="s">
        <v>2</v>
      </c>
      <c r="D122" s="10" t="s">
        <v>3</v>
      </c>
      <c r="E122" s="11" t="s">
        <v>146</v>
      </c>
      <c r="F122" s="12" t="s">
        <v>5</v>
      </c>
      <c r="G122" s="12" t="s">
        <v>6</v>
      </c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5"/>
      <c r="C123" s="15"/>
      <c r="D123" s="10" t="s">
        <v>10</v>
      </c>
      <c r="E123" s="15"/>
      <c r="F123" s="15"/>
      <c r="G123" s="1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7" t="s">
        <v>147</v>
      </c>
      <c r="C124" s="26">
        <f>IFERROR(__xludf.DUMMYFUNCTION("IMPORTRANGE(""https://docs.google.com/spreadsheets/d/1i4_2O56hxDkWjXCHioQ5bUAv8_1y7FkgxXxsMCbP6Y4"", ""2024!p1610_48900"")"),8500.0)</f>
        <v>8500</v>
      </c>
      <c r="D124" s="63" t="s">
        <v>148</v>
      </c>
      <c r="E124" s="17"/>
      <c r="F124" s="3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7"/>
      <c r="C125" s="5"/>
      <c r="D125" s="1" t="s">
        <v>149</v>
      </c>
      <c r="E125" s="1" t="s">
        <v>150</v>
      </c>
      <c r="F125" s="64">
        <v>2200.0</v>
      </c>
      <c r="G125" s="64">
        <v>2200.0</v>
      </c>
      <c r="H125" s="4">
        <f>(G125-F125)/F125</f>
        <v>0</v>
      </c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7"/>
      <c r="C126" s="7"/>
      <c r="D126" s="1"/>
      <c r="E126" s="1"/>
      <c r="F126" s="2"/>
      <c r="G126" s="2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7" t="s">
        <v>11</v>
      </c>
      <c r="C127" s="2">
        <f>IFERROR(__xludf.DUMMYFUNCTION("IMPORTRANGE(""https://docs.google.com/spreadsheets/d/1i4_2O56hxDkWjXCHioQ5bUAv8_1y7FkgxXxsMCbP6Y4"", ""2024!p1700_48900"")"),2300.0)</f>
        <v>2300</v>
      </c>
      <c r="D127" s="19" t="s">
        <v>12</v>
      </c>
      <c r="E127" s="17"/>
      <c r="F127" s="5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2"/>
      <c r="D128" s="1" t="s">
        <v>151</v>
      </c>
      <c r="E128" s="1" t="s">
        <v>152</v>
      </c>
      <c r="F128" s="65">
        <v>150.0</v>
      </c>
      <c r="G128" s="65">
        <v>150.0</v>
      </c>
      <c r="H128" s="4">
        <f>(G128-F128)/F128</f>
        <v>0</v>
      </c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2"/>
      <c r="D129" s="1"/>
      <c r="E129" s="1"/>
      <c r="F129" s="54"/>
      <c r="G129" s="54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7" t="s">
        <v>153</v>
      </c>
      <c r="C130" s="26">
        <f>IFERROR(__xludf.DUMMYFUNCTION("IMPORTRANGE(""https://docs.google.com/spreadsheets/d/1i4_2O56hxDkWjXCHioQ5bUAv8_1y7FkgxXxsMCbP6Y4"", ""2024!p1710_48900"")"),210.0)</f>
        <v>210</v>
      </c>
      <c r="D130" s="19" t="s">
        <v>154</v>
      </c>
      <c r="E130" s="17"/>
      <c r="F130" s="5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2"/>
      <c r="D131" s="1" t="s">
        <v>155</v>
      </c>
      <c r="E131" s="1" t="s">
        <v>150</v>
      </c>
      <c r="F131" s="65">
        <v>210.0</v>
      </c>
      <c r="G131" s="65">
        <v>210.0</v>
      </c>
      <c r="H131" s="4">
        <f>(G131-F131)/F131</f>
        <v>0</v>
      </c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2"/>
      <c r="D132" s="1"/>
      <c r="E132" s="1"/>
      <c r="F132" s="54"/>
      <c r="G132" s="54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7" t="s">
        <v>156</v>
      </c>
      <c r="C133" s="26">
        <f>IFERROR(__xludf.DUMMYFUNCTION("IMPORTRANGE(""https://docs.google.com/spreadsheets/d/1i4_2O56hxDkWjXCHioQ5bUAv8_1y7FkgxXxsMCbP6Y4"", ""2024!p3260_48900"")"),91400.0)</f>
        <v>91400</v>
      </c>
      <c r="D133" s="66" t="s">
        <v>157</v>
      </c>
      <c r="E133" s="1"/>
      <c r="F133" s="2"/>
      <c r="G133" s="2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7"/>
      <c r="C134" s="49"/>
      <c r="D134" s="1" t="s">
        <v>158</v>
      </c>
      <c r="E134" s="1" t="s">
        <v>150</v>
      </c>
      <c r="F134" s="64">
        <v>800.0</v>
      </c>
      <c r="G134" s="64">
        <v>800.0</v>
      </c>
      <c r="H134" s="4">
        <f>(G134-F134)/F134</f>
        <v>0</v>
      </c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7"/>
      <c r="C135" s="2"/>
      <c r="D135" s="1"/>
      <c r="E135" s="1"/>
      <c r="F135" s="2"/>
      <c r="G135" s="2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7" t="s">
        <v>50</v>
      </c>
      <c r="C136" s="2">
        <f>IFERROR(__xludf.DUMMYFUNCTION("IMPORTRANGE(""https://docs.google.com/spreadsheets/d/1i4_2O56hxDkWjXCHioQ5bUAv8_1y7FkgxXxsMCbP6Y4"", ""2024!p3340_48900"")"),104700.0)</f>
        <v>104700</v>
      </c>
      <c r="D136" s="19" t="s">
        <v>51</v>
      </c>
      <c r="E136" s="1"/>
      <c r="F136" s="2"/>
      <c r="G136" s="2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26"/>
      <c r="D137" s="1" t="s">
        <v>159</v>
      </c>
      <c r="E137" s="1" t="s">
        <v>160</v>
      </c>
      <c r="F137" s="64">
        <v>12000.0</v>
      </c>
      <c r="G137" s="64">
        <v>12000.0</v>
      </c>
      <c r="H137" s="4">
        <f>(G137-F137)/F137</f>
        <v>0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2"/>
      <c r="D138" s="1"/>
      <c r="E138" s="1"/>
      <c r="F138" s="2"/>
      <c r="G138" s="2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7" t="s">
        <v>161</v>
      </c>
      <c r="C139" s="26">
        <f>IFERROR(__xludf.DUMMYFUNCTION("IMPORTRANGE(""https://docs.google.com/spreadsheets/d/1i4_2O56hxDkWjXCHioQ5bUAv8_1y7FkgxXxsMCbP6Y4"", ""2024!p3341_48900"")"),100.0)</f>
        <v>100</v>
      </c>
      <c r="D139" s="19" t="s">
        <v>162</v>
      </c>
      <c r="E139" s="1"/>
      <c r="F139" s="2"/>
      <c r="G139" s="2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49"/>
      <c r="D140" s="1" t="s">
        <v>163</v>
      </c>
      <c r="E140" s="1" t="s">
        <v>150</v>
      </c>
      <c r="F140" s="64">
        <v>100.0</v>
      </c>
      <c r="G140" s="64">
        <v>100.0</v>
      </c>
      <c r="H140" s="4">
        <f>(G140-F140)/F140</f>
        <v>0</v>
      </c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2"/>
      <c r="D141" s="1"/>
      <c r="E141" s="1"/>
      <c r="F141" s="24"/>
      <c r="G141" s="24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49"/>
      <c r="D142" s="19" t="s">
        <v>115</v>
      </c>
      <c r="E142" s="1"/>
      <c r="F142" s="2"/>
      <c r="G142" s="2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7" t="s">
        <v>164</v>
      </c>
      <c r="C143" s="26">
        <f>IFERROR(__xludf.DUMMYFUNCTION("IMPORTRANGE(""https://docs.google.com/spreadsheets/d/1i4_2O56hxDkWjXCHioQ5bUAv8_1y7FkgxXxsMCbP6Y4"", ""2024!p4320_46700"")"),18000.0)</f>
        <v>18000</v>
      </c>
      <c r="D143" s="1" t="s">
        <v>165</v>
      </c>
      <c r="E143" s="1" t="s">
        <v>150</v>
      </c>
      <c r="F143" s="2">
        <v>18000.0</v>
      </c>
      <c r="G143" s="2">
        <v>18000.0</v>
      </c>
      <c r="H143" s="4">
        <f t="shared" ref="H143:H145" si="18">(G143-F143)/F143</f>
        <v>0</v>
      </c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7" t="s">
        <v>114</v>
      </c>
      <c r="C144" s="26">
        <f>IFERROR(__xludf.DUMMYFUNCTION("IMPORTRANGE(""https://docs.google.com/spreadsheets/d/1i4_2O56hxDkWjXCHioQ5bUAv8_1y7FkgxXxsMCbP6Y4"", ""2024!p4320_48900"")"),43700.0)</f>
        <v>43700</v>
      </c>
      <c r="D144" s="1" t="s">
        <v>166</v>
      </c>
      <c r="E144" s="1" t="s">
        <v>150</v>
      </c>
      <c r="F144" s="2">
        <v>300.0</v>
      </c>
      <c r="G144" s="2">
        <v>300.0</v>
      </c>
      <c r="H144" s="4">
        <f t="shared" si="18"/>
        <v>0</v>
      </c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6.5" customHeight="1">
      <c r="A145" s="1"/>
      <c r="B145" s="1"/>
      <c r="C145" s="49"/>
      <c r="D145" s="1"/>
      <c r="E145" s="17">
        <v>4320.0</v>
      </c>
      <c r="F145" s="22">
        <f t="shared" ref="F145:G145" si="19">SUM(F143:F144)</f>
        <v>18300</v>
      </c>
      <c r="G145" s="22">
        <f t="shared" si="19"/>
        <v>18300</v>
      </c>
      <c r="H145" s="4">
        <f t="shared" si="18"/>
        <v>0</v>
      </c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2"/>
      <c r="D146" s="1"/>
      <c r="E146" s="17"/>
      <c r="F146" s="3"/>
      <c r="G146" s="24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7" t="s">
        <v>120</v>
      </c>
      <c r="C147" s="26">
        <f>IFERROR(__xludf.DUMMYFUNCTION("IMPORTRANGE(""https://docs.google.com/spreadsheets/d/1i4_2O56hxDkWjXCHioQ5bUAv8_1y7FkgxXxsMCbP6Y4"", ""2024!p4330_48900"")"),65900.0)</f>
        <v>65900</v>
      </c>
      <c r="D147" s="19" t="s">
        <v>121</v>
      </c>
      <c r="E147" s="1"/>
      <c r="F147" s="3"/>
      <c r="G147" s="2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49"/>
      <c r="D148" s="1" t="s">
        <v>167</v>
      </c>
      <c r="E148" s="1" t="s">
        <v>150</v>
      </c>
      <c r="F148" s="2">
        <v>5000.0</v>
      </c>
      <c r="G148" s="2">
        <v>5000.0</v>
      </c>
      <c r="H148" s="4">
        <f t="shared" ref="H148:H153" si="20">(G148-F148)/F148</f>
        <v>0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2"/>
      <c r="D149" s="1" t="s">
        <v>168</v>
      </c>
      <c r="E149" s="1" t="s">
        <v>150</v>
      </c>
      <c r="F149" s="2">
        <v>2000.0</v>
      </c>
      <c r="G149" s="2">
        <v>2000.0</v>
      </c>
      <c r="H149" s="4">
        <f t="shared" si="20"/>
        <v>0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2"/>
      <c r="D150" s="1" t="s">
        <v>169</v>
      </c>
      <c r="E150" s="1" t="s">
        <v>150</v>
      </c>
      <c r="F150" s="2">
        <v>1500.0</v>
      </c>
      <c r="G150" s="2">
        <v>1500.0</v>
      </c>
      <c r="H150" s="4">
        <f t="shared" si="20"/>
        <v>0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2"/>
      <c r="D151" s="1" t="s">
        <v>170</v>
      </c>
      <c r="E151" s="1" t="s">
        <v>150</v>
      </c>
      <c r="F151" s="2">
        <v>1500.0</v>
      </c>
      <c r="G151" s="2">
        <v>1500.0</v>
      </c>
      <c r="H151" s="4">
        <f t="shared" si="20"/>
        <v>0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43"/>
      <c r="B152" s="43"/>
      <c r="C152" s="44"/>
      <c r="D152" s="20" t="s">
        <v>171</v>
      </c>
      <c r="E152" s="20" t="s">
        <v>150</v>
      </c>
      <c r="F152" s="26">
        <v>0.0</v>
      </c>
      <c r="G152" s="26">
        <v>3000.0</v>
      </c>
      <c r="H152" s="4" t="str">
        <f t="shared" si="20"/>
        <v>#DIV/0!</v>
      </c>
      <c r="I152" s="43"/>
      <c r="J152" s="43"/>
      <c r="K152" s="67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</row>
    <row r="153" ht="16.5" customHeight="1">
      <c r="A153" s="1"/>
      <c r="B153" s="1"/>
      <c r="C153" s="2"/>
      <c r="D153" s="1"/>
      <c r="E153" s="17">
        <v>4330.0</v>
      </c>
      <c r="F153" s="22">
        <f>SUM(F148:F151)</f>
        <v>10000</v>
      </c>
      <c r="G153" s="22">
        <f>SUM(G148:G152)</f>
        <v>13000</v>
      </c>
      <c r="H153" s="4">
        <f t="shared" si="20"/>
        <v>0.3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7"/>
      <c r="C154" s="2"/>
      <c r="D154" s="16"/>
      <c r="E154" s="1"/>
      <c r="F154" s="2"/>
      <c r="G154" s="2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7" t="s">
        <v>172</v>
      </c>
      <c r="C155" s="26">
        <f>IFERROR(__xludf.DUMMYFUNCTION("IMPORTRANGE(""https://docs.google.com/spreadsheets/d/1i4_2O56hxDkWjXCHioQ5bUAv8_1y7FkgxXxsMCbP6Y4"", ""2024!p9200_48900"")"),4500.0)</f>
        <v>4500</v>
      </c>
      <c r="D155" s="19" t="s">
        <v>173</v>
      </c>
      <c r="E155" s="1"/>
      <c r="F155" s="2"/>
      <c r="G155" s="2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49"/>
      <c r="D156" s="1" t="s">
        <v>151</v>
      </c>
      <c r="E156" s="1" t="s">
        <v>174</v>
      </c>
      <c r="F156" s="2">
        <v>1883.74</v>
      </c>
      <c r="G156" s="2">
        <v>1883.74</v>
      </c>
      <c r="H156" s="4">
        <f t="shared" ref="H156:H159" si="21">(G156-F156)/F156</f>
        <v>0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2"/>
      <c r="D157" s="1" t="s">
        <v>175</v>
      </c>
      <c r="E157" s="1" t="s">
        <v>174</v>
      </c>
      <c r="F157" s="2">
        <v>1343.36</v>
      </c>
      <c r="G157" s="2">
        <v>1343.36</v>
      </c>
      <c r="H157" s="4">
        <f t="shared" si="21"/>
        <v>0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2"/>
      <c r="D158" s="1" t="s">
        <v>151</v>
      </c>
      <c r="E158" s="1" t="s">
        <v>176</v>
      </c>
      <c r="F158" s="2">
        <v>1000.0</v>
      </c>
      <c r="G158" s="2">
        <v>1000.0</v>
      </c>
      <c r="H158" s="4">
        <f t="shared" si="21"/>
        <v>0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2"/>
      <c r="D159" s="1"/>
      <c r="E159" s="21">
        <v>9200.0</v>
      </c>
      <c r="F159" s="55">
        <f t="shared" ref="F159:G159" si="22">SUM(F156:F158)</f>
        <v>4227.1</v>
      </c>
      <c r="G159" s="55">
        <f t="shared" si="22"/>
        <v>4227.1</v>
      </c>
      <c r="H159" s="4">
        <f t="shared" si="21"/>
        <v>0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</sheetData>
  <mergeCells count="13">
    <mergeCell ref="B4:B5"/>
    <mergeCell ref="B122:B123"/>
    <mergeCell ref="C122:C123"/>
    <mergeCell ref="E122:E123"/>
    <mergeCell ref="F122:F123"/>
    <mergeCell ref="G122:G123"/>
    <mergeCell ref="C4:C5"/>
    <mergeCell ref="E4:E5"/>
    <mergeCell ref="F4:F5"/>
    <mergeCell ref="G4:G5"/>
    <mergeCell ref="H4:H5"/>
    <mergeCell ref="I4:I5"/>
    <mergeCell ref="J4:J5"/>
  </mergeCells>
  <conditionalFormatting sqref="H1:H159 I4:J5">
    <cfRule type="colorScale" priority="1">
      <colorScale>
        <cfvo type="formula" val="-1"/>
        <cfvo type="formula" val="0"/>
        <cfvo type="formula" val="1"/>
        <color rgb="FFB7E1CD"/>
        <color rgb="FFFFFFFF"/>
        <color rgb="FFE67C73"/>
      </colorScale>
    </cfRule>
  </conditionalFormatting>
  <printOptions/>
  <pageMargins bottom="0.75" footer="0.0" header="0.0" left="0.7" right="0.7" top="0.75"/>
  <pageSetup fitToHeight="0" paperSize="9" orientation="portrait"/>
  <headerFooter>
    <oddFooter>&amp;CPresupuesto Ayuntamiento Aranda de Duero 2024</oddFooter>
  </headerFooter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6.71"/>
    <col customWidth="1" min="2" max="2" width="14.43"/>
    <col customWidth="1" min="3" max="3" width="11.43"/>
    <col customWidth="1" min="4" max="4" width="43.57"/>
    <col customWidth="1" min="5" max="5" width="49.0"/>
    <col customWidth="1" hidden="1" min="6" max="6" width="14.86"/>
    <col customWidth="1" min="7" max="7" width="15.71"/>
    <col customWidth="1" min="8" max="26" width="10.0"/>
  </cols>
  <sheetData>
    <row r="1" ht="15.75" customHeight="1">
      <c r="A1" s="1"/>
      <c r="B1" s="1"/>
      <c r="C1" s="2"/>
      <c r="D1" s="1"/>
      <c r="E1" s="1"/>
      <c r="F1" s="3"/>
      <c r="G1" s="2"/>
      <c r="H1" s="4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s="1"/>
      <c r="B2" s="1"/>
      <c r="C2" s="5"/>
      <c r="D2" s="6" t="s">
        <v>0</v>
      </c>
      <c r="E2" s="7"/>
      <c r="F2" s="3"/>
      <c r="G2" s="2"/>
      <c r="H2" s="4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1"/>
      <c r="B3" s="1"/>
      <c r="C3" s="2"/>
      <c r="D3" s="1"/>
      <c r="E3" s="1"/>
      <c r="F3" s="3"/>
      <c r="G3" s="2"/>
      <c r="H3" s="4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8" t="s">
        <v>1</v>
      </c>
      <c r="C4" s="9" t="s">
        <v>2</v>
      </c>
      <c r="D4" s="10" t="s">
        <v>3</v>
      </c>
      <c r="E4" s="11" t="s">
        <v>4</v>
      </c>
      <c r="F4" s="12" t="s">
        <v>5</v>
      </c>
      <c r="G4" s="12" t="s">
        <v>6</v>
      </c>
      <c r="H4" s="13" t="s">
        <v>7</v>
      </c>
      <c r="I4" s="14" t="s">
        <v>8</v>
      </c>
      <c r="J4" s="14" t="s">
        <v>9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5"/>
      <c r="C5" s="15"/>
      <c r="D5" s="10" t="s">
        <v>10</v>
      </c>
      <c r="E5" s="15"/>
      <c r="F5" s="15"/>
      <c r="G5" s="15"/>
      <c r="H5" s="15"/>
      <c r="I5" s="15"/>
      <c r="J5" s="15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7"/>
      <c r="C6" s="2"/>
      <c r="D6" s="16"/>
      <c r="E6" s="17"/>
      <c r="F6" s="3"/>
      <c r="G6" s="5"/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"/>
      <c r="B7" s="68" t="s">
        <v>11</v>
      </c>
      <c r="C7" s="69">
        <f>IFERROR(__xludf.DUMMYFUNCTION("IMPORTRANGE(""https://docs.google.com/spreadsheets/d/1i4_2O56hxDkWjXCHioQ5bUAv8_1y7FkgxXxsMCbP6Y4"", ""2024!p1700_48900"")"),2300.0)</f>
        <v>2300</v>
      </c>
      <c r="D7" s="70" t="s">
        <v>12</v>
      </c>
      <c r="E7" s="71"/>
      <c r="F7" s="72"/>
      <c r="G7" s="73"/>
      <c r="H7" s="74"/>
      <c r="I7" s="75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6.5" customHeight="1">
      <c r="A8" s="1"/>
      <c r="B8" s="68"/>
      <c r="C8" s="69"/>
      <c r="D8" s="75" t="s">
        <v>13</v>
      </c>
      <c r="E8" s="76" t="s">
        <v>14</v>
      </c>
      <c r="F8" s="69">
        <v>2000.0</v>
      </c>
      <c r="G8" s="69">
        <v>2000.0</v>
      </c>
      <c r="H8" s="74">
        <f t="shared" ref="H8:H9" si="2">(G8-F8)/F8</f>
        <v>0</v>
      </c>
      <c r="I8" s="75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6.5" customHeight="1">
      <c r="A9" s="1"/>
      <c r="B9" s="75"/>
      <c r="C9" s="69"/>
      <c r="D9" s="75"/>
      <c r="E9" s="77">
        <v>1700.0</v>
      </c>
      <c r="F9" s="78">
        <f t="shared" ref="F9:G9" si="1">SUM(F8)</f>
        <v>2000</v>
      </c>
      <c r="G9" s="78">
        <f t="shared" si="1"/>
        <v>2000</v>
      </c>
      <c r="H9" s="74">
        <f t="shared" si="2"/>
        <v>0</v>
      </c>
      <c r="I9" s="79">
        <v>300.0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8"/>
      <c r="C10" s="2"/>
      <c r="D10" s="1"/>
      <c r="E10" s="1"/>
      <c r="F10" s="3"/>
      <c r="G10" s="24"/>
      <c r="H10" s="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68" t="s">
        <v>15</v>
      </c>
      <c r="C11" s="69">
        <f>IFERROR(__xludf.DUMMYFUNCTION("IMPORTRANGE(""https://docs.google.com/spreadsheets/d/1i4_2O56hxDkWjXCHioQ5bUAv8_1y7FkgxXxsMCbP6Y4"", ""2024!p2311_48900"")"),177910.0)</f>
        <v>177910</v>
      </c>
      <c r="D11" s="70" t="s">
        <v>16</v>
      </c>
      <c r="E11" s="75"/>
      <c r="F11" s="72"/>
      <c r="G11" s="69"/>
      <c r="H11" s="74"/>
      <c r="I11" s="75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80"/>
      <c r="C12" s="69"/>
      <c r="D12" s="75" t="s">
        <v>17</v>
      </c>
      <c r="E12" s="75" t="s">
        <v>18</v>
      </c>
      <c r="F12" s="69">
        <v>7670.0</v>
      </c>
      <c r="G12" s="81">
        <v>8000.0</v>
      </c>
      <c r="H12" s="74">
        <f t="shared" ref="H12:H26" si="3">(G12-F12)/F12</f>
        <v>0.04302477184</v>
      </c>
      <c r="I12" s="75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80"/>
      <c r="C13" s="69"/>
      <c r="D13" s="75" t="s">
        <v>19</v>
      </c>
      <c r="E13" s="75" t="s">
        <v>18</v>
      </c>
      <c r="F13" s="69">
        <v>6120.0</v>
      </c>
      <c r="G13" s="81">
        <v>6500.0</v>
      </c>
      <c r="H13" s="74">
        <f t="shared" si="3"/>
        <v>0.06209150327</v>
      </c>
      <c r="I13" s="75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80"/>
      <c r="C14" s="69"/>
      <c r="D14" s="75" t="s">
        <v>20</v>
      </c>
      <c r="E14" s="75" t="s">
        <v>18</v>
      </c>
      <c r="F14" s="69">
        <v>18500.0</v>
      </c>
      <c r="G14" s="69">
        <v>18500.0</v>
      </c>
      <c r="H14" s="74">
        <f t="shared" si="3"/>
        <v>0</v>
      </c>
      <c r="I14" s="75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80"/>
      <c r="C15" s="69"/>
      <c r="D15" s="75" t="s">
        <v>21</v>
      </c>
      <c r="E15" s="75" t="s">
        <v>18</v>
      </c>
      <c r="F15" s="69">
        <v>5000.0</v>
      </c>
      <c r="G15" s="69">
        <v>5000.0</v>
      </c>
      <c r="H15" s="74">
        <f t="shared" si="3"/>
        <v>0</v>
      </c>
      <c r="I15" s="75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80"/>
      <c r="C16" s="69"/>
      <c r="D16" s="75" t="s">
        <v>22</v>
      </c>
      <c r="E16" s="75" t="s">
        <v>23</v>
      </c>
      <c r="F16" s="69">
        <v>5900.0</v>
      </c>
      <c r="G16" s="81">
        <v>6000.0</v>
      </c>
      <c r="H16" s="74">
        <f t="shared" si="3"/>
        <v>0.01694915254</v>
      </c>
      <c r="I16" s="75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80"/>
      <c r="C17" s="69"/>
      <c r="D17" s="75" t="s">
        <v>24</v>
      </c>
      <c r="E17" s="75" t="s">
        <v>25</v>
      </c>
      <c r="F17" s="69">
        <v>7610.0</v>
      </c>
      <c r="G17" s="81">
        <v>8000.0</v>
      </c>
      <c r="H17" s="74">
        <f t="shared" si="3"/>
        <v>0.05124835742</v>
      </c>
      <c r="I17" s="75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75"/>
      <c r="C18" s="69"/>
      <c r="D18" s="75" t="s">
        <v>26</v>
      </c>
      <c r="E18" s="75" t="s">
        <v>27</v>
      </c>
      <c r="F18" s="69">
        <v>7500.0</v>
      </c>
      <c r="G18" s="69">
        <v>7500.0</v>
      </c>
      <c r="H18" s="74">
        <f t="shared" si="3"/>
        <v>0</v>
      </c>
      <c r="I18" s="75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75"/>
      <c r="C19" s="69"/>
      <c r="D19" s="75" t="s">
        <v>28</v>
      </c>
      <c r="E19" s="75" t="s">
        <v>29</v>
      </c>
      <c r="F19" s="69">
        <v>2900.0</v>
      </c>
      <c r="G19" s="81">
        <v>3000.0</v>
      </c>
      <c r="H19" s="74">
        <f t="shared" si="3"/>
        <v>0.03448275862</v>
      </c>
      <c r="I19" s="75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75"/>
      <c r="C20" s="69"/>
      <c r="D20" s="75" t="s">
        <v>30</v>
      </c>
      <c r="E20" s="75" t="s">
        <v>18</v>
      </c>
      <c r="F20" s="69">
        <v>8460.0</v>
      </c>
      <c r="G20" s="81">
        <v>8500.0</v>
      </c>
      <c r="H20" s="74">
        <f t="shared" si="3"/>
        <v>0.004728132388</v>
      </c>
      <c r="I20" s="75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75"/>
      <c r="C21" s="69"/>
      <c r="D21" s="75" t="s">
        <v>31</v>
      </c>
      <c r="E21" s="75" t="s">
        <v>32</v>
      </c>
      <c r="F21" s="69">
        <v>4110.0</v>
      </c>
      <c r="G21" s="81">
        <v>4500.0</v>
      </c>
      <c r="H21" s="74">
        <f t="shared" si="3"/>
        <v>0.09489051095</v>
      </c>
      <c r="I21" s="75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75"/>
      <c r="C22" s="69"/>
      <c r="D22" s="75" t="s">
        <v>33</v>
      </c>
      <c r="E22" s="75" t="s">
        <v>34</v>
      </c>
      <c r="F22" s="69">
        <v>60000.0</v>
      </c>
      <c r="G22" s="81">
        <v>80000.0</v>
      </c>
      <c r="H22" s="74">
        <f t="shared" si="3"/>
        <v>0.3333333333</v>
      </c>
      <c r="I22" s="75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75"/>
      <c r="C23" s="69"/>
      <c r="D23" s="75" t="s">
        <v>35</v>
      </c>
      <c r="E23" s="75" t="s">
        <v>18</v>
      </c>
      <c r="F23" s="69">
        <v>10000.0</v>
      </c>
      <c r="G23" s="81">
        <v>10000.0</v>
      </c>
      <c r="H23" s="74">
        <f t="shared" si="3"/>
        <v>0</v>
      </c>
      <c r="I23" s="75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75"/>
      <c r="C24" s="69"/>
      <c r="D24" s="75" t="s">
        <v>36</v>
      </c>
      <c r="E24" s="75" t="s">
        <v>27</v>
      </c>
      <c r="F24" s="69">
        <v>2500.0</v>
      </c>
      <c r="G24" s="69">
        <v>2500.0</v>
      </c>
      <c r="H24" s="74">
        <f t="shared" si="3"/>
        <v>0</v>
      </c>
      <c r="I24" s="75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75"/>
      <c r="C25" s="69"/>
      <c r="D25" s="75" t="s">
        <v>37</v>
      </c>
      <c r="E25" s="75" t="s">
        <v>18</v>
      </c>
      <c r="F25" s="69">
        <v>2750.0</v>
      </c>
      <c r="G25" s="69">
        <v>2750.0</v>
      </c>
      <c r="H25" s="74">
        <f t="shared" si="3"/>
        <v>0</v>
      </c>
      <c r="I25" s="75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6.5" customHeight="1">
      <c r="A26" s="1"/>
      <c r="B26" s="75"/>
      <c r="C26" s="69"/>
      <c r="D26" s="75"/>
      <c r="E26" s="71">
        <v>2311.0</v>
      </c>
      <c r="F26" s="78">
        <f t="shared" ref="F26:G26" si="4">SUM(F12:F25)</f>
        <v>149020</v>
      </c>
      <c r="G26" s="78">
        <f t="shared" si="4"/>
        <v>170750</v>
      </c>
      <c r="H26" s="74">
        <f t="shared" si="3"/>
        <v>0.1458193531</v>
      </c>
      <c r="I26" s="79">
        <v>7160.0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7"/>
      <c r="C27" s="2"/>
      <c r="D27" s="16"/>
      <c r="E27" s="1"/>
      <c r="F27" s="3"/>
      <c r="G27" s="2"/>
      <c r="H27" s="4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27"/>
      <c r="B28" s="82" t="s">
        <v>38</v>
      </c>
      <c r="C28" s="83">
        <f>IFERROR(__xludf.DUMMYFUNCTION("IMPORTRANGE(""https://docs.google.com/spreadsheets/d/1i4_2O56hxDkWjXCHioQ5bUAv8_1y7FkgxXxsMCbP6Y4"", ""2024!p2313_48900"")"),83400.0)</f>
        <v>83400</v>
      </c>
      <c r="D28" s="84" t="s">
        <v>39</v>
      </c>
      <c r="E28" s="85"/>
      <c r="F28" s="86"/>
      <c r="G28" s="86"/>
      <c r="H28" s="87"/>
      <c r="I28" s="85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ht="15.75" customHeight="1">
      <c r="A29" s="27"/>
      <c r="B29" s="88"/>
      <c r="C29" s="86"/>
      <c r="D29" s="89" t="s">
        <v>40</v>
      </c>
      <c r="E29" s="90" t="s">
        <v>41</v>
      </c>
      <c r="F29" s="91"/>
      <c r="G29" s="91">
        <v>12000.0</v>
      </c>
      <c r="H29" s="92"/>
      <c r="I29" s="85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ht="15.75" customHeight="1">
      <c r="A30" s="27"/>
      <c r="B30" s="88"/>
      <c r="C30" s="86"/>
      <c r="D30" s="89" t="s">
        <v>42</v>
      </c>
      <c r="E30" s="90" t="s">
        <v>41</v>
      </c>
      <c r="F30" s="91"/>
      <c r="G30" s="91">
        <v>12000.0</v>
      </c>
      <c r="H30" s="92"/>
      <c r="I30" s="85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ht="15.75" customHeight="1">
      <c r="A31" s="27"/>
      <c r="B31" s="88"/>
      <c r="C31" s="86"/>
      <c r="D31" s="89" t="s">
        <v>43</v>
      </c>
      <c r="E31" s="90" t="s">
        <v>41</v>
      </c>
      <c r="F31" s="91">
        <v>0.0</v>
      </c>
      <c r="G31" s="91">
        <v>12000.0</v>
      </c>
      <c r="H31" s="92" t="str">
        <f t="shared" ref="H31:H32" si="5">(G31-F31)/F31</f>
        <v>#DIV/0!</v>
      </c>
      <c r="I31" s="85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ht="15.75" customHeight="1">
      <c r="A32" s="27"/>
      <c r="B32" s="85"/>
      <c r="C32" s="86"/>
      <c r="D32" s="89"/>
      <c r="E32" s="93">
        <v>2313.0</v>
      </c>
      <c r="F32" s="94">
        <f>SUM(F31)</f>
        <v>0</v>
      </c>
      <c r="G32" s="94">
        <f>SUM(G29:G31)</f>
        <v>36000</v>
      </c>
      <c r="H32" s="92" t="str">
        <f t="shared" si="5"/>
        <v>#DIV/0!</v>
      </c>
      <c r="I32" s="94">
        <v>7160.0</v>
      </c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ht="15.75" customHeight="1">
      <c r="A33" s="1"/>
      <c r="B33" s="7"/>
      <c r="C33" s="2"/>
      <c r="D33" s="16"/>
      <c r="E33" s="1"/>
      <c r="F33" s="3"/>
      <c r="G33" s="2"/>
      <c r="H33" s="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41" t="s">
        <v>44</v>
      </c>
      <c r="C34" s="2">
        <f>IFERROR(__xludf.DUMMYFUNCTION("IMPORTRANGE(""https://docs.google.com/spreadsheets/d/1i4_2O56hxDkWjXCHioQ5bUAv8_1y7FkgxXxsMCbP6Y4"", ""2024!p3260_48900"")"),91400.0)</f>
        <v>91400</v>
      </c>
      <c r="D34" s="42" t="s">
        <v>45</v>
      </c>
      <c r="E34" s="17"/>
      <c r="F34" s="3"/>
      <c r="G34" s="5"/>
      <c r="H34" s="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6.5" customHeight="1">
      <c r="A35" s="1"/>
      <c r="B35" s="18"/>
      <c r="C35" s="2"/>
      <c r="D35" s="20" t="s">
        <v>46</v>
      </c>
      <c r="E35" s="20" t="s">
        <v>47</v>
      </c>
      <c r="F35" s="2">
        <v>2000.0</v>
      </c>
      <c r="G35" s="2">
        <v>2000.0</v>
      </c>
      <c r="H35" s="4">
        <f>(G35-F35)/F35</f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6.5" customHeight="1">
      <c r="A36" s="1"/>
      <c r="B36" s="18"/>
      <c r="C36" s="2"/>
      <c r="D36" s="20" t="s">
        <v>48</v>
      </c>
      <c r="E36" s="20" t="s">
        <v>49</v>
      </c>
      <c r="F36" s="26">
        <v>0.0</v>
      </c>
      <c r="G36" s="26">
        <v>24000.0</v>
      </c>
      <c r="H36" s="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6.5" customHeight="1">
      <c r="A37" s="1"/>
      <c r="B37" s="1"/>
      <c r="C37" s="2"/>
      <c r="D37" s="1"/>
      <c r="E37" s="21">
        <v>3260.0</v>
      </c>
      <c r="F37" s="22">
        <f>SUM(F35)</f>
        <v>2000</v>
      </c>
      <c r="G37" s="22">
        <f>SUM(G35:G36)</f>
        <v>26000</v>
      </c>
      <c r="H37" s="4">
        <f>(G37-F37)/F37</f>
        <v>12</v>
      </c>
      <c r="I37" s="23">
        <v>300.0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7"/>
      <c r="C38" s="2"/>
      <c r="D38" s="16"/>
      <c r="E38" s="1"/>
      <c r="F38" s="3"/>
      <c r="G38" s="2"/>
      <c r="H38" s="4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7" t="s">
        <v>50</v>
      </c>
      <c r="C39" s="2">
        <f>IFERROR(__xludf.DUMMYFUNCTION("IMPORTRANGE(""https://docs.google.com/spreadsheets/d/1i4_2O56hxDkWjXCHioQ5bUAv8_1y7FkgxXxsMCbP6Y4"", ""2024!p3340_48900"")"),104700.0)</f>
        <v>104700</v>
      </c>
      <c r="D39" s="19" t="s">
        <v>51</v>
      </c>
      <c r="E39" s="1"/>
      <c r="F39" s="3"/>
      <c r="G39" s="2"/>
      <c r="H39" s="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2"/>
      <c r="D40" s="1" t="s">
        <v>52</v>
      </c>
      <c r="E40" s="1" t="s">
        <v>53</v>
      </c>
      <c r="F40" s="2">
        <v>5400.0</v>
      </c>
      <c r="G40" s="2">
        <v>5400.0</v>
      </c>
      <c r="H40" s="4">
        <f t="shared" ref="H40:H46" si="6">(G40-F40)/F40</f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2"/>
      <c r="D41" s="1" t="s">
        <v>54</v>
      </c>
      <c r="E41" s="1" t="s">
        <v>55</v>
      </c>
      <c r="F41" s="2">
        <v>16200.0</v>
      </c>
      <c r="G41" s="2">
        <v>16200.0</v>
      </c>
      <c r="H41" s="4">
        <f t="shared" si="6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2"/>
      <c r="D42" s="1" t="s">
        <v>56</v>
      </c>
      <c r="E42" s="1" t="s">
        <v>57</v>
      </c>
      <c r="F42" s="2">
        <v>15000.0</v>
      </c>
      <c r="G42" s="2">
        <v>15000.0</v>
      </c>
      <c r="H42" s="4">
        <f t="shared" si="6"/>
        <v>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43"/>
      <c r="B43" s="43"/>
      <c r="C43" s="44"/>
      <c r="D43" s="1" t="s">
        <v>58</v>
      </c>
      <c r="E43" s="1" t="s">
        <v>59</v>
      </c>
      <c r="F43" s="2">
        <v>3000.0</v>
      </c>
      <c r="G43" s="2">
        <v>3000.0</v>
      </c>
      <c r="H43" s="4">
        <f t="shared" si="6"/>
        <v>0</v>
      </c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</row>
    <row r="44" ht="15.75" customHeight="1">
      <c r="A44" s="1"/>
      <c r="B44" s="1"/>
      <c r="C44" s="2"/>
      <c r="D44" s="1" t="s">
        <v>60</v>
      </c>
      <c r="E44" s="1" t="s">
        <v>61</v>
      </c>
      <c r="F44" s="2">
        <v>5300.0</v>
      </c>
      <c r="G44" s="2">
        <v>5300.0</v>
      </c>
      <c r="H44" s="4">
        <f t="shared" si="6"/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2"/>
      <c r="D45" s="1" t="s">
        <v>62</v>
      </c>
      <c r="E45" s="1" t="s">
        <v>63</v>
      </c>
      <c r="F45" s="26">
        <v>5000.0</v>
      </c>
      <c r="G45" s="26">
        <v>7000.0</v>
      </c>
      <c r="H45" s="4">
        <f t="shared" si="6"/>
        <v>0.4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2"/>
      <c r="D46" s="1" t="s">
        <v>64</v>
      </c>
      <c r="E46" s="1" t="s">
        <v>65</v>
      </c>
      <c r="F46" s="26">
        <v>10000.0</v>
      </c>
      <c r="G46" s="26">
        <v>10000.0</v>
      </c>
      <c r="H46" s="4">
        <f t="shared" si="6"/>
        <v>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2"/>
      <c r="D47" s="20" t="s">
        <v>66</v>
      </c>
      <c r="E47" s="20" t="s">
        <v>67</v>
      </c>
      <c r="F47" s="45">
        <v>0.0</v>
      </c>
      <c r="G47" s="26">
        <v>2500.0</v>
      </c>
      <c r="H47" s="4" t="str">
        <f t="shared" ref="H47:H48" si="7">(#REF!-G47)/G47</f>
        <v>#REF!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2"/>
      <c r="D48" s="20" t="s">
        <v>68</v>
      </c>
      <c r="E48" s="20" t="s">
        <v>69</v>
      </c>
      <c r="F48" s="45">
        <v>0.0</v>
      </c>
      <c r="G48" s="26">
        <v>14000.0</v>
      </c>
      <c r="H48" s="4" t="str">
        <f t="shared" si="7"/>
        <v>#REF!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6.5" customHeight="1">
      <c r="A49" s="1"/>
      <c r="B49" s="1"/>
      <c r="C49" s="2"/>
      <c r="D49" s="1"/>
      <c r="E49" s="17">
        <v>3340.0</v>
      </c>
      <c r="F49" s="22">
        <f t="shared" ref="F49:G49" si="8">SUM(F40:F48)</f>
        <v>59900</v>
      </c>
      <c r="G49" s="22">
        <f t="shared" si="8"/>
        <v>78400</v>
      </c>
      <c r="H49" s="4">
        <f>(G49-F49)/F49</f>
        <v>0.3088480801</v>
      </c>
      <c r="I49" s="23">
        <v>24800.0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6.5" customHeight="1">
      <c r="A50" s="1"/>
      <c r="B50" s="1"/>
      <c r="C50" s="2"/>
      <c r="D50" s="1"/>
      <c r="E50" s="17"/>
      <c r="F50" s="24"/>
      <c r="G50" s="24"/>
      <c r="H50" s="4"/>
      <c r="I50" s="4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47"/>
      <c r="B51" s="7" t="s">
        <v>70</v>
      </c>
      <c r="C51" s="26">
        <f>IFERROR(__xludf.DUMMYFUNCTION("IMPORTRANGE(""https://docs.google.com/spreadsheets/d/1i4_2O56hxDkWjXCHioQ5bUAv8_1y7FkgxXxsMCbP6Y4"", ""2024!p3373_48900"")"),180000.0)</f>
        <v>180000</v>
      </c>
      <c r="D51" s="19" t="s">
        <v>71</v>
      </c>
      <c r="E51" s="47"/>
      <c r="F51" s="48"/>
      <c r="G51" s="48"/>
      <c r="H51" s="4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9"/>
      <c r="Z51" s="49"/>
    </row>
    <row r="52" ht="15.75" customHeight="1">
      <c r="A52" s="47"/>
      <c r="B52" s="50"/>
      <c r="C52" s="48"/>
      <c r="D52" s="1" t="s">
        <v>72</v>
      </c>
      <c r="E52" s="20" t="s">
        <v>73</v>
      </c>
      <c r="F52" s="51">
        <v>15000.0</v>
      </c>
      <c r="G52" s="51">
        <v>85000.0</v>
      </c>
      <c r="H52" s="4">
        <f t="shared" ref="H52:H53" si="10">(G52-F52)/F52</f>
        <v>4.666666667</v>
      </c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9"/>
      <c r="Z52" s="49"/>
    </row>
    <row r="53" ht="16.5" customHeight="1">
      <c r="A53" s="1"/>
      <c r="B53" s="1"/>
      <c r="C53" s="2"/>
      <c r="D53" s="1"/>
      <c r="E53" s="21">
        <v>3373.0</v>
      </c>
      <c r="F53" s="22">
        <f t="shared" ref="F53:G53" si="9">SUM(F52)</f>
        <v>15000</v>
      </c>
      <c r="G53" s="22">
        <f t="shared" si="9"/>
        <v>85000</v>
      </c>
      <c r="H53" s="4">
        <f t="shared" si="10"/>
        <v>4.666666667</v>
      </c>
      <c r="I53" s="23">
        <v>95000.0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2"/>
      <c r="D54" s="1"/>
      <c r="E54" s="17"/>
      <c r="F54" s="3"/>
      <c r="G54" s="24"/>
      <c r="H54" s="4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7" t="s">
        <v>74</v>
      </c>
      <c r="C55" s="26">
        <f>IFERROR(__xludf.DUMMYFUNCTION("IMPORTRANGE(""https://docs.google.com/spreadsheets/d/1i4_2O56hxDkWjXCHioQ5bUAv8_1y7FkgxXxsMCbP6Y4"", ""2024!p3410_48900"")"),339400.0)</f>
        <v>339400</v>
      </c>
      <c r="D55" s="19" t="s">
        <v>75</v>
      </c>
      <c r="E55" s="1"/>
      <c r="F55" s="3"/>
      <c r="G55" s="2"/>
      <c r="H55" s="4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7"/>
      <c r="C56" s="26"/>
      <c r="D56" s="1" t="s">
        <v>76</v>
      </c>
      <c r="E56" s="1" t="s">
        <v>77</v>
      </c>
      <c r="F56" s="2">
        <v>2000.0</v>
      </c>
      <c r="G56" s="26">
        <v>3000.0</v>
      </c>
      <c r="H56" s="4">
        <f t="shared" ref="H56:H84" si="11">(G56-F56)/F56</f>
        <v>0.5</v>
      </c>
      <c r="I56" s="20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7"/>
      <c r="C57" s="2"/>
      <c r="D57" s="1" t="s">
        <v>78</v>
      </c>
      <c r="E57" s="1" t="s">
        <v>77</v>
      </c>
      <c r="F57" s="2">
        <v>350.0</v>
      </c>
      <c r="G57" s="2">
        <v>350.0</v>
      </c>
      <c r="H57" s="4">
        <f t="shared" si="11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7"/>
      <c r="C58" s="2"/>
      <c r="D58" s="1" t="s">
        <v>79</v>
      </c>
      <c r="E58" s="1" t="s">
        <v>77</v>
      </c>
      <c r="F58" s="2">
        <v>6000.0</v>
      </c>
      <c r="G58" s="26">
        <v>21000.0</v>
      </c>
      <c r="H58" s="4">
        <f t="shared" si="11"/>
        <v>2.5</v>
      </c>
      <c r="I58" s="20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7"/>
      <c r="C59" s="2"/>
      <c r="D59" s="52" t="s">
        <v>80</v>
      </c>
      <c r="E59" s="1" t="s">
        <v>77</v>
      </c>
      <c r="F59" s="2">
        <v>500.0</v>
      </c>
      <c r="G59" s="2">
        <v>500.0</v>
      </c>
      <c r="H59" s="4">
        <f t="shared" si="11"/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7"/>
      <c r="C60" s="2"/>
      <c r="D60" s="52" t="s">
        <v>81</v>
      </c>
      <c r="E60" s="1" t="s">
        <v>77</v>
      </c>
      <c r="F60" s="53">
        <v>56000.0</v>
      </c>
      <c r="G60" s="53">
        <v>63000.0</v>
      </c>
      <c r="H60" s="4">
        <f t="shared" si="11"/>
        <v>0.125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7"/>
      <c r="C61" s="2"/>
      <c r="D61" s="1" t="s">
        <v>82</v>
      </c>
      <c r="E61" s="1" t="s">
        <v>77</v>
      </c>
      <c r="F61" s="2">
        <v>750.0</v>
      </c>
      <c r="G61" s="2">
        <v>750.0</v>
      </c>
      <c r="H61" s="4">
        <f t="shared" si="11"/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7"/>
      <c r="C62" s="2"/>
      <c r="D62" s="1" t="s">
        <v>83</v>
      </c>
      <c r="E62" s="1" t="s">
        <v>77</v>
      </c>
      <c r="F62" s="2">
        <v>2500.0</v>
      </c>
      <c r="G62" s="2">
        <v>2500.0</v>
      </c>
      <c r="H62" s="4">
        <f t="shared" si="11"/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7"/>
      <c r="C63" s="2"/>
      <c r="D63" s="1" t="s">
        <v>84</v>
      </c>
      <c r="E63" s="1" t="s">
        <v>77</v>
      </c>
      <c r="F63" s="2">
        <v>20000.0</v>
      </c>
      <c r="G63" s="2">
        <v>20000.0</v>
      </c>
      <c r="H63" s="4">
        <f t="shared" si="11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7"/>
      <c r="C64" s="2"/>
      <c r="D64" s="1" t="s">
        <v>85</v>
      </c>
      <c r="E64" s="1" t="s">
        <v>77</v>
      </c>
      <c r="F64" s="2">
        <v>14000.0</v>
      </c>
      <c r="G64" s="2">
        <v>14000.0</v>
      </c>
      <c r="H64" s="4">
        <f t="shared" si="11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7"/>
      <c r="C65" s="2"/>
      <c r="D65" s="1" t="s">
        <v>86</v>
      </c>
      <c r="E65" s="1" t="s">
        <v>77</v>
      </c>
      <c r="F65" s="2">
        <v>2000.0</v>
      </c>
      <c r="G65" s="2">
        <v>2000.0</v>
      </c>
      <c r="H65" s="4">
        <f t="shared" si="11"/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7"/>
      <c r="C66" s="2"/>
      <c r="D66" s="1" t="s">
        <v>87</v>
      </c>
      <c r="E66" s="1" t="s">
        <v>77</v>
      </c>
      <c r="F66" s="2">
        <v>3300.0</v>
      </c>
      <c r="G66" s="2">
        <v>3300.0</v>
      </c>
      <c r="H66" s="4">
        <f t="shared" si="11"/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7"/>
      <c r="C67" s="2"/>
      <c r="D67" s="1" t="s">
        <v>88</v>
      </c>
      <c r="E67" s="1" t="s">
        <v>77</v>
      </c>
      <c r="F67" s="2">
        <v>2500.0</v>
      </c>
      <c r="G67" s="2">
        <v>2500.0</v>
      </c>
      <c r="H67" s="4">
        <f t="shared" si="11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7"/>
      <c r="C68" s="2"/>
      <c r="D68" s="1" t="s">
        <v>89</v>
      </c>
      <c r="E68" s="1" t="s">
        <v>77</v>
      </c>
      <c r="F68" s="2">
        <v>1000.0</v>
      </c>
      <c r="G68" s="2">
        <v>1000.0</v>
      </c>
      <c r="H68" s="4">
        <f t="shared" si="11"/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7"/>
      <c r="C69" s="2"/>
      <c r="D69" s="1" t="s">
        <v>90</v>
      </c>
      <c r="E69" s="1" t="s">
        <v>77</v>
      </c>
      <c r="F69" s="2">
        <v>1000.0</v>
      </c>
      <c r="G69" s="26">
        <v>1500.0</v>
      </c>
      <c r="H69" s="4">
        <f t="shared" si="11"/>
        <v>0.5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7"/>
      <c r="C70" s="2"/>
      <c r="D70" s="1" t="s">
        <v>91</v>
      </c>
      <c r="E70" s="1" t="s">
        <v>77</v>
      </c>
      <c r="F70" s="2">
        <v>3000.0</v>
      </c>
      <c r="G70" s="2">
        <v>3000.0</v>
      </c>
      <c r="H70" s="4">
        <f t="shared" si="11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7"/>
      <c r="C71" s="2"/>
      <c r="D71" s="1" t="s">
        <v>92</v>
      </c>
      <c r="E71" s="1" t="s">
        <v>77</v>
      </c>
      <c r="F71" s="2">
        <v>7000.0</v>
      </c>
      <c r="G71" s="26">
        <v>7500.0</v>
      </c>
      <c r="H71" s="4">
        <f t="shared" si="11"/>
        <v>0.07142857143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7"/>
      <c r="C72" s="2"/>
      <c r="D72" s="1" t="s">
        <v>93</v>
      </c>
      <c r="E72" s="1" t="s">
        <v>77</v>
      </c>
      <c r="F72" s="2">
        <v>7500.0</v>
      </c>
      <c r="G72" s="2">
        <v>7500.0</v>
      </c>
      <c r="H72" s="4">
        <f t="shared" si="11"/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7"/>
      <c r="C73" s="2"/>
      <c r="D73" s="20" t="s">
        <v>94</v>
      </c>
      <c r="E73" s="1" t="s">
        <v>77</v>
      </c>
      <c r="F73" s="2">
        <v>2000.0</v>
      </c>
      <c r="G73" s="26">
        <v>2500.0</v>
      </c>
      <c r="H73" s="4">
        <f t="shared" si="11"/>
        <v>0.25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7"/>
      <c r="C74" s="2"/>
      <c r="D74" s="52" t="s">
        <v>95</v>
      </c>
      <c r="E74" s="1" t="s">
        <v>77</v>
      </c>
      <c r="F74" s="54">
        <v>20000.0</v>
      </c>
      <c r="G74" s="54">
        <v>20000.0</v>
      </c>
      <c r="H74" s="4">
        <f t="shared" si="11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7"/>
      <c r="C75" s="2"/>
      <c r="D75" s="1" t="s">
        <v>96</v>
      </c>
      <c r="E75" s="1" t="s">
        <v>77</v>
      </c>
      <c r="F75" s="2">
        <v>6000.0</v>
      </c>
      <c r="G75" s="2">
        <v>6000.0</v>
      </c>
      <c r="H75" s="4">
        <f t="shared" si="11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7"/>
      <c r="C76" s="2"/>
      <c r="D76" s="1" t="s">
        <v>97</v>
      </c>
      <c r="E76" s="1" t="s">
        <v>77</v>
      </c>
      <c r="F76" s="2">
        <v>1500.0</v>
      </c>
      <c r="G76" s="2">
        <v>1500.0</v>
      </c>
      <c r="H76" s="4">
        <f t="shared" si="11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7"/>
      <c r="C77" s="2"/>
      <c r="D77" s="1" t="s">
        <v>98</v>
      </c>
      <c r="E77" s="1" t="s">
        <v>77</v>
      </c>
      <c r="F77" s="2">
        <v>2000.0</v>
      </c>
      <c r="G77" s="2">
        <v>2000.0</v>
      </c>
      <c r="H77" s="4">
        <f t="shared" si="11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7"/>
      <c r="C78" s="2"/>
      <c r="D78" s="20" t="s">
        <v>99</v>
      </c>
      <c r="E78" s="1" t="s">
        <v>77</v>
      </c>
      <c r="F78" s="2">
        <v>1000.0</v>
      </c>
      <c r="G78" s="26">
        <v>1500.0</v>
      </c>
      <c r="H78" s="4">
        <f t="shared" si="11"/>
        <v>0.5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7"/>
      <c r="C79" s="2"/>
      <c r="D79" s="1" t="s">
        <v>100</v>
      </c>
      <c r="E79" s="1" t="s">
        <v>77</v>
      </c>
      <c r="F79" s="2">
        <v>2000.0</v>
      </c>
      <c r="G79" s="2">
        <v>2000.0</v>
      </c>
      <c r="H79" s="4">
        <f t="shared" si="11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7"/>
      <c r="C80" s="2"/>
      <c r="D80" s="1" t="s">
        <v>101</v>
      </c>
      <c r="E80" s="1" t="s">
        <v>77</v>
      </c>
      <c r="F80" s="2">
        <v>250.0</v>
      </c>
      <c r="G80" s="2">
        <v>250.0</v>
      </c>
      <c r="H80" s="4">
        <f t="shared" si="11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7"/>
      <c r="C81" s="2"/>
      <c r="D81" s="1" t="s">
        <v>102</v>
      </c>
      <c r="E81" s="1" t="s">
        <v>77</v>
      </c>
      <c r="F81" s="2">
        <v>450.0</v>
      </c>
      <c r="G81" s="2">
        <v>450.0</v>
      </c>
      <c r="H81" s="4">
        <f t="shared" si="11"/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2"/>
      <c r="D82" s="1" t="s">
        <v>103</v>
      </c>
      <c r="E82" s="1" t="s">
        <v>77</v>
      </c>
      <c r="F82" s="2">
        <v>8000.0</v>
      </c>
      <c r="G82" s="2">
        <v>8000.0</v>
      </c>
      <c r="H82" s="4">
        <f t="shared" si="11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2"/>
      <c r="D83" s="1" t="s">
        <v>104</v>
      </c>
      <c r="E83" s="1" t="s">
        <v>77</v>
      </c>
      <c r="F83" s="26">
        <v>63000.0</v>
      </c>
      <c r="G83" s="26">
        <v>68000.0</v>
      </c>
      <c r="H83" s="4">
        <f t="shared" si="11"/>
        <v>0.07936507937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2"/>
      <c r="D84" s="1" t="s">
        <v>105</v>
      </c>
      <c r="E84" s="1" t="s">
        <v>106</v>
      </c>
      <c r="F84" s="2">
        <v>12000.0</v>
      </c>
      <c r="G84" s="2">
        <v>12000.0</v>
      </c>
      <c r="H84" s="4">
        <f t="shared" si="11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2"/>
      <c r="D85" s="20" t="s">
        <v>107</v>
      </c>
      <c r="E85" s="20" t="s">
        <v>77</v>
      </c>
      <c r="F85" s="26">
        <v>0.0</v>
      </c>
      <c r="G85" s="26">
        <v>1000.0</v>
      </c>
      <c r="H85" s="4"/>
      <c r="I85" s="20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6.5" customHeight="1">
      <c r="A86" s="1"/>
      <c r="B86" s="1"/>
      <c r="C86" s="2"/>
      <c r="D86" s="1"/>
      <c r="E86" s="17">
        <v>3410.0</v>
      </c>
      <c r="F86" s="55">
        <f t="shared" ref="F86:G86" si="12">SUM(F56:F85)</f>
        <v>247600</v>
      </c>
      <c r="G86" s="55">
        <f t="shared" si="12"/>
        <v>278600</v>
      </c>
      <c r="H86" s="4">
        <f>(G86-F86)/F86</f>
        <v>0.1252019386</v>
      </c>
      <c r="I86" s="23">
        <v>60800.0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49"/>
      <c r="D87" s="1"/>
      <c r="E87" s="17"/>
      <c r="F87" s="2"/>
      <c r="G87" s="56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95" t="s">
        <v>108</v>
      </c>
      <c r="C88" s="81">
        <f>IFERROR(__xludf.DUMMYFUNCTION("IMPORTRANGE(""https://docs.google.com/spreadsheets/d/1i4_2O56hxDkWjXCHioQ5bUAv8_1y7FkgxXxsMCbP6Y4"", ""2024!p4310_48900"")"),50000.0)</f>
        <v>50000</v>
      </c>
      <c r="D88" s="70" t="s">
        <v>109</v>
      </c>
      <c r="E88" s="75"/>
      <c r="F88" s="72"/>
      <c r="G88" s="69"/>
      <c r="H88" s="74"/>
      <c r="I88" s="75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75"/>
      <c r="C89" s="69"/>
      <c r="D89" s="75" t="s">
        <v>110</v>
      </c>
      <c r="E89" s="75" t="s">
        <v>111</v>
      </c>
      <c r="F89" s="81">
        <v>50000.0</v>
      </c>
      <c r="G89" s="81">
        <v>30000.0</v>
      </c>
      <c r="H89" s="74">
        <f t="shared" ref="H89:H91" si="13">(G89-F89)/F89</f>
        <v>-0.4</v>
      </c>
      <c r="I89" s="75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3.5" customHeight="1">
      <c r="A90" s="43"/>
      <c r="B90" s="96"/>
      <c r="C90" s="97"/>
      <c r="D90" s="75" t="s">
        <v>112</v>
      </c>
      <c r="E90" s="75" t="s">
        <v>113</v>
      </c>
      <c r="F90" s="81">
        <v>20000.0</v>
      </c>
      <c r="G90" s="81">
        <v>20000.0</v>
      </c>
      <c r="H90" s="74">
        <f t="shared" si="13"/>
        <v>0</v>
      </c>
      <c r="I90" s="96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</row>
    <row r="91" ht="16.5" customHeight="1">
      <c r="A91" s="1"/>
      <c r="B91" s="75"/>
      <c r="C91" s="69"/>
      <c r="D91" s="75"/>
      <c r="E91" s="71">
        <v>4310.0</v>
      </c>
      <c r="F91" s="78">
        <f t="shared" ref="F91:G91" si="14">SUM(F89:F90)</f>
        <v>70000</v>
      </c>
      <c r="G91" s="78">
        <f t="shared" si="14"/>
        <v>50000</v>
      </c>
      <c r="H91" s="74">
        <f t="shared" si="13"/>
        <v>-0.2857142857</v>
      </c>
      <c r="I91" s="79">
        <v>0.0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6.5" customHeight="1">
      <c r="A92" s="1"/>
      <c r="B92" s="1"/>
      <c r="C92" s="2"/>
      <c r="D92" s="1"/>
      <c r="E92" s="17"/>
      <c r="F92" s="24"/>
      <c r="G92" s="24"/>
      <c r="H92" s="4"/>
      <c r="I92" s="4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47"/>
      <c r="B93" s="98" t="s">
        <v>114</v>
      </c>
      <c r="C93" s="81">
        <f>IFERROR(__xludf.DUMMYFUNCTION("IMPORTRANGE(""https://docs.google.com/spreadsheets/d/1i4_2O56hxDkWjXCHioQ5bUAv8_1y7FkgxXxsMCbP6Y4"", ""2024!p4320_48900"")"),43700.0)</f>
        <v>43700</v>
      </c>
      <c r="D93" s="99" t="s">
        <v>115</v>
      </c>
      <c r="E93" s="100"/>
      <c r="F93" s="101"/>
      <c r="G93" s="101"/>
      <c r="H93" s="74"/>
      <c r="I93" s="100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9"/>
      <c r="Z93" s="49"/>
    </row>
    <row r="94" ht="16.5" customHeight="1">
      <c r="A94" s="1"/>
      <c r="B94" s="75"/>
      <c r="C94" s="69"/>
      <c r="D94" s="76" t="s">
        <v>116</v>
      </c>
      <c r="E94" s="76" t="s">
        <v>117</v>
      </c>
      <c r="F94" s="102">
        <v>0.0</v>
      </c>
      <c r="G94" s="102">
        <v>24000.0</v>
      </c>
      <c r="H94" s="74"/>
      <c r="I94" s="10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95"/>
      <c r="C95" s="81"/>
      <c r="D95" s="75" t="s">
        <v>118</v>
      </c>
      <c r="E95" s="75" t="s">
        <v>119</v>
      </c>
      <c r="F95" s="69">
        <v>9000.0</v>
      </c>
      <c r="G95" s="69">
        <v>9000.0</v>
      </c>
      <c r="H95" s="74">
        <f t="shared" ref="H95:H96" si="15">(G95-F95)/F95</f>
        <v>0</v>
      </c>
      <c r="I95" s="75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6.5" customHeight="1">
      <c r="A96" s="1"/>
      <c r="B96" s="75"/>
      <c r="C96" s="69"/>
      <c r="D96" s="75"/>
      <c r="E96" s="77">
        <v>4320.0</v>
      </c>
      <c r="F96" s="78">
        <f>SUM(F94)</f>
        <v>0</v>
      </c>
      <c r="G96" s="78">
        <f>SUM(G94:G95)</f>
        <v>33000</v>
      </c>
      <c r="H96" s="74" t="str">
        <f t="shared" si="15"/>
        <v>#DIV/0!</v>
      </c>
      <c r="I96" s="79">
        <v>95000.0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6.5" customHeight="1">
      <c r="A97" s="1"/>
      <c r="B97" s="1"/>
      <c r="C97" s="2"/>
      <c r="D97" s="1"/>
      <c r="E97" s="17"/>
      <c r="F97" s="24"/>
      <c r="G97" s="24"/>
      <c r="H97" s="4"/>
      <c r="I97" s="4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6.5" customHeight="1">
      <c r="A98" s="1"/>
      <c r="B98" s="1"/>
      <c r="C98" s="2"/>
      <c r="D98" s="1"/>
      <c r="E98" s="17"/>
      <c r="F98" s="24"/>
      <c r="G98" s="24"/>
      <c r="H98" s="4"/>
      <c r="I98" s="4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95" t="s">
        <v>120</v>
      </c>
      <c r="C99" s="81">
        <f>IFERROR(__xludf.DUMMYFUNCTION("IMPORTRANGE(""https://docs.google.com/spreadsheets/d/1i4_2O56hxDkWjXCHioQ5bUAv8_1y7FkgxXxsMCbP6Y4"", ""2024!p4330_48900"")"),65900.0)</f>
        <v>65900</v>
      </c>
      <c r="D99" s="70" t="s">
        <v>121</v>
      </c>
      <c r="E99" s="75"/>
      <c r="F99" s="72"/>
      <c r="G99" s="69"/>
      <c r="H99" s="74"/>
      <c r="I99" s="75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75"/>
      <c r="C100" s="69"/>
      <c r="D100" s="76" t="s">
        <v>122</v>
      </c>
      <c r="E100" s="75" t="s">
        <v>123</v>
      </c>
      <c r="F100" s="81">
        <v>100000.0</v>
      </c>
      <c r="G100" s="81">
        <v>30000.0</v>
      </c>
      <c r="H100" s="74">
        <f t="shared" ref="H100:H106" si="16">(G100-F100)/F100</f>
        <v>-0.7</v>
      </c>
      <c r="I100" s="75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75"/>
      <c r="C101" s="69"/>
      <c r="D101" s="75" t="s">
        <v>124</v>
      </c>
      <c r="E101" s="75" t="s">
        <v>125</v>
      </c>
      <c r="F101" s="69">
        <v>3500.0</v>
      </c>
      <c r="G101" s="69">
        <v>3500.0</v>
      </c>
      <c r="H101" s="74">
        <f t="shared" si="16"/>
        <v>0</v>
      </c>
      <c r="I101" s="75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75"/>
      <c r="C102" s="69"/>
      <c r="D102" s="75" t="s">
        <v>126</v>
      </c>
      <c r="E102" s="75" t="s">
        <v>127</v>
      </c>
      <c r="F102" s="69">
        <v>3000.0</v>
      </c>
      <c r="G102" s="69">
        <v>3000.0</v>
      </c>
      <c r="H102" s="74">
        <f t="shared" si="16"/>
        <v>0</v>
      </c>
      <c r="I102" s="75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04"/>
      <c r="C103" s="69"/>
      <c r="D103" s="75" t="s">
        <v>128</v>
      </c>
      <c r="E103" s="75" t="s">
        <v>129</v>
      </c>
      <c r="F103" s="69">
        <v>2500.0</v>
      </c>
      <c r="G103" s="69">
        <v>2500.0</v>
      </c>
      <c r="H103" s="74">
        <f t="shared" si="16"/>
        <v>0</v>
      </c>
      <c r="I103" s="75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04"/>
      <c r="C104" s="69"/>
      <c r="D104" s="75" t="s">
        <v>130</v>
      </c>
      <c r="E104" s="76" t="s">
        <v>131</v>
      </c>
      <c r="F104" s="69">
        <v>1500.0</v>
      </c>
      <c r="G104" s="69">
        <v>1500.0</v>
      </c>
      <c r="H104" s="74">
        <f t="shared" si="16"/>
        <v>0</v>
      </c>
      <c r="I104" s="75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75"/>
      <c r="C105" s="69"/>
      <c r="D105" s="76" t="s">
        <v>132</v>
      </c>
      <c r="E105" s="76" t="s">
        <v>133</v>
      </c>
      <c r="F105" s="81">
        <v>0.0</v>
      </c>
      <c r="G105" s="81">
        <v>12000.0</v>
      </c>
      <c r="H105" s="74" t="str">
        <f t="shared" si="16"/>
        <v>#DIV/0!</v>
      </c>
      <c r="I105" s="75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6.5" customHeight="1">
      <c r="A106" s="1"/>
      <c r="B106" s="75"/>
      <c r="C106" s="69"/>
      <c r="D106" s="75"/>
      <c r="E106" s="71">
        <v>4330.0</v>
      </c>
      <c r="F106" s="78">
        <f>SUM(F100:F104)</f>
        <v>110500</v>
      </c>
      <c r="G106" s="78">
        <f>SUM(G100:G105)</f>
        <v>52500</v>
      </c>
      <c r="H106" s="74">
        <f t="shared" si="16"/>
        <v>-0.5248868778</v>
      </c>
      <c r="I106" s="79">
        <v>0.0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49"/>
      <c r="D107" s="1"/>
      <c r="E107" s="1"/>
      <c r="F107" s="3"/>
      <c r="G107" s="2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98" t="s">
        <v>134</v>
      </c>
      <c r="C108" s="81">
        <f>IFERROR(__xludf.DUMMYFUNCTION("IMPORTRANGE(""https://docs.google.com/spreadsheets/d/1i4_2O56hxDkWjXCHioQ5bUAv8_1y7FkgxXxsMCbP6Y4"", ""2024!p9240_48900"")"),85000.0)</f>
        <v>85000</v>
      </c>
      <c r="D108" s="99" t="s">
        <v>135</v>
      </c>
      <c r="E108" s="75"/>
      <c r="F108" s="72"/>
      <c r="G108" s="69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75"/>
      <c r="C109" s="69"/>
      <c r="D109" s="76" t="s">
        <v>136</v>
      </c>
      <c r="E109" s="76" t="s">
        <v>137</v>
      </c>
      <c r="F109" s="81">
        <v>100000.0</v>
      </c>
      <c r="G109" s="81">
        <v>5000.0</v>
      </c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75"/>
      <c r="C110" s="69"/>
      <c r="D110" s="76" t="s">
        <v>138</v>
      </c>
      <c r="E110" s="76" t="s">
        <v>137</v>
      </c>
      <c r="F110" s="69">
        <v>3500.0</v>
      </c>
      <c r="G110" s="81">
        <v>5000.0</v>
      </c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75"/>
      <c r="C111" s="69"/>
      <c r="D111" s="76" t="s">
        <v>139</v>
      </c>
      <c r="E111" s="76" t="s">
        <v>137</v>
      </c>
      <c r="F111" s="69">
        <v>3000.0</v>
      </c>
      <c r="G111" s="81">
        <v>5000.0</v>
      </c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04"/>
      <c r="C112" s="69"/>
      <c r="D112" s="76" t="s">
        <v>140</v>
      </c>
      <c r="E112" s="76" t="s">
        <v>137</v>
      </c>
      <c r="F112" s="69">
        <v>2500.0</v>
      </c>
      <c r="G112" s="81">
        <v>5000.0</v>
      </c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04"/>
      <c r="C113" s="69"/>
      <c r="D113" s="76" t="s">
        <v>141</v>
      </c>
      <c r="E113" s="76" t="s">
        <v>137</v>
      </c>
      <c r="F113" s="69"/>
      <c r="G113" s="81">
        <v>5000.0</v>
      </c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04"/>
      <c r="C114" s="69"/>
      <c r="D114" s="76" t="s">
        <v>142</v>
      </c>
      <c r="E114" s="76" t="s">
        <v>137</v>
      </c>
      <c r="F114" s="69"/>
      <c r="G114" s="81">
        <v>5000.0</v>
      </c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04"/>
      <c r="C115" s="69"/>
      <c r="D115" s="76" t="s">
        <v>143</v>
      </c>
      <c r="E115" s="76" t="s">
        <v>137</v>
      </c>
      <c r="F115" s="69"/>
      <c r="G115" s="81">
        <v>5000.0</v>
      </c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6.5" customHeight="1">
      <c r="A116" s="1"/>
      <c r="B116" s="75"/>
      <c r="C116" s="69"/>
      <c r="D116" s="75"/>
      <c r="E116" s="77">
        <v>9240.0</v>
      </c>
      <c r="F116" s="78">
        <f t="shared" ref="F116:G116" si="17">SUM(F109:F115)</f>
        <v>109000</v>
      </c>
      <c r="G116" s="78">
        <f t="shared" si="17"/>
        <v>35000</v>
      </c>
      <c r="H116" s="4">
        <f>(G116-F116)/F116</f>
        <v>-0.6788990826</v>
      </c>
      <c r="I116" s="23">
        <v>0.0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6.5" customHeight="1">
      <c r="A117" s="1"/>
      <c r="B117" s="75"/>
      <c r="C117" s="69"/>
      <c r="D117" s="95"/>
      <c r="E117" s="75"/>
      <c r="F117" s="72"/>
      <c r="G117" s="69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6.5" customHeight="1">
      <c r="A118" s="1"/>
      <c r="B118" s="75"/>
      <c r="C118" s="69"/>
      <c r="D118" s="95"/>
      <c r="E118" s="105" t="s">
        <v>144</v>
      </c>
      <c r="F118" s="106" t="str">
        <f>SUM(F9,F26,F49,F86,F91,F106,#REF!,F53,#REF!,#REF!,#REF!)</f>
        <v>#REF!</v>
      </c>
      <c r="G118" s="106">
        <f>SUM(G9,G26,G49,G86,G91,G106,G53,G116)</f>
        <v>752250</v>
      </c>
      <c r="H118" s="4" t="str">
        <f>(G118-F118)/F118</f>
        <v>#REF!</v>
      </c>
      <c r="I118" s="23" t="str">
        <f>SUM(I9,I26,I49,I86,I91,I106,#REF!,I53,#REF!,#REF!,#REF!)</f>
        <v>#REF!</v>
      </c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6.5" customHeight="1">
      <c r="A119" s="1"/>
      <c r="B119" s="1"/>
      <c r="C119" s="2"/>
      <c r="D119" s="59"/>
      <c r="E119" s="1"/>
      <c r="F119" s="3"/>
      <c r="G119" s="2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6.5" customHeight="1">
      <c r="A120" s="1"/>
      <c r="B120" s="1"/>
      <c r="C120" s="2"/>
      <c r="D120" s="6" t="s">
        <v>145</v>
      </c>
      <c r="E120" s="1"/>
      <c r="F120" s="3"/>
      <c r="G120" s="2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2"/>
      <c r="D121" s="62"/>
      <c r="E121" s="1"/>
      <c r="F121" s="3"/>
      <c r="G121" s="2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8" t="s">
        <v>1</v>
      </c>
      <c r="C122" s="9" t="s">
        <v>2</v>
      </c>
      <c r="D122" s="10" t="s">
        <v>3</v>
      </c>
      <c r="E122" s="11" t="s">
        <v>146</v>
      </c>
      <c r="F122" s="12" t="s">
        <v>5</v>
      </c>
      <c r="G122" s="12" t="s">
        <v>6</v>
      </c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5"/>
      <c r="C123" s="15"/>
      <c r="D123" s="10" t="s">
        <v>10</v>
      </c>
      <c r="E123" s="15"/>
      <c r="F123" s="15"/>
      <c r="G123" s="1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7" t="s">
        <v>147</v>
      </c>
      <c r="C124" s="26">
        <f>IFERROR(__xludf.DUMMYFUNCTION("IMPORTRANGE(""https://docs.google.com/spreadsheets/d/1i4_2O56hxDkWjXCHioQ5bUAv8_1y7FkgxXxsMCbP6Y4"", ""2024!p1610_48900"")"),8500.0)</f>
        <v>8500</v>
      </c>
      <c r="D124" s="63" t="s">
        <v>148</v>
      </c>
      <c r="E124" s="17"/>
      <c r="F124" s="3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7"/>
      <c r="C125" s="5"/>
      <c r="D125" s="1" t="s">
        <v>149</v>
      </c>
      <c r="E125" s="1" t="s">
        <v>150</v>
      </c>
      <c r="F125" s="64">
        <v>2200.0</v>
      </c>
      <c r="G125" s="64">
        <v>2200.0</v>
      </c>
      <c r="H125" s="4">
        <f>(G125-F125)/F125</f>
        <v>0</v>
      </c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7"/>
      <c r="C126" s="7"/>
      <c r="D126" s="1"/>
      <c r="E126" s="1"/>
      <c r="F126" s="2"/>
      <c r="G126" s="2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7" t="s">
        <v>11</v>
      </c>
      <c r="C127" s="2">
        <f>IFERROR(__xludf.DUMMYFUNCTION("IMPORTRANGE(""https://docs.google.com/spreadsheets/d/1i4_2O56hxDkWjXCHioQ5bUAv8_1y7FkgxXxsMCbP6Y4"", ""2024!p1700_48900"")"),2300.0)</f>
        <v>2300</v>
      </c>
      <c r="D127" s="19" t="s">
        <v>12</v>
      </c>
      <c r="E127" s="17"/>
      <c r="F127" s="5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2"/>
      <c r="D128" s="1" t="s">
        <v>151</v>
      </c>
      <c r="E128" s="1" t="s">
        <v>152</v>
      </c>
      <c r="F128" s="65">
        <v>150.0</v>
      </c>
      <c r="G128" s="65">
        <v>150.0</v>
      </c>
      <c r="H128" s="4">
        <f>(G128-F128)/F128</f>
        <v>0</v>
      </c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2"/>
      <c r="D129" s="1"/>
      <c r="E129" s="1"/>
      <c r="F129" s="54"/>
      <c r="G129" s="54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7" t="s">
        <v>153</v>
      </c>
      <c r="C130" s="26">
        <f>IFERROR(__xludf.DUMMYFUNCTION("IMPORTRANGE(""https://docs.google.com/spreadsheets/d/1i4_2O56hxDkWjXCHioQ5bUAv8_1y7FkgxXxsMCbP6Y4"", ""2024!p1710_48900"")"),210.0)</f>
        <v>210</v>
      </c>
      <c r="D130" s="19" t="s">
        <v>154</v>
      </c>
      <c r="E130" s="17"/>
      <c r="F130" s="5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2"/>
      <c r="D131" s="1" t="s">
        <v>155</v>
      </c>
      <c r="E131" s="1" t="s">
        <v>150</v>
      </c>
      <c r="F131" s="65">
        <v>210.0</v>
      </c>
      <c r="G131" s="65">
        <v>210.0</v>
      </c>
      <c r="H131" s="4">
        <f>(G131-F131)/F131</f>
        <v>0</v>
      </c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2"/>
      <c r="D132" s="1"/>
      <c r="E132" s="1"/>
      <c r="F132" s="54"/>
      <c r="G132" s="54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7" t="s">
        <v>156</v>
      </c>
      <c r="C133" s="26">
        <f>IFERROR(__xludf.DUMMYFUNCTION("IMPORTRANGE(""https://docs.google.com/spreadsheets/d/1i4_2O56hxDkWjXCHioQ5bUAv8_1y7FkgxXxsMCbP6Y4"", ""2024!p3260_48900"")"),91400.0)</f>
        <v>91400</v>
      </c>
      <c r="D133" s="66" t="s">
        <v>157</v>
      </c>
      <c r="E133" s="1"/>
      <c r="F133" s="2"/>
      <c r="G133" s="2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7"/>
      <c r="C134" s="49"/>
      <c r="D134" s="1" t="s">
        <v>158</v>
      </c>
      <c r="E134" s="1" t="s">
        <v>150</v>
      </c>
      <c r="F134" s="64">
        <v>800.0</v>
      </c>
      <c r="G134" s="64">
        <v>800.0</v>
      </c>
      <c r="H134" s="4">
        <f>(G134-F134)/F134</f>
        <v>0</v>
      </c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7"/>
      <c r="C135" s="2"/>
      <c r="D135" s="1"/>
      <c r="E135" s="1"/>
      <c r="F135" s="2"/>
      <c r="G135" s="2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7" t="s">
        <v>50</v>
      </c>
      <c r="C136" s="2">
        <f>IFERROR(__xludf.DUMMYFUNCTION("IMPORTRANGE(""https://docs.google.com/spreadsheets/d/1i4_2O56hxDkWjXCHioQ5bUAv8_1y7FkgxXxsMCbP6Y4"", ""2024!p3340_48900"")"),104700.0)</f>
        <v>104700</v>
      </c>
      <c r="D136" s="19" t="s">
        <v>51</v>
      </c>
      <c r="E136" s="1"/>
      <c r="F136" s="2"/>
      <c r="G136" s="2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26"/>
      <c r="D137" s="1" t="s">
        <v>159</v>
      </c>
      <c r="E137" s="1" t="s">
        <v>160</v>
      </c>
      <c r="F137" s="64">
        <v>12000.0</v>
      </c>
      <c r="G137" s="64">
        <v>12000.0</v>
      </c>
      <c r="H137" s="4">
        <f>(G137-F137)/F137</f>
        <v>0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2"/>
      <c r="D138" s="1"/>
      <c r="E138" s="1"/>
      <c r="F138" s="2"/>
      <c r="G138" s="2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7" t="s">
        <v>161</v>
      </c>
      <c r="C139" s="26">
        <f>IFERROR(__xludf.DUMMYFUNCTION("IMPORTRANGE(""https://docs.google.com/spreadsheets/d/1i4_2O56hxDkWjXCHioQ5bUAv8_1y7FkgxXxsMCbP6Y4"", ""2024!p3341_48900"")"),100.0)</f>
        <v>100</v>
      </c>
      <c r="D139" s="19" t="s">
        <v>162</v>
      </c>
      <c r="E139" s="1"/>
      <c r="F139" s="2"/>
      <c r="G139" s="2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49"/>
      <c r="D140" s="1" t="s">
        <v>163</v>
      </c>
      <c r="E140" s="1" t="s">
        <v>150</v>
      </c>
      <c r="F140" s="64">
        <v>100.0</v>
      </c>
      <c r="G140" s="64">
        <v>100.0</v>
      </c>
      <c r="H140" s="4">
        <f>(G140-F140)/F140</f>
        <v>0</v>
      </c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2"/>
      <c r="D141" s="1"/>
      <c r="E141" s="1"/>
      <c r="F141" s="24"/>
      <c r="G141" s="24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49"/>
      <c r="D142" s="19" t="s">
        <v>115</v>
      </c>
      <c r="E142" s="1"/>
      <c r="F142" s="2"/>
      <c r="G142" s="2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7" t="s">
        <v>164</v>
      </c>
      <c r="C143" s="26">
        <f>IFERROR(__xludf.DUMMYFUNCTION("IMPORTRANGE(""https://docs.google.com/spreadsheets/d/1i4_2O56hxDkWjXCHioQ5bUAv8_1y7FkgxXxsMCbP6Y4"", ""2024!p4320_46700"")"),18000.0)</f>
        <v>18000</v>
      </c>
      <c r="D143" s="1" t="s">
        <v>165</v>
      </c>
      <c r="E143" s="1" t="s">
        <v>150</v>
      </c>
      <c r="F143" s="2">
        <v>18000.0</v>
      </c>
      <c r="G143" s="2">
        <v>18000.0</v>
      </c>
      <c r="H143" s="4">
        <f t="shared" ref="H143:H145" si="18">(G143-F143)/F143</f>
        <v>0</v>
      </c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7" t="s">
        <v>114</v>
      </c>
      <c r="C144" s="26">
        <f>IFERROR(__xludf.DUMMYFUNCTION("IMPORTRANGE(""https://docs.google.com/spreadsheets/d/1i4_2O56hxDkWjXCHioQ5bUAv8_1y7FkgxXxsMCbP6Y4"", ""2024!p4320_48900"")"),43700.0)</f>
        <v>43700</v>
      </c>
      <c r="D144" s="1" t="s">
        <v>166</v>
      </c>
      <c r="E144" s="1" t="s">
        <v>150</v>
      </c>
      <c r="F144" s="2">
        <v>300.0</v>
      </c>
      <c r="G144" s="2">
        <v>300.0</v>
      </c>
      <c r="H144" s="4">
        <f t="shared" si="18"/>
        <v>0</v>
      </c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6.5" customHeight="1">
      <c r="A145" s="1"/>
      <c r="B145" s="1"/>
      <c r="C145" s="49"/>
      <c r="D145" s="1"/>
      <c r="E145" s="17">
        <v>4320.0</v>
      </c>
      <c r="F145" s="22">
        <f t="shared" ref="F145:G145" si="19">SUM(F143:F144)</f>
        <v>18300</v>
      </c>
      <c r="G145" s="22">
        <f t="shared" si="19"/>
        <v>18300</v>
      </c>
      <c r="H145" s="4">
        <f t="shared" si="18"/>
        <v>0</v>
      </c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2"/>
      <c r="D146" s="1"/>
      <c r="E146" s="17"/>
      <c r="F146" s="3"/>
      <c r="G146" s="24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7" t="s">
        <v>120</v>
      </c>
      <c r="C147" s="26">
        <f>IFERROR(__xludf.DUMMYFUNCTION("IMPORTRANGE(""https://docs.google.com/spreadsheets/d/1i4_2O56hxDkWjXCHioQ5bUAv8_1y7FkgxXxsMCbP6Y4"", ""2024!p4330_48900"")"),65900.0)</f>
        <v>65900</v>
      </c>
      <c r="D147" s="19" t="s">
        <v>121</v>
      </c>
      <c r="E147" s="1"/>
      <c r="F147" s="3"/>
      <c r="G147" s="2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49"/>
      <c r="D148" s="1" t="s">
        <v>167</v>
      </c>
      <c r="E148" s="1" t="s">
        <v>150</v>
      </c>
      <c r="F148" s="2">
        <v>5000.0</v>
      </c>
      <c r="G148" s="2">
        <v>5000.0</v>
      </c>
      <c r="H148" s="4">
        <f t="shared" ref="H148:H153" si="20">(G148-F148)/F148</f>
        <v>0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2"/>
      <c r="D149" s="1" t="s">
        <v>168</v>
      </c>
      <c r="E149" s="1" t="s">
        <v>150</v>
      </c>
      <c r="F149" s="2">
        <v>2000.0</v>
      </c>
      <c r="G149" s="2">
        <v>2000.0</v>
      </c>
      <c r="H149" s="4">
        <f t="shared" si="20"/>
        <v>0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2"/>
      <c r="D150" s="1" t="s">
        <v>169</v>
      </c>
      <c r="E150" s="1" t="s">
        <v>150</v>
      </c>
      <c r="F150" s="2">
        <v>1500.0</v>
      </c>
      <c r="G150" s="2">
        <v>1500.0</v>
      </c>
      <c r="H150" s="4">
        <f t="shared" si="20"/>
        <v>0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2"/>
      <c r="D151" s="1" t="s">
        <v>170</v>
      </c>
      <c r="E151" s="1" t="s">
        <v>150</v>
      </c>
      <c r="F151" s="2">
        <v>1500.0</v>
      </c>
      <c r="G151" s="2">
        <v>1500.0</v>
      </c>
      <c r="H151" s="4">
        <f t="shared" si="20"/>
        <v>0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43"/>
      <c r="B152" s="43"/>
      <c r="C152" s="44"/>
      <c r="D152" s="20" t="s">
        <v>171</v>
      </c>
      <c r="E152" s="20" t="s">
        <v>150</v>
      </c>
      <c r="F152" s="26">
        <v>0.0</v>
      </c>
      <c r="G152" s="26">
        <v>3000.0</v>
      </c>
      <c r="H152" s="4" t="str">
        <f t="shared" si="20"/>
        <v>#DIV/0!</v>
      </c>
      <c r="I152" s="43"/>
      <c r="J152" s="43"/>
      <c r="K152" s="67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</row>
    <row r="153" ht="16.5" customHeight="1">
      <c r="A153" s="1"/>
      <c r="B153" s="1"/>
      <c r="C153" s="2"/>
      <c r="D153" s="1"/>
      <c r="E153" s="17">
        <v>4330.0</v>
      </c>
      <c r="F153" s="22">
        <f>SUM(F148:F151)</f>
        <v>10000</v>
      </c>
      <c r="G153" s="22">
        <f>SUM(G148:G152)</f>
        <v>13000</v>
      </c>
      <c r="H153" s="4">
        <f t="shared" si="20"/>
        <v>0.3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7"/>
      <c r="C154" s="2"/>
      <c r="D154" s="16"/>
      <c r="E154" s="1"/>
      <c r="F154" s="2"/>
      <c r="G154" s="2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7" t="s">
        <v>172</v>
      </c>
      <c r="C155" s="26">
        <f>IFERROR(__xludf.DUMMYFUNCTION("IMPORTRANGE(""https://docs.google.com/spreadsheets/d/1i4_2O56hxDkWjXCHioQ5bUAv8_1y7FkgxXxsMCbP6Y4"", ""2024!p9200_48900"")"),4500.0)</f>
        <v>4500</v>
      </c>
      <c r="D155" s="19" t="s">
        <v>173</v>
      </c>
      <c r="E155" s="1"/>
      <c r="F155" s="2"/>
      <c r="G155" s="2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49"/>
      <c r="D156" s="1" t="s">
        <v>151</v>
      </c>
      <c r="E156" s="1" t="s">
        <v>174</v>
      </c>
      <c r="F156" s="2">
        <v>1883.74</v>
      </c>
      <c r="G156" s="2">
        <v>1883.74</v>
      </c>
      <c r="H156" s="4">
        <f t="shared" ref="H156:H159" si="21">(G156-F156)/F156</f>
        <v>0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2"/>
      <c r="D157" s="1" t="s">
        <v>175</v>
      </c>
      <c r="E157" s="1" t="s">
        <v>174</v>
      </c>
      <c r="F157" s="2">
        <v>1343.36</v>
      </c>
      <c r="G157" s="2">
        <v>1343.36</v>
      </c>
      <c r="H157" s="4">
        <f t="shared" si="21"/>
        <v>0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2"/>
      <c r="D158" s="1" t="s">
        <v>151</v>
      </c>
      <c r="E158" s="1" t="s">
        <v>176</v>
      </c>
      <c r="F158" s="2">
        <v>1000.0</v>
      </c>
      <c r="G158" s="2">
        <v>1000.0</v>
      </c>
      <c r="H158" s="4">
        <f t="shared" si="21"/>
        <v>0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2"/>
      <c r="D159" s="1"/>
      <c r="E159" s="21">
        <v>9200.0</v>
      </c>
      <c r="F159" s="55">
        <f t="shared" ref="F159:G159" si="22">SUM(F156:F158)</f>
        <v>4227.1</v>
      </c>
      <c r="G159" s="55">
        <f t="shared" si="22"/>
        <v>4227.1</v>
      </c>
      <c r="H159" s="4">
        <f t="shared" si="21"/>
        <v>0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</sheetData>
  <mergeCells count="13">
    <mergeCell ref="B4:B5"/>
    <mergeCell ref="B122:B123"/>
    <mergeCell ref="C122:C123"/>
    <mergeCell ref="E122:E123"/>
    <mergeCell ref="F122:F123"/>
    <mergeCell ref="G122:G123"/>
    <mergeCell ref="C4:C5"/>
    <mergeCell ref="E4:E5"/>
    <mergeCell ref="F4:F5"/>
    <mergeCell ref="G4:G5"/>
    <mergeCell ref="H4:H5"/>
    <mergeCell ref="I4:I5"/>
    <mergeCell ref="J4:J5"/>
  </mergeCells>
  <conditionalFormatting sqref="H1:H159 I4:J5">
    <cfRule type="colorScale" priority="1">
      <colorScale>
        <cfvo type="formula" val="-1"/>
        <cfvo type="formula" val="0"/>
        <cfvo type="formula" val="1"/>
        <color rgb="FFB7E1CD"/>
        <color rgb="FFFFFFFF"/>
        <color rgb="FFE67C73"/>
      </colorScale>
    </cfRule>
  </conditionalFormatting>
  <printOptions/>
  <pageMargins bottom="0.75" footer="0.0" header="0.0" left="0.7" right="0.7" top="0.75"/>
  <pageSetup fitToHeight="0" paperSize="9" orientation="portrait"/>
  <headerFooter>
    <oddFooter>&amp;CPresupuesto Ayuntamiento Aranda de Duero 2024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6.71"/>
    <col customWidth="1" min="2" max="2" width="14.43"/>
    <col customWidth="1" min="3" max="3" width="11.43"/>
    <col customWidth="1" min="4" max="4" width="43.57"/>
    <col customWidth="1" min="5" max="5" width="49.0"/>
    <col customWidth="1" hidden="1" min="6" max="6" width="14.86"/>
    <col customWidth="1" min="7" max="7" width="15.71"/>
    <col customWidth="1" min="8" max="26" width="10.0"/>
  </cols>
  <sheetData>
    <row r="1" ht="15.75" customHeight="1">
      <c r="A1" s="1"/>
      <c r="B1" s="1"/>
      <c r="C1" s="2"/>
      <c r="D1" s="1"/>
      <c r="E1" s="1"/>
      <c r="F1" s="3"/>
      <c r="G1" s="2"/>
      <c r="H1" s="4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s="1"/>
      <c r="B2" s="1"/>
      <c r="C2" s="5"/>
      <c r="D2" s="6" t="s">
        <v>0</v>
      </c>
      <c r="E2" s="7"/>
      <c r="F2" s="3"/>
      <c r="G2" s="2"/>
      <c r="H2" s="4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1"/>
      <c r="B3" s="1"/>
      <c r="C3" s="2"/>
      <c r="D3" s="1"/>
      <c r="E3" s="1"/>
      <c r="F3" s="3"/>
      <c r="G3" s="2"/>
      <c r="H3" s="4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8" t="s">
        <v>1</v>
      </c>
      <c r="C4" s="9" t="s">
        <v>2</v>
      </c>
      <c r="D4" s="10" t="s">
        <v>3</v>
      </c>
      <c r="E4" s="11" t="s">
        <v>4</v>
      </c>
      <c r="F4" s="12" t="s">
        <v>5</v>
      </c>
      <c r="G4" s="12" t="s">
        <v>6</v>
      </c>
      <c r="H4" s="13" t="s">
        <v>7</v>
      </c>
      <c r="I4" s="14" t="s">
        <v>8</v>
      </c>
      <c r="J4" s="14" t="s">
        <v>9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5"/>
      <c r="C5" s="15"/>
      <c r="D5" s="10" t="s">
        <v>10</v>
      </c>
      <c r="E5" s="15"/>
      <c r="F5" s="15"/>
      <c r="G5" s="15"/>
      <c r="H5" s="15"/>
      <c r="I5" s="15"/>
      <c r="J5" s="15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7"/>
      <c r="C6" s="2"/>
      <c r="D6" s="16"/>
      <c r="E6" s="17"/>
      <c r="F6" s="3"/>
      <c r="G6" s="5"/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"/>
      <c r="B7" s="18" t="s">
        <v>11</v>
      </c>
      <c r="C7" s="2">
        <f>IFERROR(__xludf.DUMMYFUNCTION("IMPORTRANGE(""https://docs.google.com/spreadsheets/d/1i4_2O56hxDkWjXCHioQ5bUAv8_1y7FkgxXxsMCbP6Y4"", ""2024!p1700_48900"")"),2300.0)</f>
        <v>2300</v>
      </c>
      <c r="D7" s="19" t="s">
        <v>12</v>
      </c>
      <c r="E7" s="17"/>
      <c r="F7" s="3"/>
      <c r="G7" s="5"/>
      <c r="H7" s="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6.5" customHeight="1">
      <c r="A8" s="1"/>
      <c r="B8" s="18"/>
      <c r="C8" s="2"/>
      <c r="D8" s="1" t="s">
        <v>13</v>
      </c>
      <c r="E8" s="20" t="s">
        <v>14</v>
      </c>
      <c r="F8" s="2">
        <v>2000.0</v>
      </c>
      <c r="G8" s="2">
        <v>2000.0</v>
      </c>
      <c r="H8" s="4">
        <f t="shared" ref="H8:H9" si="2">(G8-F8)/F8</f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6.5" customHeight="1">
      <c r="A9" s="1"/>
      <c r="B9" s="1"/>
      <c r="C9" s="2"/>
      <c r="D9" s="1"/>
      <c r="E9" s="21">
        <v>1700.0</v>
      </c>
      <c r="F9" s="22">
        <f t="shared" ref="F9:G9" si="1">SUM(F8)</f>
        <v>2000</v>
      </c>
      <c r="G9" s="22">
        <f t="shared" si="1"/>
        <v>2000</v>
      </c>
      <c r="H9" s="4">
        <f t="shared" si="2"/>
        <v>0</v>
      </c>
      <c r="I9" s="23">
        <v>300.0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8"/>
      <c r="C10" s="2"/>
      <c r="D10" s="1"/>
      <c r="E10" s="1"/>
      <c r="F10" s="3"/>
      <c r="G10" s="24"/>
      <c r="H10" s="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8" t="s">
        <v>15</v>
      </c>
      <c r="C11" s="2">
        <f>IFERROR(__xludf.DUMMYFUNCTION("IMPORTRANGE(""https://docs.google.com/spreadsheets/d/1i4_2O56hxDkWjXCHioQ5bUAv8_1y7FkgxXxsMCbP6Y4"", ""2024!p2311_48900"")"),177910.0)</f>
        <v>177910</v>
      </c>
      <c r="D11" s="19" t="s">
        <v>16</v>
      </c>
      <c r="E11" s="1"/>
      <c r="F11" s="3"/>
      <c r="G11" s="2"/>
      <c r="H11" s="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25"/>
      <c r="C12" s="2"/>
      <c r="D12" s="1" t="s">
        <v>17</v>
      </c>
      <c r="E12" s="1" t="s">
        <v>18</v>
      </c>
      <c r="F12" s="2">
        <v>7670.0</v>
      </c>
      <c r="G12" s="26">
        <v>8000.0</v>
      </c>
      <c r="H12" s="4">
        <f t="shared" ref="H12:H26" si="3">(G12-F12)/F12</f>
        <v>0.04302477184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25"/>
      <c r="C13" s="2"/>
      <c r="D13" s="1" t="s">
        <v>19</v>
      </c>
      <c r="E13" s="1" t="s">
        <v>18</v>
      </c>
      <c r="F13" s="2">
        <v>6120.0</v>
      </c>
      <c r="G13" s="26">
        <v>6500.0</v>
      </c>
      <c r="H13" s="4">
        <f t="shared" si="3"/>
        <v>0.06209150327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25"/>
      <c r="C14" s="2"/>
      <c r="D14" s="1" t="s">
        <v>20</v>
      </c>
      <c r="E14" s="1" t="s">
        <v>18</v>
      </c>
      <c r="F14" s="2">
        <v>18500.0</v>
      </c>
      <c r="G14" s="2">
        <v>18500.0</v>
      </c>
      <c r="H14" s="4">
        <f t="shared" si="3"/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25"/>
      <c r="C15" s="2"/>
      <c r="D15" s="1" t="s">
        <v>21</v>
      </c>
      <c r="E15" s="1" t="s">
        <v>18</v>
      </c>
      <c r="F15" s="2">
        <v>5000.0</v>
      </c>
      <c r="G15" s="2">
        <v>5000.0</v>
      </c>
      <c r="H15" s="4">
        <f t="shared" si="3"/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25"/>
      <c r="C16" s="2"/>
      <c r="D16" s="1" t="s">
        <v>22</v>
      </c>
      <c r="E16" s="1" t="s">
        <v>23</v>
      </c>
      <c r="F16" s="2">
        <v>5900.0</v>
      </c>
      <c r="G16" s="26">
        <v>6000.0</v>
      </c>
      <c r="H16" s="4">
        <f t="shared" si="3"/>
        <v>0.01694915254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25"/>
      <c r="C17" s="2"/>
      <c r="D17" s="1" t="s">
        <v>24</v>
      </c>
      <c r="E17" s="1" t="s">
        <v>25</v>
      </c>
      <c r="F17" s="2">
        <v>7610.0</v>
      </c>
      <c r="G17" s="26">
        <v>8000.0</v>
      </c>
      <c r="H17" s="4">
        <f t="shared" si="3"/>
        <v>0.05124835742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2"/>
      <c r="D18" s="1" t="s">
        <v>26</v>
      </c>
      <c r="E18" s="1" t="s">
        <v>27</v>
      </c>
      <c r="F18" s="2">
        <v>7500.0</v>
      </c>
      <c r="G18" s="2">
        <v>7500.0</v>
      </c>
      <c r="H18" s="4">
        <f t="shared" si="3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2"/>
      <c r="D19" s="1" t="s">
        <v>28</v>
      </c>
      <c r="E19" s="1" t="s">
        <v>29</v>
      </c>
      <c r="F19" s="2">
        <v>2900.0</v>
      </c>
      <c r="G19" s="26">
        <v>3000.0</v>
      </c>
      <c r="H19" s="4">
        <f t="shared" si="3"/>
        <v>0.03448275862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2"/>
      <c r="D20" s="1" t="s">
        <v>30</v>
      </c>
      <c r="E20" s="1" t="s">
        <v>18</v>
      </c>
      <c r="F20" s="2">
        <v>8460.0</v>
      </c>
      <c r="G20" s="26">
        <v>8500.0</v>
      </c>
      <c r="H20" s="4">
        <f t="shared" si="3"/>
        <v>0.004728132388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2"/>
      <c r="D21" s="1" t="s">
        <v>31</v>
      </c>
      <c r="E21" s="1" t="s">
        <v>32</v>
      </c>
      <c r="F21" s="2">
        <v>4110.0</v>
      </c>
      <c r="G21" s="26">
        <v>4500.0</v>
      </c>
      <c r="H21" s="4">
        <f t="shared" si="3"/>
        <v>0.09489051095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2"/>
      <c r="D22" s="1" t="s">
        <v>33</v>
      </c>
      <c r="E22" s="1" t="s">
        <v>34</v>
      </c>
      <c r="F22" s="2">
        <v>60000.0</v>
      </c>
      <c r="G22" s="26">
        <v>80000.0</v>
      </c>
      <c r="H22" s="4">
        <f t="shared" si="3"/>
        <v>0.3333333333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2"/>
      <c r="D23" s="1" t="s">
        <v>35</v>
      </c>
      <c r="E23" s="1" t="s">
        <v>18</v>
      </c>
      <c r="F23" s="2">
        <v>10000.0</v>
      </c>
      <c r="G23" s="26">
        <v>10000.0</v>
      </c>
      <c r="H23" s="4">
        <f t="shared" si="3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2"/>
      <c r="D24" s="1" t="s">
        <v>36</v>
      </c>
      <c r="E24" s="1" t="s">
        <v>27</v>
      </c>
      <c r="F24" s="2">
        <v>2500.0</v>
      </c>
      <c r="G24" s="2">
        <v>2500.0</v>
      </c>
      <c r="H24" s="4">
        <f t="shared" si="3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2"/>
      <c r="D25" s="1" t="s">
        <v>37</v>
      </c>
      <c r="E25" s="1" t="s">
        <v>18</v>
      </c>
      <c r="F25" s="2">
        <v>2750.0</v>
      </c>
      <c r="G25" s="2">
        <v>2750.0</v>
      </c>
      <c r="H25" s="4">
        <f t="shared" si="3"/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6.5" customHeight="1">
      <c r="A26" s="1"/>
      <c r="B26" s="1"/>
      <c r="C26" s="2"/>
      <c r="D26" s="1"/>
      <c r="E26" s="17">
        <v>2311.0</v>
      </c>
      <c r="F26" s="22">
        <f t="shared" ref="F26:G26" si="4">SUM(F12:F25)</f>
        <v>149020</v>
      </c>
      <c r="G26" s="22">
        <f t="shared" si="4"/>
        <v>170750</v>
      </c>
      <c r="H26" s="4">
        <f t="shared" si="3"/>
        <v>0.1458193531</v>
      </c>
      <c r="I26" s="23">
        <v>7160.0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7"/>
      <c r="C27" s="2"/>
      <c r="D27" s="16"/>
      <c r="E27" s="1"/>
      <c r="F27" s="3"/>
      <c r="G27" s="2"/>
      <c r="H27" s="4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27"/>
      <c r="B28" s="28" t="s">
        <v>38</v>
      </c>
      <c r="C28" s="29">
        <f>IFERROR(__xludf.DUMMYFUNCTION("IMPORTRANGE(""https://docs.google.com/spreadsheets/d/1i4_2O56hxDkWjXCHioQ5bUAv8_1y7FkgxXxsMCbP6Y4"", ""2024!p2313_48900"")+SUM(G29:G30)"),107400.0)</f>
        <v>107400</v>
      </c>
      <c r="D28" s="30" t="s">
        <v>39</v>
      </c>
      <c r="E28" s="27"/>
      <c r="F28" s="31"/>
      <c r="G28" s="31"/>
      <c r="H28" s="32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ht="15.75" customHeight="1">
      <c r="A29" s="27"/>
      <c r="B29" s="33"/>
      <c r="C29" s="31"/>
      <c r="D29" s="34" t="s">
        <v>40</v>
      </c>
      <c r="E29" s="35" t="s">
        <v>41</v>
      </c>
      <c r="F29" s="36"/>
      <c r="G29" s="36">
        <v>12000.0</v>
      </c>
      <c r="H29" s="3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ht="15.75" customHeight="1">
      <c r="A30" s="27"/>
      <c r="B30" s="33"/>
      <c r="C30" s="31"/>
      <c r="D30" s="34" t="s">
        <v>42</v>
      </c>
      <c r="E30" s="35" t="s">
        <v>41</v>
      </c>
      <c r="F30" s="36"/>
      <c r="G30" s="36">
        <v>12000.0</v>
      </c>
      <c r="H30" s="3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ht="15.75" customHeight="1">
      <c r="A31" s="27"/>
      <c r="B31" s="33"/>
      <c r="C31" s="31"/>
      <c r="D31" s="34" t="s">
        <v>43</v>
      </c>
      <c r="E31" s="35" t="s">
        <v>41</v>
      </c>
      <c r="F31" s="36">
        <v>0.0</v>
      </c>
      <c r="G31" s="36">
        <v>12000.0</v>
      </c>
      <c r="H31" s="37" t="str">
        <f t="shared" ref="H31:H32" si="5">(G31-F31)/F31</f>
        <v>#DIV/0!</v>
      </c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ht="15.75" customHeight="1">
      <c r="A32" s="27"/>
      <c r="B32" s="27"/>
      <c r="C32" s="31"/>
      <c r="D32" s="34"/>
      <c r="E32" s="38">
        <v>2313.0</v>
      </c>
      <c r="F32" s="39">
        <f>SUM(F31)</f>
        <v>0</v>
      </c>
      <c r="G32" s="39">
        <f>SUM(G29:G31)</f>
        <v>36000</v>
      </c>
      <c r="H32" s="40" t="str">
        <f t="shared" si="5"/>
        <v>#DIV/0!</v>
      </c>
      <c r="I32" s="39">
        <v>7160.0</v>
      </c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ht="15.75" customHeight="1">
      <c r="A33" s="1"/>
      <c r="B33" s="7"/>
      <c r="C33" s="2"/>
      <c r="D33" s="16"/>
      <c r="E33" s="1"/>
      <c r="F33" s="3"/>
      <c r="G33" s="2"/>
      <c r="H33" s="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41" t="s">
        <v>44</v>
      </c>
      <c r="C34" s="2">
        <f>IFERROR(__xludf.DUMMYFUNCTION("IMPORTRANGE(""https://docs.google.com/spreadsheets/d/1i4_2O56hxDkWjXCHioQ5bUAv8_1y7FkgxXxsMCbP6Y4"", ""2024!p3260_48900"")"),91400.0)</f>
        <v>91400</v>
      </c>
      <c r="D34" s="42" t="s">
        <v>45</v>
      </c>
      <c r="E34" s="17"/>
      <c r="F34" s="3"/>
      <c r="G34" s="5"/>
      <c r="H34" s="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6.5" customHeight="1">
      <c r="A35" s="1"/>
      <c r="B35" s="18"/>
      <c r="C35" s="2"/>
      <c r="D35" s="20" t="s">
        <v>46</v>
      </c>
      <c r="E35" s="20" t="s">
        <v>47</v>
      </c>
      <c r="F35" s="2">
        <v>2000.0</v>
      </c>
      <c r="G35" s="2">
        <v>2000.0</v>
      </c>
      <c r="H35" s="4">
        <f>(G35-F35)/F35</f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6.5" customHeight="1">
      <c r="A36" s="1"/>
      <c r="B36" s="18"/>
      <c r="C36" s="2"/>
      <c r="D36" s="20" t="s">
        <v>48</v>
      </c>
      <c r="E36" s="20" t="s">
        <v>49</v>
      </c>
      <c r="F36" s="26">
        <v>0.0</v>
      </c>
      <c r="G36" s="26">
        <v>24000.0</v>
      </c>
      <c r="H36" s="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6.5" customHeight="1">
      <c r="A37" s="1"/>
      <c r="B37" s="1"/>
      <c r="C37" s="2"/>
      <c r="D37" s="1"/>
      <c r="E37" s="21">
        <v>3260.0</v>
      </c>
      <c r="F37" s="22">
        <f>SUM(F35)</f>
        <v>2000</v>
      </c>
      <c r="G37" s="22">
        <f>SUM(G35:G36)</f>
        <v>26000</v>
      </c>
      <c r="H37" s="4">
        <f>(G37-F37)/F37</f>
        <v>12</v>
      </c>
      <c r="I37" s="23">
        <v>300.0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7"/>
      <c r="C38" s="2"/>
      <c r="D38" s="16"/>
      <c r="E38" s="1"/>
      <c r="F38" s="3"/>
      <c r="G38" s="2"/>
      <c r="H38" s="4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7" t="s">
        <v>50</v>
      </c>
      <c r="C39" s="2">
        <f>IFERROR(__xludf.DUMMYFUNCTION("IMPORTRANGE(""https://docs.google.com/spreadsheets/d/1i4_2O56hxDkWjXCHioQ5bUAv8_1y7FkgxXxsMCbP6Y4"", ""2024!p3340_48900"")"),104700.0)</f>
        <v>104700</v>
      </c>
      <c r="D39" s="19" t="s">
        <v>51</v>
      </c>
      <c r="E39" s="1"/>
      <c r="F39" s="3"/>
      <c r="G39" s="2"/>
      <c r="H39" s="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2"/>
      <c r="D40" s="1" t="s">
        <v>52</v>
      </c>
      <c r="E40" s="1" t="s">
        <v>53</v>
      </c>
      <c r="F40" s="2">
        <v>5400.0</v>
      </c>
      <c r="G40" s="2">
        <v>5400.0</v>
      </c>
      <c r="H40" s="4">
        <f t="shared" ref="H40:H46" si="6">(G40-F40)/F40</f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2"/>
      <c r="D41" s="1" t="s">
        <v>54</v>
      </c>
      <c r="E41" s="1" t="s">
        <v>55</v>
      </c>
      <c r="F41" s="2">
        <v>16200.0</v>
      </c>
      <c r="G41" s="2">
        <v>16200.0</v>
      </c>
      <c r="H41" s="4">
        <f t="shared" si="6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2"/>
      <c r="D42" s="1" t="s">
        <v>56</v>
      </c>
      <c r="E42" s="1" t="s">
        <v>57</v>
      </c>
      <c r="F42" s="2">
        <v>15000.0</v>
      </c>
      <c r="G42" s="2">
        <v>15000.0</v>
      </c>
      <c r="H42" s="4">
        <f t="shared" si="6"/>
        <v>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43"/>
      <c r="B43" s="43"/>
      <c r="C43" s="44"/>
      <c r="D43" s="1" t="s">
        <v>58</v>
      </c>
      <c r="E43" s="1" t="s">
        <v>59</v>
      </c>
      <c r="F43" s="2">
        <v>3000.0</v>
      </c>
      <c r="G43" s="2">
        <v>3000.0</v>
      </c>
      <c r="H43" s="4">
        <f t="shared" si="6"/>
        <v>0</v>
      </c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</row>
    <row r="44" ht="15.75" customHeight="1">
      <c r="A44" s="1"/>
      <c r="B44" s="1"/>
      <c r="C44" s="2"/>
      <c r="D44" s="1" t="s">
        <v>60</v>
      </c>
      <c r="E44" s="1" t="s">
        <v>61</v>
      </c>
      <c r="F44" s="2">
        <v>5300.0</v>
      </c>
      <c r="G44" s="2">
        <v>5300.0</v>
      </c>
      <c r="H44" s="4">
        <f t="shared" si="6"/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2"/>
      <c r="D45" s="1" t="s">
        <v>62</v>
      </c>
      <c r="E45" s="1" t="s">
        <v>63</v>
      </c>
      <c r="F45" s="26">
        <v>5000.0</v>
      </c>
      <c r="G45" s="26">
        <v>7000.0</v>
      </c>
      <c r="H45" s="4">
        <f t="shared" si="6"/>
        <v>0.4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2"/>
      <c r="D46" s="1" t="s">
        <v>64</v>
      </c>
      <c r="E46" s="1" t="s">
        <v>65</v>
      </c>
      <c r="F46" s="26">
        <v>10000.0</v>
      </c>
      <c r="G46" s="26">
        <v>10000.0</v>
      </c>
      <c r="H46" s="4">
        <f t="shared" si="6"/>
        <v>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2"/>
      <c r="D47" s="20" t="s">
        <v>66</v>
      </c>
      <c r="E47" s="20" t="s">
        <v>67</v>
      </c>
      <c r="F47" s="45">
        <v>0.0</v>
      </c>
      <c r="G47" s="26">
        <v>2500.0</v>
      </c>
      <c r="H47" s="4" t="str">
        <f t="shared" ref="H47:H48" si="7">(#REF!-G47)/G47</f>
        <v>#REF!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2"/>
      <c r="D48" s="20" t="s">
        <v>68</v>
      </c>
      <c r="E48" s="20" t="s">
        <v>69</v>
      </c>
      <c r="F48" s="45">
        <v>0.0</v>
      </c>
      <c r="G48" s="26">
        <v>14000.0</v>
      </c>
      <c r="H48" s="4" t="str">
        <f t="shared" si="7"/>
        <v>#REF!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6.5" customHeight="1">
      <c r="A49" s="1"/>
      <c r="B49" s="1"/>
      <c r="C49" s="2"/>
      <c r="D49" s="1"/>
      <c r="E49" s="17">
        <v>3340.0</v>
      </c>
      <c r="F49" s="22">
        <f t="shared" ref="F49:G49" si="8">SUM(F40:F48)</f>
        <v>59900</v>
      </c>
      <c r="G49" s="22">
        <f t="shared" si="8"/>
        <v>78400</v>
      </c>
      <c r="H49" s="4">
        <f>(G49-F49)/F49</f>
        <v>0.3088480801</v>
      </c>
      <c r="I49" s="23">
        <v>24800.0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6.5" customHeight="1">
      <c r="A50" s="1"/>
      <c r="B50" s="1"/>
      <c r="C50" s="2"/>
      <c r="D50" s="1"/>
      <c r="E50" s="17"/>
      <c r="F50" s="24"/>
      <c r="G50" s="24"/>
      <c r="H50" s="4"/>
      <c r="I50" s="4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47"/>
      <c r="B51" s="7" t="s">
        <v>70</v>
      </c>
      <c r="C51" s="26">
        <f>IFERROR(__xludf.DUMMYFUNCTION("IMPORTRANGE(""https://docs.google.com/spreadsheets/d/1i4_2O56hxDkWjXCHioQ5bUAv8_1y7FkgxXxsMCbP6Y4"", ""2024!p3373_48900"")"),180000.0)</f>
        <v>180000</v>
      </c>
      <c r="D51" s="19" t="s">
        <v>71</v>
      </c>
      <c r="E51" s="47"/>
      <c r="F51" s="48"/>
      <c r="G51" s="48"/>
      <c r="H51" s="4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9"/>
      <c r="Z51" s="49"/>
    </row>
    <row r="52" ht="15.75" customHeight="1">
      <c r="A52" s="47"/>
      <c r="B52" s="50"/>
      <c r="C52" s="48"/>
      <c r="D52" s="1" t="s">
        <v>72</v>
      </c>
      <c r="E52" s="20" t="s">
        <v>73</v>
      </c>
      <c r="F52" s="51">
        <v>15000.0</v>
      </c>
      <c r="G52" s="51">
        <v>85000.0</v>
      </c>
      <c r="H52" s="4">
        <f t="shared" ref="H52:H53" si="10">(G52-F52)/F52</f>
        <v>4.666666667</v>
      </c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9"/>
      <c r="Z52" s="49"/>
    </row>
    <row r="53" ht="16.5" customHeight="1">
      <c r="A53" s="1"/>
      <c r="B53" s="1"/>
      <c r="C53" s="2"/>
      <c r="D53" s="1"/>
      <c r="E53" s="21">
        <v>3373.0</v>
      </c>
      <c r="F53" s="22">
        <f t="shared" ref="F53:G53" si="9">SUM(F52)</f>
        <v>15000</v>
      </c>
      <c r="G53" s="22">
        <f t="shared" si="9"/>
        <v>85000</v>
      </c>
      <c r="H53" s="4">
        <f t="shared" si="10"/>
        <v>4.666666667</v>
      </c>
      <c r="I53" s="23">
        <v>95000.0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2"/>
      <c r="D54" s="1"/>
      <c r="E54" s="17"/>
      <c r="F54" s="3"/>
      <c r="G54" s="24"/>
      <c r="H54" s="4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7" t="s">
        <v>74</v>
      </c>
      <c r="C55" s="26">
        <f>IFERROR(__xludf.DUMMYFUNCTION("IMPORTRANGE(""https://docs.google.com/spreadsheets/d/1i4_2O56hxDkWjXCHioQ5bUAv8_1y7FkgxXxsMCbP6Y4"", ""2024!p3410_48900"")"),339400.0)</f>
        <v>339400</v>
      </c>
      <c r="D55" s="19" t="s">
        <v>75</v>
      </c>
      <c r="E55" s="1"/>
      <c r="F55" s="3"/>
      <c r="G55" s="2"/>
      <c r="H55" s="4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7"/>
      <c r="C56" s="26"/>
      <c r="D56" s="1" t="s">
        <v>76</v>
      </c>
      <c r="E56" s="1" t="s">
        <v>77</v>
      </c>
      <c r="F56" s="2">
        <v>2000.0</v>
      </c>
      <c r="G56" s="26">
        <v>3000.0</v>
      </c>
      <c r="H56" s="4">
        <f t="shared" ref="H56:H84" si="11">(G56-F56)/F56</f>
        <v>0.5</v>
      </c>
      <c r="I56" s="20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7"/>
      <c r="C57" s="2"/>
      <c r="D57" s="1" t="s">
        <v>78</v>
      </c>
      <c r="E57" s="1" t="s">
        <v>77</v>
      </c>
      <c r="F57" s="2">
        <v>350.0</v>
      </c>
      <c r="G57" s="2">
        <v>350.0</v>
      </c>
      <c r="H57" s="4">
        <f t="shared" si="11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7"/>
      <c r="C58" s="2"/>
      <c r="D58" s="1" t="s">
        <v>79</v>
      </c>
      <c r="E58" s="1" t="s">
        <v>77</v>
      </c>
      <c r="F58" s="2">
        <v>6000.0</v>
      </c>
      <c r="G58" s="26">
        <v>21000.0</v>
      </c>
      <c r="H58" s="4">
        <f t="shared" si="11"/>
        <v>2.5</v>
      </c>
      <c r="I58" s="20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7"/>
      <c r="C59" s="2"/>
      <c r="D59" s="52" t="s">
        <v>80</v>
      </c>
      <c r="E59" s="1" t="s">
        <v>77</v>
      </c>
      <c r="F59" s="2">
        <v>500.0</v>
      </c>
      <c r="G59" s="2">
        <v>500.0</v>
      </c>
      <c r="H59" s="4">
        <f t="shared" si="11"/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7"/>
      <c r="C60" s="2"/>
      <c r="D60" s="52" t="s">
        <v>81</v>
      </c>
      <c r="E60" s="1" t="s">
        <v>77</v>
      </c>
      <c r="F60" s="53">
        <v>56000.0</v>
      </c>
      <c r="G60" s="53">
        <v>63000.0</v>
      </c>
      <c r="H60" s="4">
        <f t="shared" si="11"/>
        <v>0.125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7"/>
      <c r="C61" s="2"/>
      <c r="D61" s="1" t="s">
        <v>82</v>
      </c>
      <c r="E61" s="1" t="s">
        <v>77</v>
      </c>
      <c r="F61" s="2">
        <v>750.0</v>
      </c>
      <c r="G61" s="2">
        <v>750.0</v>
      </c>
      <c r="H61" s="4">
        <f t="shared" si="11"/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7"/>
      <c r="C62" s="2"/>
      <c r="D62" s="1" t="s">
        <v>83</v>
      </c>
      <c r="E62" s="1" t="s">
        <v>77</v>
      </c>
      <c r="F62" s="2">
        <v>2500.0</v>
      </c>
      <c r="G62" s="2">
        <v>2500.0</v>
      </c>
      <c r="H62" s="4">
        <f t="shared" si="11"/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7"/>
      <c r="C63" s="2"/>
      <c r="D63" s="1" t="s">
        <v>84</v>
      </c>
      <c r="E63" s="1" t="s">
        <v>77</v>
      </c>
      <c r="F63" s="2">
        <v>20000.0</v>
      </c>
      <c r="G63" s="2">
        <v>20000.0</v>
      </c>
      <c r="H63" s="4">
        <f t="shared" si="11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7"/>
      <c r="C64" s="2"/>
      <c r="D64" s="1" t="s">
        <v>85</v>
      </c>
      <c r="E64" s="1" t="s">
        <v>77</v>
      </c>
      <c r="F64" s="2">
        <v>14000.0</v>
      </c>
      <c r="G64" s="2">
        <v>14000.0</v>
      </c>
      <c r="H64" s="4">
        <f t="shared" si="11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7"/>
      <c r="C65" s="2"/>
      <c r="D65" s="1" t="s">
        <v>86</v>
      </c>
      <c r="E65" s="1" t="s">
        <v>77</v>
      </c>
      <c r="F65" s="2">
        <v>2000.0</v>
      </c>
      <c r="G65" s="2">
        <v>2000.0</v>
      </c>
      <c r="H65" s="4">
        <f t="shared" si="11"/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7"/>
      <c r="C66" s="2"/>
      <c r="D66" s="1" t="s">
        <v>87</v>
      </c>
      <c r="E66" s="1" t="s">
        <v>77</v>
      </c>
      <c r="F66" s="2">
        <v>3300.0</v>
      </c>
      <c r="G66" s="2">
        <v>3300.0</v>
      </c>
      <c r="H66" s="4">
        <f t="shared" si="11"/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7"/>
      <c r="C67" s="2"/>
      <c r="D67" s="1" t="s">
        <v>88</v>
      </c>
      <c r="E67" s="1" t="s">
        <v>77</v>
      </c>
      <c r="F67" s="2">
        <v>2500.0</v>
      </c>
      <c r="G67" s="2">
        <v>2500.0</v>
      </c>
      <c r="H67" s="4">
        <f t="shared" si="11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7"/>
      <c r="C68" s="2"/>
      <c r="D68" s="1" t="s">
        <v>89</v>
      </c>
      <c r="E68" s="1" t="s">
        <v>77</v>
      </c>
      <c r="F68" s="2">
        <v>1000.0</v>
      </c>
      <c r="G68" s="2">
        <v>1000.0</v>
      </c>
      <c r="H68" s="4">
        <f t="shared" si="11"/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7"/>
      <c r="C69" s="2"/>
      <c r="D69" s="1" t="s">
        <v>90</v>
      </c>
      <c r="E69" s="1" t="s">
        <v>77</v>
      </c>
      <c r="F69" s="2">
        <v>1000.0</v>
      </c>
      <c r="G69" s="26">
        <v>1500.0</v>
      </c>
      <c r="H69" s="4">
        <f t="shared" si="11"/>
        <v>0.5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7"/>
      <c r="C70" s="2"/>
      <c r="D70" s="1" t="s">
        <v>91</v>
      </c>
      <c r="E70" s="1" t="s">
        <v>77</v>
      </c>
      <c r="F70" s="2">
        <v>3000.0</v>
      </c>
      <c r="G70" s="2">
        <v>3000.0</v>
      </c>
      <c r="H70" s="4">
        <f t="shared" si="11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7"/>
      <c r="C71" s="2"/>
      <c r="D71" s="1" t="s">
        <v>92</v>
      </c>
      <c r="E71" s="1" t="s">
        <v>77</v>
      </c>
      <c r="F71" s="2">
        <v>7000.0</v>
      </c>
      <c r="G71" s="26">
        <v>7500.0</v>
      </c>
      <c r="H71" s="4">
        <f t="shared" si="11"/>
        <v>0.07142857143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7"/>
      <c r="C72" s="2"/>
      <c r="D72" s="1" t="s">
        <v>93</v>
      </c>
      <c r="E72" s="1" t="s">
        <v>77</v>
      </c>
      <c r="F72" s="2">
        <v>7500.0</v>
      </c>
      <c r="G72" s="2">
        <v>7500.0</v>
      </c>
      <c r="H72" s="4">
        <f t="shared" si="11"/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7"/>
      <c r="C73" s="2"/>
      <c r="D73" s="20" t="s">
        <v>94</v>
      </c>
      <c r="E73" s="1" t="s">
        <v>77</v>
      </c>
      <c r="F73" s="2">
        <v>2000.0</v>
      </c>
      <c r="G73" s="26">
        <v>2500.0</v>
      </c>
      <c r="H73" s="4">
        <f t="shared" si="11"/>
        <v>0.25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7"/>
      <c r="C74" s="2"/>
      <c r="D74" s="52" t="s">
        <v>95</v>
      </c>
      <c r="E74" s="1" t="s">
        <v>77</v>
      </c>
      <c r="F74" s="54">
        <v>20000.0</v>
      </c>
      <c r="G74" s="54">
        <v>20000.0</v>
      </c>
      <c r="H74" s="4">
        <f t="shared" si="11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7"/>
      <c r="C75" s="2"/>
      <c r="D75" s="1" t="s">
        <v>96</v>
      </c>
      <c r="E75" s="1" t="s">
        <v>77</v>
      </c>
      <c r="F75" s="2">
        <v>6000.0</v>
      </c>
      <c r="G75" s="2">
        <v>6000.0</v>
      </c>
      <c r="H75" s="4">
        <f t="shared" si="11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7"/>
      <c r="C76" s="2"/>
      <c r="D76" s="1" t="s">
        <v>97</v>
      </c>
      <c r="E76" s="1" t="s">
        <v>77</v>
      </c>
      <c r="F76" s="2">
        <v>1500.0</v>
      </c>
      <c r="G76" s="2">
        <v>1500.0</v>
      </c>
      <c r="H76" s="4">
        <f t="shared" si="11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7"/>
      <c r="C77" s="2"/>
      <c r="D77" s="1" t="s">
        <v>98</v>
      </c>
      <c r="E77" s="1" t="s">
        <v>77</v>
      </c>
      <c r="F77" s="2">
        <v>2000.0</v>
      </c>
      <c r="G77" s="2">
        <v>2000.0</v>
      </c>
      <c r="H77" s="4">
        <f t="shared" si="11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7"/>
      <c r="C78" s="2"/>
      <c r="D78" s="20" t="s">
        <v>99</v>
      </c>
      <c r="E78" s="1" t="s">
        <v>77</v>
      </c>
      <c r="F78" s="2">
        <v>1000.0</v>
      </c>
      <c r="G78" s="26">
        <v>1500.0</v>
      </c>
      <c r="H78" s="4">
        <f t="shared" si="11"/>
        <v>0.5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7"/>
      <c r="C79" s="2"/>
      <c r="D79" s="1" t="s">
        <v>100</v>
      </c>
      <c r="E79" s="1" t="s">
        <v>77</v>
      </c>
      <c r="F79" s="2">
        <v>2000.0</v>
      </c>
      <c r="G79" s="2">
        <v>2000.0</v>
      </c>
      <c r="H79" s="4">
        <f t="shared" si="11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7"/>
      <c r="C80" s="2"/>
      <c r="D80" s="1" t="s">
        <v>101</v>
      </c>
      <c r="E80" s="1" t="s">
        <v>77</v>
      </c>
      <c r="F80" s="2">
        <v>250.0</v>
      </c>
      <c r="G80" s="2">
        <v>250.0</v>
      </c>
      <c r="H80" s="4">
        <f t="shared" si="11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7"/>
      <c r="C81" s="2"/>
      <c r="D81" s="1" t="s">
        <v>102</v>
      </c>
      <c r="E81" s="1" t="s">
        <v>77</v>
      </c>
      <c r="F81" s="2">
        <v>450.0</v>
      </c>
      <c r="G81" s="2">
        <v>450.0</v>
      </c>
      <c r="H81" s="4">
        <f t="shared" si="11"/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2"/>
      <c r="D82" s="1" t="s">
        <v>103</v>
      </c>
      <c r="E82" s="1" t="s">
        <v>77</v>
      </c>
      <c r="F82" s="2">
        <v>8000.0</v>
      </c>
      <c r="G82" s="2">
        <v>8000.0</v>
      </c>
      <c r="H82" s="4">
        <f t="shared" si="11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2"/>
      <c r="D83" s="1" t="s">
        <v>104</v>
      </c>
      <c r="E83" s="1" t="s">
        <v>77</v>
      </c>
      <c r="F83" s="26">
        <v>63000.0</v>
      </c>
      <c r="G83" s="26">
        <v>68000.0</v>
      </c>
      <c r="H83" s="4">
        <f t="shared" si="11"/>
        <v>0.07936507937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2"/>
      <c r="D84" s="1" t="s">
        <v>105</v>
      </c>
      <c r="E84" s="1" t="s">
        <v>106</v>
      </c>
      <c r="F84" s="2">
        <v>12000.0</v>
      </c>
      <c r="G84" s="2">
        <v>12000.0</v>
      </c>
      <c r="H84" s="4">
        <f t="shared" si="11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2"/>
      <c r="D85" s="20" t="s">
        <v>107</v>
      </c>
      <c r="E85" s="20" t="s">
        <v>77</v>
      </c>
      <c r="F85" s="26">
        <v>0.0</v>
      </c>
      <c r="G85" s="26">
        <v>1000.0</v>
      </c>
      <c r="H85" s="4"/>
      <c r="I85" s="20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6.5" customHeight="1">
      <c r="A86" s="1"/>
      <c r="B86" s="1"/>
      <c r="C86" s="2"/>
      <c r="D86" s="1"/>
      <c r="E86" s="17">
        <v>3410.0</v>
      </c>
      <c r="F86" s="55">
        <f t="shared" ref="F86:G86" si="12">SUM(F56:F85)</f>
        <v>247600</v>
      </c>
      <c r="G86" s="55">
        <f t="shared" si="12"/>
        <v>278600</v>
      </c>
      <c r="H86" s="4">
        <f>(G86-F86)/F86</f>
        <v>0.1252019386</v>
      </c>
      <c r="I86" s="23">
        <v>60800.0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49"/>
      <c r="D87" s="1"/>
      <c r="E87" s="17"/>
      <c r="F87" s="2"/>
      <c r="G87" s="56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7" t="s">
        <v>108</v>
      </c>
      <c r="C88" s="26">
        <f>IFERROR(__xludf.DUMMYFUNCTION("IMPORTRANGE(""https://docs.google.com/spreadsheets/d/1i4_2O56hxDkWjXCHioQ5bUAv8_1y7FkgxXxsMCbP6Y4"", ""2024!p4310_48900"")"),50000.0)</f>
        <v>50000</v>
      </c>
      <c r="D88" s="19" t="s">
        <v>109</v>
      </c>
      <c r="E88" s="1"/>
      <c r="F88" s="3"/>
      <c r="G88" s="2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2"/>
      <c r="D89" s="1" t="s">
        <v>110</v>
      </c>
      <c r="E89" s="1" t="s">
        <v>111</v>
      </c>
      <c r="F89" s="26">
        <v>50000.0</v>
      </c>
      <c r="G89" s="26">
        <v>30000.0</v>
      </c>
      <c r="H89" s="4">
        <f t="shared" ref="H89:H91" si="13">(G89-F89)/F89</f>
        <v>-0.4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3.5" customHeight="1">
      <c r="A90" s="43"/>
      <c r="B90" s="43"/>
      <c r="C90" s="44"/>
      <c r="D90" s="1" t="s">
        <v>112</v>
      </c>
      <c r="E90" s="1" t="s">
        <v>113</v>
      </c>
      <c r="F90" s="26">
        <v>20000.0</v>
      </c>
      <c r="G90" s="26">
        <v>20000.0</v>
      </c>
      <c r="H90" s="4">
        <f t="shared" si="13"/>
        <v>0</v>
      </c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</row>
    <row r="91" ht="16.5" customHeight="1">
      <c r="A91" s="1"/>
      <c r="B91" s="1"/>
      <c r="C91" s="2"/>
      <c r="D91" s="1"/>
      <c r="E91" s="17">
        <v>4310.0</v>
      </c>
      <c r="F91" s="22">
        <f t="shared" ref="F91:G91" si="14">SUM(F89:F90)</f>
        <v>70000</v>
      </c>
      <c r="G91" s="22">
        <f t="shared" si="14"/>
        <v>50000</v>
      </c>
      <c r="H91" s="4">
        <f t="shared" si="13"/>
        <v>-0.2857142857</v>
      </c>
      <c r="I91" s="23">
        <v>0.0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6.5" customHeight="1">
      <c r="A92" s="1"/>
      <c r="B92" s="1"/>
      <c r="C92" s="2"/>
      <c r="D92" s="1"/>
      <c r="E92" s="17"/>
      <c r="F92" s="24"/>
      <c r="G92" s="24"/>
      <c r="H92" s="4"/>
      <c r="I92" s="4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47"/>
      <c r="B93" s="57" t="s">
        <v>114</v>
      </c>
      <c r="C93" s="26">
        <f>IFERROR(__xludf.DUMMYFUNCTION("IMPORTRANGE(""https://docs.google.com/spreadsheets/d/1i4_2O56hxDkWjXCHioQ5bUAv8_1y7FkgxXxsMCbP6Y4"", ""2024!p4320_48900"")"),43700.0)</f>
        <v>43700</v>
      </c>
      <c r="D93" s="42" t="s">
        <v>115</v>
      </c>
      <c r="E93" s="47"/>
      <c r="F93" s="48"/>
      <c r="G93" s="48"/>
      <c r="H93" s="4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9"/>
      <c r="Z93" s="49"/>
    </row>
    <row r="94" ht="16.5" customHeight="1">
      <c r="A94" s="1"/>
      <c r="B94" s="1"/>
      <c r="C94" s="2"/>
      <c r="D94" s="20" t="s">
        <v>116</v>
      </c>
      <c r="E94" s="20" t="s">
        <v>117</v>
      </c>
      <c r="F94" s="45">
        <v>0.0</v>
      </c>
      <c r="G94" s="45">
        <v>24000.0</v>
      </c>
      <c r="H94" s="4"/>
      <c r="I94" s="4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7"/>
      <c r="C95" s="26"/>
      <c r="D95" s="1" t="s">
        <v>118</v>
      </c>
      <c r="E95" s="1" t="s">
        <v>119</v>
      </c>
      <c r="F95" s="2">
        <v>9000.0</v>
      </c>
      <c r="G95" s="2">
        <v>9000.0</v>
      </c>
      <c r="H95" s="4">
        <f t="shared" ref="H95:H96" si="15">(G95-F95)/F95</f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6.5" customHeight="1">
      <c r="A96" s="1"/>
      <c r="B96" s="1"/>
      <c r="C96" s="2"/>
      <c r="D96" s="1"/>
      <c r="E96" s="21">
        <v>4320.0</v>
      </c>
      <c r="F96" s="22">
        <f>SUM(F94)</f>
        <v>0</v>
      </c>
      <c r="G96" s="22">
        <f>SUM(G94:G95)</f>
        <v>33000</v>
      </c>
      <c r="H96" s="4" t="str">
        <f t="shared" si="15"/>
        <v>#DIV/0!</v>
      </c>
      <c r="I96" s="23">
        <v>95000.0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6.5" customHeight="1">
      <c r="A97" s="1"/>
      <c r="B97" s="1"/>
      <c r="C97" s="2"/>
      <c r="D97" s="1"/>
      <c r="E97" s="17"/>
      <c r="F97" s="24"/>
      <c r="G97" s="24"/>
      <c r="H97" s="4"/>
      <c r="I97" s="4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6.5" customHeight="1">
      <c r="A98" s="1"/>
      <c r="B98" s="1"/>
      <c r="C98" s="2"/>
      <c r="D98" s="1"/>
      <c r="E98" s="17"/>
      <c r="F98" s="24"/>
      <c r="G98" s="24"/>
      <c r="H98" s="4"/>
      <c r="I98" s="4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7" t="s">
        <v>120</v>
      </c>
      <c r="C99" s="26">
        <f>IFERROR(__xludf.DUMMYFUNCTION("IMPORTRANGE(""https://docs.google.com/spreadsheets/d/1i4_2O56hxDkWjXCHioQ5bUAv8_1y7FkgxXxsMCbP6Y4"", ""2024!p4330_48900"")"),65900.0)</f>
        <v>65900</v>
      </c>
      <c r="D99" s="19" t="s">
        <v>121</v>
      </c>
      <c r="E99" s="1"/>
      <c r="F99" s="3"/>
      <c r="G99" s="2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2"/>
      <c r="D100" s="20" t="s">
        <v>122</v>
      </c>
      <c r="E100" s="1" t="s">
        <v>123</v>
      </c>
      <c r="F100" s="26">
        <v>100000.0</v>
      </c>
      <c r="G100" s="26">
        <v>30000.0</v>
      </c>
      <c r="H100" s="4">
        <f t="shared" ref="H100:H106" si="16">(G100-F100)/F100</f>
        <v>-0.7</v>
      </c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2"/>
      <c r="D101" s="1" t="s">
        <v>124</v>
      </c>
      <c r="E101" s="1" t="s">
        <v>125</v>
      </c>
      <c r="F101" s="2">
        <v>3500.0</v>
      </c>
      <c r="G101" s="2">
        <v>3500.0</v>
      </c>
      <c r="H101" s="4">
        <f t="shared" si="16"/>
        <v>0</v>
      </c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2"/>
      <c r="D102" s="1" t="s">
        <v>126</v>
      </c>
      <c r="E102" s="1" t="s">
        <v>127</v>
      </c>
      <c r="F102" s="2">
        <v>3000.0</v>
      </c>
      <c r="G102" s="2">
        <v>3000.0</v>
      </c>
      <c r="H102" s="4">
        <f t="shared" si="16"/>
        <v>0</v>
      </c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58"/>
      <c r="C103" s="2"/>
      <c r="D103" s="1" t="s">
        <v>128</v>
      </c>
      <c r="E103" s="1" t="s">
        <v>129</v>
      </c>
      <c r="F103" s="2">
        <v>2500.0</v>
      </c>
      <c r="G103" s="2">
        <v>2500.0</v>
      </c>
      <c r="H103" s="4">
        <f t="shared" si="16"/>
        <v>0</v>
      </c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58"/>
      <c r="C104" s="2"/>
      <c r="D104" s="1" t="s">
        <v>130</v>
      </c>
      <c r="E104" s="20" t="s">
        <v>131</v>
      </c>
      <c r="F104" s="2">
        <v>1500.0</v>
      </c>
      <c r="G104" s="2">
        <v>1500.0</v>
      </c>
      <c r="H104" s="4">
        <f t="shared" si="16"/>
        <v>0</v>
      </c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2"/>
      <c r="D105" s="20" t="s">
        <v>132</v>
      </c>
      <c r="E105" s="20" t="s">
        <v>133</v>
      </c>
      <c r="F105" s="26">
        <v>0.0</v>
      </c>
      <c r="G105" s="26">
        <v>12000.0</v>
      </c>
      <c r="H105" s="4" t="str">
        <f t="shared" si="16"/>
        <v>#DIV/0!</v>
      </c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6.5" customHeight="1">
      <c r="A106" s="1"/>
      <c r="B106" s="1"/>
      <c r="C106" s="2"/>
      <c r="D106" s="1"/>
      <c r="E106" s="17">
        <v>4330.0</v>
      </c>
      <c r="F106" s="22">
        <f>SUM(F100:F104)</f>
        <v>110500</v>
      </c>
      <c r="G106" s="22">
        <f>SUM(G100:G105)</f>
        <v>52500</v>
      </c>
      <c r="H106" s="4">
        <f t="shared" si="16"/>
        <v>-0.5248868778</v>
      </c>
      <c r="I106" s="23">
        <v>0.0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6.5" customHeight="1">
      <c r="A107" s="1"/>
      <c r="B107" s="1"/>
      <c r="C107" s="2"/>
      <c r="D107" s="1"/>
      <c r="E107" s="17"/>
      <c r="F107" s="24"/>
      <c r="G107" s="24"/>
      <c r="H107" s="4"/>
      <c r="I107" s="46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57" t="s">
        <v>134</v>
      </c>
      <c r="C108" s="26">
        <v>85000.0</v>
      </c>
      <c r="D108" s="42" t="s">
        <v>135</v>
      </c>
      <c r="E108" s="1"/>
      <c r="F108" s="3"/>
      <c r="G108" s="2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2"/>
      <c r="D109" s="20" t="s">
        <v>136</v>
      </c>
      <c r="E109" s="20" t="s">
        <v>137</v>
      </c>
      <c r="F109" s="26">
        <v>100000.0</v>
      </c>
      <c r="G109" s="26">
        <v>5000.0</v>
      </c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2"/>
      <c r="D110" s="20" t="s">
        <v>138</v>
      </c>
      <c r="E110" s="20" t="s">
        <v>137</v>
      </c>
      <c r="F110" s="2">
        <v>3500.0</v>
      </c>
      <c r="G110" s="26">
        <v>5000.0</v>
      </c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2"/>
      <c r="D111" s="20" t="s">
        <v>139</v>
      </c>
      <c r="E111" s="20" t="s">
        <v>137</v>
      </c>
      <c r="F111" s="2">
        <v>3000.0</v>
      </c>
      <c r="G111" s="26">
        <v>5000.0</v>
      </c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58"/>
      <c r="C112" s="2"/>
      <c r="D112" s="20" t="s">
        <v>140</v>
      </c>
      <c r="E112" s="20" t="s">
        <v>137</v>
      </c>
      <c r="F112" s="2">
        <v>2500.0</v>
      </c>
      <c r="G112" s="26">
        <v>5000.0</v>
      </c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58"/>
      <c r="C113" s="2"/>
      <c r="D113" s="20" t="s">
        <v>141</v>
      </c>
      <c r="E113" s="20" t="s">
        <v>137</v>
      </c>
      <c r="F113" s="2"/>
      <c r="G113" s="26">
        <v>5000.0</v>
      </c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58"/>
      <c r="C114" s="2"/>
      <c r="D114" s="20" t="s">
        <v>142</v>
      </c>
      <c r="E114" s="20" t="s">
        <v>137</v>
      </c>
      <c r="F114" s="2"/>
      <c r="G114" s="26">
        <v>5000.0</v>
      </c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58"/>
      <c r="C115" s="2"/>
      <c r="D115" s="20" t="s">
        <v>143</v>
      </c>
      <c r="E115" s="20" t="s">
        <v>137</v>
      </c>
      <c r="F115" s="2"/>
      <c r="G115" s="26">
        <v>5000.0</v>
      </c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6.5" customHeight="1">
      <c r="A116" s="1"/>
      <c r="B116" s="1"/>
      <c r="C116" s="2"/>
      <c r="D116" s="1"/>
      <c r="E116" s="21">
        <v>9240.0</v>
      </c>
      <c r="F116" s="22">
        <f t="shared" ref="F116:G116" si="17">SUM(F109:F115)</f>
        <v>109000</v>
      </c>
      <c r="G116" s="22">
        <f t="shared" si="17"/>
        <v>35000</v>
      </c>
      <c r="H116" s="4">
        <f>(G116-F116)/F116</f>
        <v>-0.6788990826</v>
      </c>
      <c r="I116" s="23">
        <v>0.0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6.5" customHeight="1">
      <c r="A117" s="1"/>
      <c r="B117" s="1"/>
      <c r="C117" s="2"/>
      <c r="D117" s="59"/>
      <c r="E117" s="1"/>
      <c r="F117" s="3"/>
      <c r="G117" s="2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6.5" customHeight="1">
      <c r="A118" s="1"/>
      <c r="B118" s="1"/>
      <c r="C118" s="2"/>
      <c r="D118" s="59"/>
      <c r="E118" s="60" t="s">
        <v>144</v>
      </c>
      <c r="F118" s="61" t="str">
        <f>SUM(F9,F26,F49,F86,F91,F106,#REF!,F53,#REF!,#REF!,#REF!)</f>
        <v>#REF!</v>
      </c>
      <c r="G118" s="61">
        <f>SUM(G9,G26,G49,G86,G91,G106,G53,G116)</f>
        <v>752250</v>
      </c>
      <c r="H118" s="4" t="str">
        <f>(G118-F118)/F118</f>
        <v>#REF!</v>
      </c>
      <c r="I118" s="23" t="str">
        <f>SUM(I9,I26,I49,I86,I91,I106,#REF!,I53,#REF!,#REF!,#REF!)</f>
        <v>#REF!</v>
      </c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6.5" customHeight="1">
      <c r="A119" s="1"/>
      <c r="B119" s="1"/>
      <c r="C119" s="2"/>
      <c r="D119" s="59"/>
      <c r="E119" s="1"/>
      <c r="F119" s="3"/>
      <c r="G119" s="2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6.5" customHeight="1">
      <c r="A120" s="1"/>
      <c r="B120" s="1"/>
      <c r="C120" s="2"/>
      <c r="D120" s="6" t="s">
        <v>145</v>
      </c>
      <c r="E120" s="1"/>
      <c r="F120" s="3"/>
      <c r="G120" s="2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2"/>
      <c r="D121" s="62"/>
      <c r="E121" s="1"/>
      <c r="F121" s="3"/>
      <c r="G121" s="2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8" t="s">
        <v>1</v>
      </c>
      <c r="C122" s="9" t="s">
        <v>2</v>
      </c>
      <c r="D122" s="10" t="s">
        <v>3</v>
      </c>
      <c r="E122" s="11" t="s">
        <v>146</v>
      </c>
      <c r="F122" s="12" t="s">
        <v>5</v>
      </c>
      <c r="G122" s="12" t="s">
        <v>6</v>
      </c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5"/>
      <c r="C123" s="15"/>
      <c r="D123" s="10" t="s">
        <v>10</v>
      </c>
      <c r="E123" s="15"/>
      <c r="F123" s="15"/>
      <c r="G123" s="1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7" t="s">
        <v>147</v>
      </c>
      <c r="C124" s="26">
        <f>IFERROR(__xludf.DUMMYFUNCTION("IMPORTRANGE(""https://docs.google.com/spreadsheets/d/1i4_2O56hxDkWjXCHioQ5bUAv8_1y7FkgxXxsMCbP6Y4"", ""2024!p1610_48900"")"),8500.0)</f>
        <v>8500</v>
      </c>
      <c r="D124" s="63" t="s">
        <v>148</v>
      </c>
      <c r="E124" s="17"/>
      <c r="F124" s="3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7"/>
      <c r="C125" s="5"/>
      <c r="D125" s="1" t="s">
        <v>149</v>
      </c>
      <c r="E125" s="1" t="s">
        <v>150</v>
      </c>
      <c r="F125" s="64">
        <v>2200.0</v>
      </c>
      <c r="G125" s="64">
        <v>2200.0</v>
      </c>
      <c r="H125" s="4">
        <f>(G125-F125)/F125</f>
        <v>0</v>
      </c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7"/>
      <c r="C126" s="7"/>
      <c r="D126" s="1"/>
      <c r="E126" s="1"/>
      <c r="F126" s="2"/>
      <c r="G126" s="2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7" t="s">
        <v>11</v>
      </c>
      <c r="C127" s="2">
        <f>IFERROR(__xludf.DUMMYFUNCTION("IMPORTRANGE(""https://docs.google.com/spreadsheets/d/1i4_2O56hxDkWjXCHioQ5bUAv8_1y7FkgxXxsMCbP6Y4"", ""2024!p1700_48900"")"),2300.0)</f>
        <v>2300</v>
      </c>
      <c r="D127" s="19" t="s">
        <v>12</v>
      </c>
      <c r="E127" s="17"/>
      <c r="F127" s="5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2"/>
      <c r="D128" s="1" t="s">
        <v>151</v>
      </c>
      <c r="E128" s="1" t="s">
        <v>152</v>
      </c>
      <c r="F128" s="65">
        <v>150.0</v>
      </c>
      <c r="G128" s="65">
        <v>150.0</v>
      </c>
      <c r="H128" s="4">
        <f>(G128-F128)/F128</f>
        <v>0</v>
      </c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2"/>
      <c r="D129" s="1"/>
      <c r="E129" s="1"/>
      <c r="F129" s="54"/>
      <c r="G129" s="54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7" t="s">
        <v>153</v>
      </c>
      <c r="C130" s="26">
        <f>IFERROR(__xludf.DUMMYFUNCTION("IMPORTRANGE(""https://docs.google.com/spreadsheets/d/1i4_2O56hxDkWjXCHioQ5bUAv8_1y7FkgxXxsMCbP6Y4"", ""2024!p1710_48900"")"),210.0)</f>
        <v>210</v>
      </c>
      <c r="D130" s="19" t="s">
        <v>154</v>
      </c>
      <c r="E130" s="17"/>
      <c r="F130" s="5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2"/>
      <c r="D131" s="1" t="s">
        <v>155</v>
      </c>
      <c r="E131" s="1" t="s">
        <v>150</v>
      </c>
      <c r="F131" s="65">
        <v>210.0</v>
      </c>
      <c r="G131" s="65">
        <v>210.0</v>
      </c>
      <c r="H131" s="4">
        <f>(G131-F131)/F131</f>
        <v>0</v>
      </c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2"/>
      <c r="D132" s="1"/>
      <c r="E132" s="1"/>
      <c r="F132" s="54"/>
      <c r="G132" s="54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7" t="s">
        <v>156</v>
      </c>
      <c r="C133" s="26">
        <f>IFERROR(__xludf.DUMMYFUNCTION("IMPORTRANGE(""https://docs.google.com/spreadsheets/d/1i4_2O56hxDkWjXCHioQ5bUAv8_1y7FkgxXxsMCbP6Y4"", ""2024!p3260_48900"")"),91400.0)</f>
        <v>91400</v>
      </c>
      <c r="D133" s="66" t="s">
        <v>157</v>
      </c>
      <c r="E133" s="1"/>
      <c r="F133" s="2"/>
      <c r="G133" s="2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7"/>
      <c r="C134" s="49"/>
      <c r="D134" s="1" t="s">
        <v>158</v>
      </c>
      <c r="E134" s="1" t="s">
        <v>150</v>
      </c>
      <c r="F134" s="64">
        <v>800.0</v>
      </c>
      <c r="G134" s="64">
        <v>800.0</v>
      </c>
      <c r="H134" s="4">
        <f>(G134-F134)/F134</f>
        <v>0</v>
      </c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7"/>
      <c r="C135" s="2"/>
      <c r="D135" s="1"/>
      <c r="E135" s="1"/>
      <c r="F135" s="2"/>
      <c r="G135" s="2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7" t="s">
        <v>50</v>
      </c>
      <c r="C136" s="2">
        <f>IFERROR(__xludf.DUMMYFUNCTION("IMPORTRANGE(""https://docs.google.com/spreadsheets/d/1i4_2O56hxDkWjXCHioQ5bUAv8_1y7FkgxXxsMCbP6Y4"", ""2024!p3340_48900"")"),104700.0)</f>
        <v>104700</v>
      </c>
      <c r="D136" s="19" t="s">
        <v>51</v>
      </c>
      <c r="E136" s="1"/>
      <c r="F136" s="2"/>
      <c r="G136" s="2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26"/>
      <c r="D137" s="1" t="s">
        <v>159</v>
      </c>
      <c r="E137" s="1" t="s">
        <v>160</v>
      </c>
      <c r="F137" s="64">
        <v>12000.0</v>
      </c>
      <c r="G137" s="64">
        <v>12000.0</v>
      </c>
      <c r="H137" s="4">
        <f>(G137-F137)/F137</f>
        <v>0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2"/>
      <c r="D138" s="1"/>
      <c r="E138" s="1"/>
      <c r="F138" s="2"/>
      <c r="G138" s="2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7" t="s">
        <v>161</v>
      </c>
      <c r="C139" s="26">
        <f>IFERROR(__xludf.DUMMYFUNCTION("IMPORTRANGE(""https://docs.google.com/spreadsheets/d/1i4_2O56hxDkWjXCHioQ5bUAv8_1y7FkgxXxsMCbP6Y4"", ""2024!p3341_48900"")"),100.0)</f>
        <v>100</v>
      </c>
      <c r="D139" s="19" t="s">
        <v>162</v>
      </c>
      <c r="E139" s="1"/>
      <c r="F139" s="2"/>
      <c r="G139" s="2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49"/>
      <c r="D140" s="1" t="s">
        <v>163</v>
      </c>
      <c r="E140" s="1" t="s">
        <v>150</v>
      </c>
      <c r="F140" s="64">
        <v>100.0</v>
      </c>
      <c r="G140" s="64">
        <v>100.0</v>
      </c>
      <c r="H140" s="4">
        <f>(G140-F140)/F140</f>
        <v>0</v>
      </c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2"/>
      <c r="D141" s="1"/>
      <c r="E141" s="1"/>
      <c r="F141" s="24"/>
      <c r="G141" s="24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49"/>
      <c r="D142" s="19" t="s">
        <v>115</v>
      </c>
      <c r="E142" s="1"/>
      <c r="F142" s="2"/>
      <c r="G142" s="2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7" t="s">
        <v>164</v>
      </c>
      <c r="C143" s="26">
        <f>IFERROR(__xludf.DUMMYFUNCTION("IMPORTRANGE(""https://docs.google.com/spreadsheets/d/1i4_2O56hxDkWjXCHioQ5bUAv8_1y7FkgxXxsMCbP6Y4"", ""2024!p4320_46700"")"),18000.0)</f>
        <v>18000</v>
      </c>
      <c r="D143" s="1" t="s">
        <v>165</v>
      </c>
      <c r="E143" s="1" t="s">
        <v>150</v>
      </c>
      <c r="F143" s="2">
        <v>18000.0</v>
      </c>
      <c r="G143" s="2">
        <v>18000.0</v>
      </c>
      <c r="H143" s="4">
        <f t="shared" ref="H143:H145" si="18">(G143-F143)/F143</f>
        <v>0</v>
      </c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7" t="s">
        <v>114</v>
      </c>
      <c r="C144" s="26">
        <f>IFERROR(__xludf.DUMMYFUNCTION("IMPORTRANGE(""https://docs.google.com/spreadsheets/d/1i4_2O56hxDkWjXCHioQ5bUAv8_1y7FkgxXxsMCbP6Y4"", ""2024!p4320_48900"")"),43700.0)</f>
        <v>43700</v>
      </c>
      <c r="D144" s="1" t="s">
        <v>166</v>
      </c>
      <c r="E144" s="1" t="s">
        <v>150</v>
      </c>
      <c r="F144" s="2">
        <v>300.0</v>
      </c>
      <c r="G144" s="2">
        <v>300.0</v>
      </c>
      <c r="H144" s="4">
        <f t="shared" si="18"/>
        <v>0</v>
      </c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6.5" customHeight="1">
      <c r="A145" s="1"/>
      <c r="B145" s="1"/>
      <c r="C145" s="49"/>
      <c r="D145" s="1"/>
      <c r="E145" s="17">
        <v>4320.0</v>
      </c>
      <c r="F145" s="22">
        <f t="shared" ref="F145:G145" si="19">SUM(F143:F144)</f>
        <v>18300</v>
      </c>
      <c r="G145" s="22">
        <f t="shared" si="19"/>
        <v>18300</v>
      </c>
      <c r="H145" s="4">
        <f t="shared" si="18"/>
        <v>0</v>
      </c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2"/>
      <c r="D146" s="1"/>
      <c r="E146" s="17"/>
      <c r="F146" s="3"/>
      <c r="G146" s="24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7" t="s">
        <v>120</v>
      </c>
      <c r="C147" s="26">
        <f>IFERROR(__xludf.DUMMYFUNCTION("IMPORTRANGE(""https://docs.google.com/spreadsheets/d/1i4_2O56hxDkWjXCHioQ5bUAv8_1y7FkgxXxsMCbP6Y4"", ""2024!p4330_48900"")"),65900.0)</f>
        <v>65900</v>
      </c>
      <c r="D147" s="19" t="s">
        <v>121</v>
      </c>
      <c r="E147" s="1"/>
      <c r="F147" s="3"/>
      <c r="G147" s="2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49"/>
      <c r="D148" s="1" t="s">
        <v>167</v>
      </c>
      <c r="E148" s="1" t="s">
        <v>150</v>
      </c>
      <c r="F148" s="2">
        <v>5000.0</v>
      </c>
      <c r="G148" s="2">
        <v>5000.0</v>
      </c>
      <c r="H148" s="4">
        <f t="shared" ref="H148:H153" si="20">(G148-F148)/F148</f>
        <v>0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2"/>
      <c r="D149" s="1" t="s">
        <v>168</v>
      </c>
      <c r="E149" s="1" t="s">
        <v>150</v>
      </c>
      <c r="F149" s="2">
        <v>2000.0</v>
      </c>
      <c r="G149" s="2">
        <v>2000.0</v>
      </c>
      <c r="H149" s="4">
        <f t="shared" si="20"/>
        <v>0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2"/>
      <c r="D150" s="1" t="s">
        <v>169</v>
      </c>
      <c r="E150" s="1" t="s">
        <v>150</v>
      </c>
      <c r="F150" s="2">
        <v>1500.0</v>
      </c>
      <c r="G150" s="2">
        <v>1500.0</v>
      </c>
      <c r="H150" s="4">
        <f t="shared" si="20"/>
        <v>0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2"/>
      <c r="D151" s="1" t="s">
        <v>170</v>
      </c>
      <c r="E151" s="1" t="s">
        <v>150</v>
      </c>
      <c r="F151" s="2">
        <v>1500.0</v>
      </c>
      <c r="G151" s="2">
        <v>1500.0</v>
      </c>
      <c r="H151" s="4">
        <f t="shared" si="20"/>
        <v>0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43"/>
      <c r="B152" s="43"/>
      <c r="C152" s="44"/>
      <c r="D152" s="20" t="s">
        <v>171</v>
      </c>
      <c r="E152" s="20" t="s">
        <v>150</v>
      </c>
      <c r="F152" s="26">
        <v>0.0</v>
      </c>
      <c r="G152" s="26">
        <v>3000.0</v>
      </c>
      <c r="H152" s="4" t="str">
        <f t="shared" si="20"/>
        <v>#DIV/0!</v>
      </c>
      <c r="I152" s="43"/>
      <c r="J152" s="43"/>
      <c r="K152" s="67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</row>
    <row r="153" ht="16.5" customHeight="1">
      <c r="A153" s="1"/>
      <c r="B153" s="1"/>
      <c r="C153" s="2"/>
      <c r="D153" s="1"/>
      <c r="E153" s="17">
        <v>4330.0</v>
      </c>
      <c r="F153" s="22">
        <f>SUM(F148:F151)</f>
        <v>10000</v>
      </c>
      <c r="G153" s="22">
        <f>SUM(G148:G152)</f>
        <v>13000</v>
      </c>
      <c r="H153" s="4">
        <f t="shared" si="20"/>
        <v>0.3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7"/>
      <c r="C154" s="2"/>
      <c r="D154" s="16"/>
      <c r="E154" s="1"/>
      <c r="F154" s="2"/>
      <c r="G154" s="2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7" t="s">
        <v>172</v>
      </c>
      <c r="C155" s="26">
        <f>IFERROR(__xludf.DUMMYFUNCTION("IMPORTRANGE(""https://docs.google.com/spreadsheets/d/1i4_2O56hxDkWjXCHioQ5bUAv8_1y7FkgxXxsMCbP6Y4"", ""2024!p9200_48900"")"),4500.0)</f>
        <v>4500</v>
      </c>
      <c r="D155" s="19" t="s">
        <v>173</v>
      </c>
      <c r="E155" s="1"/>
      <c r="F155" s="2"/>
      <c r="G155" s="2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49"/>
      <c r="D156" s="1" t="s">
        <v>151</v>
      </c>
      <c r="E156" s="1" t="s">
        <v>174</v>
      </c>
      <c r="F156" s="2">
        <v>1883.74</v>
      </c>
      <c r="G156" s="2">
        <v>1883.74</v>
      </c>
      <c r="H156" s="4">
        <f t="shared" ref="H156:H159" si="21">(G156-F156)/F156</f>
        <v>0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2"/>
      <c r="D157" s="1" t="s">
        <v>175</v>
      </c>
      <c r="E157" s="1" t="s">
        <v>174</v>
      </c>
      <c r="F157" s="2">
        <v>1343.36</v>
      </c>
      <c r="G157" s="2">
        <v>1343.36</v>
      </c>
      <c r="H157" s="4">
        <f t="shared" si="21"/>
        <v>0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2"/>
      <c r="D158" s="1" t="s">
        <v>151</v>
      </c>
      <c r="E158" s="1" t="s">
        <v>176</v>
      </c>
      <c r="F158" s="2">
        <v>1000.0</v>
      </c>
      <c r="G158" s="2">
        <v>1000.0</v>
      </c>
      <c r="H158" s="4">
        <f t="shared" si="21"/>
        <v>0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2"/>
      <c r="D159" s="1"/>
      <c r="E159" s="21">
        <v>9200.0</v>
      </c>
      <c r="F159" s="55">
        <f t="shared" ref="F159:G159" si="22">SUM(F156:F158)</f>
        <v>4227.1</v>
      </c>
      <c r="G159" s="55">
        <f t="shared" si="22"/>
        <v>4227.1</v>
      </c>
      <c r="H159" s="4">
        <f t="shared" si="21"/>
        <v>0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</sheetData>
  <mergeCells count="13">
    <mergeCell ref="B4:B5"/>
    <mergeCell ref="B122:B123"/>
    <mergeCell ref="C122:C123"/>
    <mergeCell ref="E122:E123"/>
    <mergeCell ref="F122:F123"/>
    <mergeCell ref="G122:G123"/>
    <mergeCell ref="C4:C5"/>
    <mergeCell ref="E4:E5"/>
    <mergeCell ref="F4:F5"/>
    <mergeCell ref="G4:G5"/>
    <mergeCell ref="H4:H5"/>
    <mergeCell ref="I4:I5"/>
    <mergeCell ref="J4:J5"/>
  </mergeCells>
  <conditionalFormatting sqref="H1:H159 I4:J5">
    <cfRule type="colorScale" priority="1">
      <colorScale>
        <cfvo type="formula" val="-1"/>
        <cfvo type="formula" val="0"/>
        <cfvo type="formula" val="1"/>
        <color rgb="FFB7E1CD"/>
        <color rgb="FFFFFFFF"/>
        <color rgb="FFE67C73"/>
      </colorScale>
    </cfRule>
  </conditionalFormatting>
  <printOptions/>
  <pageMargins bottom="0.75" footer="0.0" header="0.0" left="0.7" right="0.7" top="0.75"/>
  <pageSetup fitToHeight="0" paperSize="9" orientation="portrait"/>
  <headerFooter>
    <oddFooter>&amp;CPresupuesto Ayuntamiento Aranda de Duero 2024</oddFooter>
  </headerFooter>
  <drawing r:id="rId1"/>
</worksheet>
</file>