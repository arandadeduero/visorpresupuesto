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" sheetId="1" r:id="rId5"/>
    <sheet state="visible" name="Hoja 2" sheetId="2" r:id="rId6"/>
    <sheet state="visible" name="2024_enm" sheetId="3" r:id="rId7"/>
    <sheet state="visible" name="2024_PSOE" sheetId="4" r:id="rId8"/>
    <sheet state="visible" name="2024_ORIG" sheetId="5" r:id="rId9"/>
    <sheet state="visible" name="2024_VOX" sheetId="6" r:id="rId10"/>
    <sheet state="visible" name="2024_LISTA_FINAL" sheetId="7" r:id="rId11"/>
    <sheet state="visible" name="2024_PRIORIZADO" sheetId="8" r:id="rId12"/>
    <sheet state="visible" name="2023" sheetId="9" r:id="rId13"/>
    <sheet state="visible" name="Copia de 2023" sheetId="10" r:id="rId14"/>
    <sheet state="visible" name="2024_LISTADO" sheetId="11" r:id="rId15"/>
  </sheets>
  <definedNames>
    <definedName name="p2310_632">'2024'!$I$102</definedName>
    <definedName name="p1510_626">'2024'!$J$24</definedName>
    <definedName localSheetId="2" name="p1710_619">'2024_enm'!$J$91</definedName>
    <definedName name="p1510_632">'2024'!$J$29</definedName>
    <definedName name="p4330_609">'2024'!$I$201</definedName>
    <definedName localSheetId="3" name="SUMA_AFECTADO">'2024_PSOE'!$G$210</definedName>
    <definedName name="p1522_650">'2024'!$I$36</definedName>
    <definedName name="p1610_623">'2024'!$J$69</definedName>
    <definedName localSheetId="2" name="p1320_623">'2024_enm'!$J$6</definedName>
    <definedName name="p3380_623">'2024'!$I$165</definedName>
    <definedName name="p3420_632">'2024'!$I$179</definedName>
    <definedName name="p3321_626">'2024'!$J$121</definedName>
    <definedName name="p3340_623">'2024'!$J$134</definedName>
    <definedName localSheetId="2" name="p3261_629">'2024_enm'!$I$112</definedName>
    <definedName localSheetId="2" name="p4320_629">#REF!</definedName>
    <definedName name="p1640_622">'2024'!$I$83</definedName>
    <definedName name="p1610_619">'2024'!$J$65</definedName>
    <definedName localSheetId="3" name="SUMA_REMANENTES">'2024_PSOE'!$D$210</definedName>
    <definedName localSheetId="2" name="p1610_623">'2024_enm'!$J$69</definedName>
    <definedName name="p1320_623">'2024'!$J$6</definedName>
    <definedName name="p3330_650">'2024'!$I$131</definedName>
    <definedName localSheetId="2" name="p3330_650">'2024_enm'!$I$131</definedName>
    <definedName name="SUMA_TOTAL">'2024'!$C$221</definedName>
    <definedName name="SUMA_AFECTADO">'2024'!$G$221</definedName>
    <definedName localSheetId="2" name="p1710_635">#REF!</definedName>
    <definedName localSheetId="2" name="p1610_619">'2024_enm'!$J$65</definedName>
    <definedName localSheetId="2" name="SUMA_AFECTADO">'2024_enm'!$G$221</definedName>
    <definedName name="p9200_622">#REF!</definedName>
    <definedName name="p1640_623">'2024'!$I$82</definedName>
    <definedName localSheetId="2" name="p1610_629">#REF!</definedName>
    <definedName localSheetId="2" name="SUMA_PROPIO">'2024_enm'!$E$221</definedName>
    <definedName localSheetId="2" name="p4320_624">'2024_enm'!$J$188</definedName>
    <definedName localSheetId="2" name="p3340_623">'2024_enm'!$J$134</definedName>
    <definedName name="p4320_619">'2024'!$J$184</definedName>
    <definedName localSheetId="3" name="SUMA_TOTAL">'2024_PSOE'!$C$210</definedName>
    <definedName name="p3340_632">'2024'!$I$140</definedName>
    <definedName name="p1650_623">#REF!</definedName>
    <definedName name="p9200_626">'2024'!$J$209</definedName>
    <definedName localSheetId="2" name="p9200_622">#REF!</definedName>
    <definedName localSheetId="2" name="p1340_609">'2024_enm'!$I$21</definedName>
    <definedName localSheetId="2" name="p3373_629">'2024_enm'!$I$156</definedName>
    <definedName localSheetId="2" name="p1700_619">#REF!</definedName>
    <definedName name="p1710_635">#REF!</definedName>
    <definedName name="p3372_629">'2024'!$I$151</definedName>
    <definedName localSheetId="2" name="p4540_619">'2024_enm'!$I$206</definedName>
    <definedName localSheetId="2" name="p1510_626">'2024_enm'!$J$24</definedName>
    <definedName localSheetId="2" name="p4590_609">#REF!</definedName>
    <definedName name="p1700_619">#REF!</definedName>
    <definedName localSheetId="2" name="p3262_629">'2024_enm'!$I$118</definedName>
    <definedName localSheetId="2" name="p9200_629">'2024_enm'!$J$212</definedName>
    <definedName name="p1600_619">'2024'!$I$62</definedName>
    <definedName localSheetId="2" name="p4320_689">#REF!</definedName>
    <definedName name="p4320_629">'2024'!$J$190</definedName>
    <definedName localSheetId="2" name="p1530_619">'2024_enm'!$I$54</definedName>
    <definedName name="p1320_641">'2024'!$J$9</definedName>
    <definedName localSheetId="2" name="p1320_641">'2024_enm'!$J$9</definedName>
    <definedName localSheetId="2" name="p3380_623">'2024_enm'!$I$165</definedName>
    <definedName name="p3373_629">'2024'!$I$156</definedName>
    <definedName localSheetId="2" name="p1640_609">'2024_enm'!$I$80</definedName>
    <definedName localSheetId="2" name="p3372_629">'2024_enm'!$I$151</definedName>
    <definedName localSheetId="3" name="SUMA_PROPIO">'2024_PSOE'!$E$210</definedName>
    <definedName name="p9290_632">'2024'!$I$219</definedName>
    <definedName localSheetId="2" name="p4320_619">'2024_enm'!$J$184</definedName>
    <definedName name="p3321_635">'2024'!$I$125</definedName>
    <definedName name="p1330_609">'2024'!$I$16</definedName>
    <definedName localSheetId="2" name="p4330_609">'2024_enm'!$I$201</definedName>
    <definedName localSheetId="2" name="p3370_632">'2024_enm'!$I$146</definedName>
    <definedName name="p1640_609">'2024'!$I$80</definedName>
    <definedName name="SUMA_REMANENTES">'2024'!$D$221</definedName>
    <definedName name="p9200_629">'2024'!$J$212</definedName>
    <definedName name="p1710_619">'2024'!$J$91</definedName>
    <definedName localSheetId="2" name="p4320_609">#REF!</definedName>
    <definedName localSheetId="2" name="p3321_626">'2024_enm'!$J$121</definedName>
    <definedName localSheetId="2" name="p1510_632">'2024_enm'!$J$29</definedName>
    <definedName localSheetId="2" name="p1600_619">'2024_enm'!$I$62</definedName>
    <definedName name="p3262_629">'2024'!$I$118</definedName>
    <definedName localSheetId="2" name="p1640_623">'2024_enm'!$I$82</definedName>
    <definedName localSheetId="2" name="p1522_650">'2024_enm'!$I$36</definedName>
    <definedName localSheetId="2" name="p1330_609">'2024_enm'!$I$16</definedName>
    <definedName name="p4320_689">'2024'!$J$193</definedName>
    <definedName localSheetId="2" name="p9200_626">'2024_enm'!$J$209</definedName>
    <definedName localSheetId="2" name="p1640_622">'2024_enm'!$I$83</definedName>
    <definedName name="p1610_629">#REF!</definedName>
    <definedName localSheetId="2" name="SUMA_REMANENTES">'2024_enm'!$D$221</definedName>
    <definedName name="p4320_609">'2024'!$J$182</definedName>
    <definedName name="p4590_609">#REF!</definedName>
    <definedName name="p4320_622">'2024'!$J$186</definedName>
    <definedName name="p4540_619">'2024'!$I$206</definedName>
    <definedName localSheetId="2" name="p1650_623">#REF!</definedName>
    <definedName localSheetId="2" name="SUMA_TOTAL">'2024_enm'!$C$221</definedName>
    <definedName localSheetId="2" name="p3110_609">'2024_enm'!$I$107</definedName>
    <definedName name="p3261_629">'2024'!$I$112</definedName>
    <definedName name="p1650_609">'2024'!$I$88</definedName>
    <definedName name="p3370_632">'2024'!$I$146</definedName>
    <definedName name="SUMA_PROPIO">'2024'!$E$221</definedName>
    <definedName localSheetId="2" name="p9290_632">'2024_enm'!$I$219</definedName>
    <definedName name="p1340_609">'2024'!$I$21</definedName>
    <definedName localSheetId="2" name="p3321_635">'2024_enm'!$I$125</definedName>
    <definedName localSheetId="2" name="p3340_632">'2024_enm'!$I$140</definedName>
    <definedName name="p1530_619">'2024'!$I$54</definedName>
    <definedName name="p3110_609">'2024'!$I$107</definedName>
    <definedName localSheetId="2" name="p3420_632">'2024_enm'!$I$179</definedName>
    <definedName name="p4320_624">'2024'!$J$188</definedName>
    <definedName localSheetId="2" name="P4320_622">#REF!</definedName>
    <definedName localSheetId="2" name="p2310_632">'2024_enm'!$I$102</definedName>
    <definedName hidden="1" localSheetId="7" name="_xlnm._FilterDatabase">'2024_PRIORIZADO'!$J$1:$J$218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tc={2aca9917-4839-40bf-baf0-6a920c9cd64a}</author>
    <author>tc={2c1902ee-7ed6-49c4-a2c3-4d454dbe903b}</author>
    <author>tc={55f4faf3-3bb6-4aee-87a0-e891c308b8c9}</author>
    <author>tc={61a10395-341e-43bc-a5cf-790b96dbef5e}</author>
    <author>tc={7560b46b-44a0-494f-8a29-ff3f2990250a}</author>
    <author>tc={98137bf5-6ebe-4fa5-80ed-e65d8a95d508}</author>
    <author>tc={cfbdf9d3-dbd3-4449-b40b-98801761a2b8}</author>
    <author>tc={d22ea554-a505-4e5a-9886-b052f6bc9f94}</author>
  </authors>
  <commentList>
    <comment authorId="0" xr:uid="{2aca9917-4839-40bf-baf0-6a920c9cd64a}" ref="B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preguntar qué es
</t>
      </text>
    </comment>
    <comment authorId="1" xr:uid="{2c1902ee-7ed6-49c4-a2c3-4d454dbe90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Preguntar si se puede hacer inversión mientras hay contrato @belen@sentiraranda.es
Asignado a belen@sentiraranda.es
Reply:
	Parece que sí se puede hacer, porque el contrato es de mantenimiento y cesión, pero no de inversión.
</t>
      </text>
    </comment>
    <comment authorId="2" xr:uid="{55f4faf3-3bb6-4aee-87a0-e891c308b8c9}" ref="C1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546.193,20€ de modificado
</t>
      </text>
    </comment>
    <comment authorId="3" xr:uid="{61a10395-341e-43bc-a5cf-790b96dbef5e}" ref="C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Sería: lo presupuestado en 2023 - pagado en 2023 + modificado
</t>
      </text>
    </comment>
    <comment authorId="4" xr:uid="{7560b46b-44a0-494f-8a29-ff3f299025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Igual ya se encargó el proyecto
Reply:
	Alfonso dice que sí está hecho. Comprobarlo @ana@sentiraranda.es
</t>
      </text>
    </comment>
    <comment authorId="5" xr:uid="{98137bf5-6ebe-4fa5-80ed-e65d8a95d508}" ref="B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preguntar qué es
</t>
      </text>
    </comment>
    <comment authorId="6" xr:uid="{cfbdf9d3-dbd3-4449-b40b-98801761a2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por parte de Vox
</t>
      </text>
    </comment>
    <comment authorId="7" xr:uid="{d22ea554-a505-4e5a-9886-b052f6bc9f94}" ref="B2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@antonio@sentiraranda.es cambiar el texto
Asignado a antonio@sentiraranda.es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tc={19922472-d838-467d-9cdc-e9153b0f5693}</author>
    <author>tc={993f179c-34ef-4e85-b661-b424dee79aa3}</author>
    <author>tc={cc5f5029-dffb-4246-a202-f9e678776d82}</author>
  </authors>
  <commentList>
    <comment authorId="0" xr:uid="{19922472-d838-467d-9cdc-e9153b0f5693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P: Avenida de Burgos hacia Calle Pizarro?
</t>
      </text>
    </comment>
    <comment authorId="1" xr:uid="{993f179c-34ef-4e85-b661-b424dee79aa3}" ref="B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P: ¿camino lateral al río?
</t>
      </text>
    </comment>
    <comment authorId="2" xr:uid="{cc5f5029-dffb-4246-a202-f9e678776d82}" ref="B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Realizar más parques caninos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tc={1b969264-2c15-4da0-b628-15ea160ec178}</author>
    <author>tc={5f64d7a0-2191-49a7-be99-7324083412d8}</author>
  </authors>
  <commentList>
    <comment authorId="0" xr:uid="{1b969264-2c15-4da0-b628-15ea160ec178}" ref="B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@juanma@sentiraranda.es hay que mirar si es para policía y vale para bomberos, duplico partida
Asignado a juanma@sentiraranda.es
Reply:
	Bomberos me ha puesto 300.000 
Cada walkie cuesta 1000 euros yo creomque ese importe de bomberos es muy elevado
</t>
      </text>
    </comment>
    <comment authorId="1" xr:uid="{5f64d7a0-2191-49a7-be99-7324083412d8}" ref="B1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@ana@sentiraranda.es entender qué es esto en concreto
Asignado a ana@sentiraranda.es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tc={0031a695-ac62-4326-b2e4-5670a23db34e}</author>
    <author>tc={aeb5ce3f-f8c9-44f3-a45f-2583253ac32c}</author>
    <author>tc={da5c0d17-7177-4cac-a9c6-1222ee71e1b8}</author>
  </authors>
  <commentList>
    <comment authorId="0" xr:uid="{0031a695-ac62-4326-b2e4-5670a23db34e}" ref="B1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 lo mimso que el anterior???
</t>
      </text>
    </comment>
    <comment authorId="1" xr:uid="{aeb5ce3f-f8c9-44f3-a45f-2583253ac32c}" ref="B1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Ordenadores: 50
Pantallas: 50
Cascos: 30
Teclados: 30
Ratones: 30
Proyectores: 3
Televisores con peana: 3
Cámaras web: 3
Jabra / micrófonos: 3
</t>
      </text>
    </comment>
    <comment authorId="2" xr:uid="{da5c0d17-7177-4cac-a9c6-1222ee71e1b8}" ref="B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Yo lo dejaría porque deberíamos tenerlo en un plan más ambicioso de reforma de edificios (Manuel, agente innovación)
</t>
      </text>
    </comment>
  </commentList>
</comments>
</file>

<file path=xl/sharedStrings.xml><?xml version="1.0" encoding="utf-8"?>
<sst xmlns="http://schemas.openxmlformats.org/spreadsheetml/2006/main" count="2572" uniqueCount="566">
  <si>
    <t>ANEXO INVERSIONES REALES 2024</t>
  </si>
  <si>
    <t>PRÉSTAMO</t>
  </si>
  <si>
    <t>PARTIDA/CÓDIGO</t>
  </si>
  <si>
    <t>PROYECTO</t>
  </si>
  <si>
    <t>IMPORTE</t>
  </si>
  <si>
    <t>INGRESOS CORRIENTES</t>
  </si>
  <si>
    <t>ENAJEN. INVERSIONES</t>
  </si>
  <si>
    <t>REMANENTE DE TESORERÍA AFECTADO (CAP 8)</t>
  </si>
  <si>
    <t>QUITADO</t>
  </si>
  <si>
    <t>SUBVENC.</t>
  </si>
  <si>
    <t>TOTAL</t>
  </si>
  <si>
    <t>OTROS</t>
  </si>
  <si>
    <t>1320</t>
  </si>
  <si>
    <t>SEGURIDAD</t>
  </si>
  <si>
    <t>Otras inversiones nuevas asociadas al funcionamiento operativo de los servicios</t>
  </si>
  <si>
    <t>2 etilómetros</t>
  </si>
  <si>
    <t>Maquinaria, instalaciones y utillaje</t>
  </si>
  <si>
    <t>MOVILIDAD URBANA E INTERURBANA</t>
  </si>
  <si>
    <t>Otras inver. reposición infraest. y b. destinados uso gral.</t>
  </si>
  <si>
    <t>Carril bici Sol de las Moreras - Tapias Blancas</t>
  </si>
  <si>
    <t>001/2024</t>
  </si>
  <si>
    <t>Sistema portátil velocidad</t>
  </si>
  <si>
    <t>1510</t>
  </si>
  <si>
    <t>URBANISMO</t>
  </si>
  <si>
    <t>Inversiones de carácter inmaterial</t>
  </si>
  <si>
    <t>619</t>
  </si>
  <si>
    <t>Otras inversiones de reposición en infraestructuras y bienes destinados al uso general</t>
  </si>
  <si>
    <t>Inversión en árboles</t>
  </si>
  <si>
    <t>002/2024</t>
  </si>
  <si>
    <t>Software policía</t>
  </si>
  <si>
    <t>Sustitución de unidad exterior aire acondicionado edificio Obras y Urbanismo</t>
  </si>
  <si>
    <t>629</t>
  </si>
  <si>
    <t>Licencia anual CAD LT (3 unidades)</t>
  </si>
  <si>
    <t>Actualización 7 licencias CAD LT</t>
  </si>
  <si>
    <t>Asistencia técnica RECITE</t>
  </si>
  <si>
    <t>Base de precios (para Presto)</t>
  </si>
  <si>
    <t>1330</t>
  </si>
  <si>
    <t>1522</t>
  </si>
  <si>
    <t>VIVIENDA</t>
  </si>
  <si>
    <t>ORDENACIÓN DEL TRÁFICO Y ESTACIONAMIENTO</t>
  </si>
  <si>
    <t>651</t>
  </si>
  <si>
    <t>Inversiones gestionadas por otros entes</t>
  </si>
  <si>
    <t>TOTAL INGR-GASTO</t>
  </si>
  <si>
    <t>005/2023</t>
  </si>
  <si>
    <t>REMANENTES</t>
  </si>
  <si>
    <t>Restante</t>
  </si>
  <si>
    <t>Rehabilitación viviendas Junta Santa Catalina</t>
  </si>
  <si>
    <t>SUMA INVERSIONES</t>
  </si>
  <si>
    <t>Suma sin 2023</t>
  </si>
  <si>
    <t>Otras inversiones nuevas en infraestructuras y bienes destinados al uso general</t>
  </si>
  <si>
    <t>003/2024</t>
  </si>
  <si>
    <t>Instalación grupo peatonal en cruce bomberos - Avda Luis Mateos</t>
  </si>
  <si>
    <t>VÍAS PÚBLICAS URBANAS</t>
  </si>
  <si>
    <t>Otras inver. de reposicion de infraest. y b. destinados uso gral.</t>
  </si>
  <si>
    <t>PRIORIDAD</t>
  </si>
  <si>
    <t>JUSTIFICACIÓN</t>
  </si>
  <si>
    <t>4320 609</t>
  </si>
  <si>
    <t>006/2023</t>
  </si>
  <si>
    <t>Reurbanización ARU Santa Catalina</t>
  </si>
  <si>
    <t>Diseño y adecuación de senderos locales "Ribera, monte y viñedo"</t>
  </si>
  <si>
    <t>Otras inver. nuevas infraest. y b. destinados uso gral.</t>
  </si>
  <si>
    <t>4320 619</t>
  </si>
  <si>
    <t>Obras reurbanización parcial c/ Carrequemada</t>
  </si>
  <si>
    <t>Recuperación de los ríos como corredores ambientales y turísticos</t>
  </si>
  <si>
    <t>004/2024</t>
  </si>
  <si>
    <t>Pagado 2023</t>
  </si>
  <si>
    <t>4320 622</t>
  </si>
  <si>
    <t>003-1/2022</t>
  </si>
  <si>
    <t>Obras reurbanización Jardines de don Diego</t>
  </si>
  <si>
    <t>Construcción Centro de recepción de visitantes EFICIENCIA ENERGÉTICA</t>
  </si>
  <si>
    <t>Construcción Centro de recepción de visitantes RESTO ACTUACIONES</t>
  </si>
  <si>
    <t>007/2023</t>
  </si>
  <si>
    <t>Obras reparación Puente Bigar</t>
  </si>
  <si>
    <t>4320 629</t>
  </si>
  <si>
    <t>Proyecto "Aranda Patrimonio Digital"</t>
  </si>
  <si>
    <t>Obras reurbanización parcial c/ San Gregorio</t>
  </si>
  <si>
    <t>4320 689</t>
  </si>
  <si>
    <t>Mobilirario artístico de arraigo y topofilia</t>
  </si>
  <si>
    <t>4320 624</t>
  </si>
  <si>
    <t>Lanzadera con bus eléctrico a bodegas elaboradoras</t>
  </si>
  <si>
    <t>4320 227.99</t>
  </si>
  <si>
    <t>Creación del equipo de gestión turística</t>
  </si>
  <si>
    <t>Fase II de Traseras San Esteban</t>
  </si>
  <si>
    <t>CENTRO CIVICO</t>
  </si>
  <si>
    <t>Ampliación de las aceras de Simón de Colonia</t>
  </si>
  <si>
    <t>Aquí arriba ^^Capítulo 8</t>
  </si>
  <si>
    <t>Vía lateral colegio Claret</t>
  </si>
  <si>
    <t>Escaleras parque Península - Puente Conchuela</t>
  </si>
  <si>
    <t>626</t>
  </si>
  <si>
    <t>Equipos para procesos información</t>
  </si>
  <si>
    <t>PP + PSOE</t>
  </si>
  <si>
    <t>Redacción el proyecto Tubilla</t>
  </si>
  <si>
    <t>005/2024</t>
  </si>
  <si>
    <t>ALTA</t>
  </si>
  <si>
    <t>Proyecto auditorio</t>
  </si>
  <si>
    <t>V</t>
  </si>
  <si>
    <t xml:space="preserve">Velas para parques </t>
  </si>
  <si>
    <t>1610</t>
  </si>
  <si>
    <t>ABASTECIMIENTO Y DISTRIBUCIÓN DE AGUAS</t>
  </si>
  <si>
    <t>632</t>
  </si>
  <si>
    <t>Edificios y otras construcciones</t>
  </si>
  <si>
    <t>V+SA</t>
  </si>
  <si>
    <t xml:space="preserve">Arreglo vestuarios y baños de la piscina calabaza. </t>
  </si>
  <si>
    <t>Reposición saneamiento Costaján</t>
  </si>
  <si>
    <t>&lt;-- igual ya está en los cambios de remanentes de deportes, comprobar</t>
  </si>
  <si>
    <t>1530 619</t>
  </si>
  <si>
    <t>1710 619</t>
  </si>
  <si>
    <t xml:space="preserve">Rampa emergencia (desembocadura Arandilla) </t>
  </si>
  <si>
    <t>Reparación aliviadero Mediquín</t>
  </si>
  <si>
    <t>Escaleras parque Península</t>
  </si>
  <si>
    <t>006/2024</t>
  </si>
  <si>
    <t>Cerramientos Cerro de los Perros</t>
  </si>
  <si>
    <t>Pintar canchas (María Pacheco y barrio La Estación)</t>
  </si>
  <si>
    <t>Reposición saneamiento Santo Domingo</t>
  </si>
  <si>
    <t>Parque canino educativo</t>
  </si>
  <si>
    <t>Construcción tubería Tubilla</t>
  </si>
  <si>
    <t>Carril bici Sol de las morenas - Tapias blancas</t>
  </si>
  <si>
    <t>Parece demasiado si es la calle pizarro</t>
  </si>
  <si>
    <t>V+(PIU)</t>
  </si>
  <si>
    <t>Tumbas cementerio</t>
  </si>
  <si>
    <t>PIU</t>
  </si>
  <si>
    <t>623</t>
  </si>
  <si>
    <t>Suministro medidor de oxígeno para trabajos en espacios confinados</t>
  </si>
  <si>
    <t>Maquinaria, instalaciones técnicas y utillaje</t>
  </si>
  <si>
    <t>Repuesto cloradores</t>
  </si>
  <si>
    <t>Suministro para reposición de tubería de acero de D.150 para camisa pozos</t>
  </si>
  <si>
    <t>Servicio y suministro mantenimiento medidores de cloro/turbidímetro</t>
  </si>
  <si>
    <t>650</t>
  </si>
  <si>
    <t>Inversiones gestionadas para otros entes</t>
  </si>
  <si>
    <t>PROPIETARIOS ARU</t>
  </si>
  <si>
    <t>Suministro EPIS y amianto</t>
  </si>
  <si>
    <t>Reparación aliviadero mediquín</t>
  </si>
  <si>
    <t>Cerramientos cerro de los perros</t>
  </si>
  <si>
    <t>Plan de regeneración de agua urbana</t>
  </si>
  <si>
    <t>Plan/Proyecto de regeneración de agua urbana</t>
  </si>
  <si>
    <t>Proyecto reparación emisario Río Bañuelos</t>
  </si>
  <si>
    <t>Estudios (Proyecto reparación emisario Río Bañuelos, actualización proyecto la Calabaza, mejora calidad de agua Costaján)</t>
  </si>
  <si>
    <t>Actualización proyecto La Calabaza</t>
  </si>
  <si>
    <t>&lt;-- agrupar estas 4</t>
  </si>
  <si>
    <t>Estudio actuaciones mejora calidad de agua Costaján</t>
  </si>
  <si>
    <t>Maniquíes escuela de folklore</t>
  </si>
  <si>
    <t>PIU+C</t>
  </si>
  <si>
    <t>Adquisición instrumentos musicales</t>
  </si>
  <si>
    <t>SA</t>
  </si>
  <si>
    <t>OBLIGATORIO PISCINA CUBIERTA</t>
  </si>
  <si>
    <t>OBLIGATORIO</t>
  </si>
  <si>
    <t>ENAJENACIONES</t>
  </si>
  <si>
    <t>SA+Vox</t>
  </si>
  <si>
    <t>Baños portátiles</t>
  </si>
  <si>
    <t>1630</t>
  </si>
  <si>
    <t>LIMPIEZA VIARIA</t>
  </si>
  <si>
    <t>https://www.toitoi.es/producto/toi-pipi-1/</t>
  </si>
  <si>
    <t>Construcción de baños públicos</t>
  </si>
  <si>
    <t>003-2/2022</t>
  </si>
  <si>
    <t>Dirección de obra Jardines de Don Diego</t>
  </si>
  <si>
    <t>SA + concj</t>
  </si>
  <si>
    <t>9200 / 629</t>
  </si>
  <si>
    <t>Material informático</t>
  </si>
  <si>
    <t>CEMENTERIO</t>
  </si>
  <si>
    <t>007/2024</t>
  </si>
  <si>
    <t>SA+IU</t>
  </si>
  <si>
    <t>1510 / 619</t>
  </si>
  <si>
    <t>Inversión en parques y jardines y árboles</t>
  </si>
  <si>
    <t>Construcción sepulturas</t>
  </si>
  <si>
    <t>SA+PIU</t>
  </si>
  <si>
    <t>Inversión en mobiliario urbano</t>
  </si>
  <si>
    <t>Descensor de féretros y lápidas</t>
  </si>
  <si>
    <t>Museo del tren</t>
  </si>
  <si>
    <t>Ludoteca</t>
  </si>
  <si>
    <t>Compra local + adecentar Asoc. Vecinos SSCC</t>
  </si>
  <si>
    <t>1650</t>
  </si>
  <si>
    <t>C</t>
  </si>
  <si>
    <t>ALUMBRADO PÚBLICO</t>
  </si>
  <si>
    <t>Arco y magnetizador mostrador y videoteca</t>
  </si>
  <si>
    <t>Reparación y tapizado sillones sala de estudio (2a planta Biblioteca)</t>
  </si>
  <si>
    <t>Equipo de visionado 32 pulgadas (Reproductor de dvd, pantalla y auriculares)</t>
  </si>
  <si>
    <t>2 etilómetros (Policía)</t>
  </si>
  <si>
    <t>Planes autoprotección SM + JCH</t>
  </si>
  <si>
    <t>(Alumbrado) Equipos para procesos de información</t>
  </si>
  <si>
    <t>Tablet</t>
  </si>
  <si>
    <t>Certificación reparación y mejora aceras peatonales (2020/7876F)</t>
  </si>
  <si>
    <t>1700</t>
  </si>
  <si>
    <t>(Alumbrado) Instalación grupo peatonal en cruce bomberos - avda Luis Mateos</t>
  </si>
  <si>
    <t>ADMINISTRACIÓN GENERAL DE MEDIO AMBIENTE</t>
  </si>
  <si>
    <t>Remodelación Plaza Sorolla</t>
  </si>
  <si>
    <t>Mantenimiento de arbolado y vegetación fuera de casco urbano</t>
  </si>
  <si>
    <t>Remodelación Plaza del Mediterráneo</t>
  </si>
  <si>
    <t>Salubridad pública (control colonias felinas)</t>
  </si>
  <si>
    <t>Redacción proyecto Plaza Sinovas</t>
  </si>
  <si>
    <t>008/2024</t>
  </si>
  <si>
    <t>Inversión en elementos vegetales y de ornamentación</t>
  </si>
  <si>
    <t>Obras reurbanización Jardines de Don Diego</t>
  </si>
  <si>
    <t>Incluye modificados I y II (15% s./Proy inic.)</t>
  </si>
  <si>
    <t>Educación ambiental</t>
  </si>
  <si>
    <t>????</t>
  </si>
  <si>
    <t>Inversión en mobiliario urbano (bancos, papeleras…)</t>
  </si>
  <si>
    <t>Obras reparación Puente Nuevo Padre Claret</t>
  </si>
  <si>
    <t>Incluye modificado I</t>
  </si>
  <si>
    <t>!!!!</t>
  </si>
  <si>
    <t>MEDIA</t>
  </si>
  <si>
    <t>Dirección Facultativa obras Plaza España Sinovas</t>
  </si>
  <si>
    <t>1710</t>
  </si>
  <si>
    <t>PARQUES Y JARDINES</t>
  </si>
  <si>
    <t>Fotocopiadora (1 ud.)</t>
  </si>
  <si>
    <t>622</t>
  </si>
  <si>
    <t>Parque General Gutiérrez</t>
  </si>
  <si>
    <t>Destructora de papel (2 ud.)</t>
  </si>
  <si>
    <t>Licencia anual CAD LT (3 ud.)</t>
  </si>
  <si>
    <t>1600</t>
  </si>
  <si>
    <t>ALCANTARILLADO</t>
  </si>
  <si>
    <t>Sustitución de unidad exterior Aire Acond. EDIF. Urb.</t>
  </si>
  <si>
    <t>Inversión en parques y jardines</t>
  </si>
  <si>
    <t>Elevación escenario</t>
  </si>
  <si>
    <t>Certificación de parques infantiles</t>
  </si>
  <si>
    <t>635</t>
  </si>
  <si>
    <t>Adquisición de dos cabezudos</t>
  </si>
  <si>
    <t>Construcción de tejadillo</t>
  </si>
  <si>
    <t>009/2024</t>
  </si>
  <si>
    <t>Adquisición de dos módulos de tres gradas, de cuatro alturas para 192 personas</t>
  </si>
  <si>
    <t>Vallas bajas y antiavalancha</t>
  </si>
  <si>
    <t>SA+PIU+C</t>
  </si>
  <si>
    <t>Centro Arte Joven</t>
  </si>
  <si>
    <t>Mobiliario</t>
  </si>
  <si>
    <t>Instrumentos, imagen y sonido EM</t>
  </si>
  <si>
    <t>2310</t>
  </si>
  <si>
    <t>ADMON. GRAL. ASISTENCIA SOCIAL PRIMARIA</t>
  </si>
  <si>
    <t>BAJA</t>
  </si>
  <si>
    <t>Ya está en la propuesta de Podemos</t>
  </si>
  <si>
    <t>Pabellón Santiago Manguán</t>
  </si>
  <si>
    <t>Instalación de persianas térmicas</t>
  </si>
  <si>
    <t>Es un importe muy elevado, si hay disponibilidad de presupuesto podría hacerse entero, sino por fases. He reservado 600.000 estimados para una primera fase</t>
  </si>
  <si>
    <t xml:space="preserve">POLIDEPORTIVO CHELVA Sustitución de paneles lucernarios en la cubierta </t>
  </si>
  <si>
    <t>REMODELACIÓN GRADA ESTE ESTADIO JUAN CARLOS HIGUERO</t>
  </si>
  <si>
    <t>CONTRUCCIÓN DEPENDENCIAS Y SERVICIOS EN CAMPO DE RUGBY V. VIÑAS</t>
  </si>
  <si>
    <t>3261</t>
  </si>
  <si>
    <t>ESCUELA DE MÚSICA Y DANZA</t>
  </si>
  <si>
    <t>Frontón Sinovas</t>
  </si>
  <si>
    <t>Montecillo anexos</t>
  </si>
  <si>
    <t xml:space="preserve">CAMARAS SEGURIDAD </t>
  </si>
  <si>
    <t>Adquisición instrumentos musicales, imagen y sonido</t>
  </si>
  <si>
    <t>3262</t>
  </si>
  <si>
    <t>ESCUELA DE FOLCLORE</t>
  </si>
  <si>
    <t>Maniquíes</t>
  </si>
  <si>
    <t>010/2024</t>
  </si>
  <si>
    <t>011/2024</t>
  </si>
  <si>
    <t>3321</t>
  </si>
  <si>
    <t>BIBLIOTECA</t>
  </si>
  <si>
    <t>Redacción estudios y proyectos para mejora de la calidad del agua</t>
  </si>
  <si>
    <t>Equipos para procesos de información</t>
  </si>
  <si>
    <t>012/2024</t>
  </si>
  <si>
    <t>&lt;-- estudio de otra captación</t>
  </si>
  <si>
    <t>3330</t>
  </si>
  <si>
    <t>MUSEOS</t>
  </si>
  <si>
    <t>Arreglo cubierta "Museo del Tren" (estación Chelva)</t>
  </si>
  <si>
    <t>3340</t>
  </si>
  <si>
    <t>EQUIPAMIENTOS CULTURALES Y CASA DE CULTURA</t>
  </si>
  <si>
    <t>Varillas salas exposiciones</t>
  </si>
  <si>
    <t>Diademas micro y petacas</t>
  </si>
  <si>
    <t>Mesa de mezclas</t>
  </si>
  <si>
    <t>&lt;-- igual x3???</t>
  </si>
  <si>
    <t>Micros sobremesa inalámbricos</t>
  </si>
  <si>
    <t>Proyecto Auditorio</t>
  </si>
  <si>
    <t>013/2024</t>
  </si>
  <si>
    <t>3370</t>
  </si>
  <si>
    <t>CENTROS CÍVICOS</t>
  </si>
  <si>
    <t>014/2024</t>
  </si>
  <si>
    <t>&lt;-- esto calculado por 6 meses de 2023 sobre 18 meses de ejecución</t>
  </si>
  <si>
    <t>Total</t>
  </si>
  <si>
    <t>Préstamo</t>
  </si>
  <si>
    <t>RTA</t>
  </si>
  <si>
    <t>Rehabilitación Centro Cívico Virgen de las Viñas</t>
  </si>
  <si>
    <t>ALUMBRADO</t>
  </si>
  <si>
    <t>3372</t>
  </si>
  <si>
    <t>BANDA DE MÚSICA</t>
  </si>
  <si>
    <t>Hasta Juan Carlos Higuero desde antigua Carr. Valladolid</t>
  </si>
  <si>
    <t>PISCINA CUBIERTA</t>
  </si>
  <si>
    <t>Inversión en parques</t>
  </si>
  <si>
    <t>3373</t>
  </si>
  <si>
    <t>CASA DE LA JUVENTUD Y CENTRO ARTE JOVEN</t>
  </si>
  <si>
    <t>Centro de Arte Joven</t>
  </si>
  <si>
    <t>015/2024</t>
  </si>
  <si>
    <t>3380</t>
  </si>
  <si>
    <t>016/2024</t>
  </si>
  <si>
    <t>Elevación escenario hasta 1.50 (sobre el actualmente disponible)</t>
  </si>
  <si>
    <t>Construcción de tejadillo en almacén municipal (para carrozas)</t>
  </si>
  <si>
    <t>Adquisición de dos módulos de tres gradas, de cuatro alturas para 192 personas (y movilidad reducida)</t>
  </si>
  <si>
    <t>017/2024</t>
  </si>
  <si>
    <t>Rehabilitación y certificación parques infantiles</t>
  </si>
  <si>
    <t>3420</t>
  </si>
  <si>
    <t>INSTALACIONES DEPORTIVAS</t>
  </si>
  <si>
    <t>Dirección Facultativa obras Plaza Príncipe Sinovas</t>
  </si>
  <si>
    <t>2023 pres</t>
  </si>
  <si>
    <t>2023 pagado</t>
  </si>
  <si>
    <t>Faltaría</t>
  </si>
  <si>
    <t>028/2022</t>
  </si>
  <si>
    <t>Obras mejora piscina municipal cubierta</t>
  </si>
  <si>
    <t>SANTIAGO MANGUÁN y JUAN CARLOS HIGUERO. Planes autoprotección</t>
  </si>
  <si>
    <t>018/2024</t>
  </si>
  <si>
    <t>SANTIAGO MANGUÁN. Rehabilitación</t>
  </si>
  <si>
    <t xml:space="preserve">JUAN CARLOS HIGUERO. Remodelación grada este  </t>
  </si>
  <si>
    <t>JUAN CARLOS HIGUERO. Anexos</t>
  </si>
  <si>
    <t xml:space="preserve">POLIDEPORTIVO CHELVA. Sustitución de paneles lucernarios en la cubierta </t>
  </si>
  <si>
    <t>CAMPO DE RUGBY V. VIÑAS. Construcción dependencias</t>
  </si>
  <si>
    <t>Cámaras de seguridad</t>
  </si>
  <si>
    <t>3110</t>
  </si>
  <si>
    <t>PROTECCIÓN DE LA SALUBRIDAD PÚBLICA</t>
  </si>
  <si>
    <t>Arreglo vestuarios y baños de la piscina calabaza</t>
  </si>
  <si>
    <t>Pabellón Príncipe de Asturias</t>
  </si>
  <si>
    <t>REMODELACIÓN GRADA ESTE ESTADIO MONTECILLO</t>
  </si>
  <si>
    <t>019/2024</t>
  </si>
  <si>
    <t>4320</t>
  </si>
  <si>
    <t>TURISMO (PSTD)</t>
  </si>
  <si>
    <t>Otras inv. nuevas asociadas al fcto. operativo de los servicios</t>
  </si>
  <si>
    <t>020/2024</t>
  </si>
  <si>
    <t>Otros gastos en inversiones de bienes patrimoniales</t>
  </si>
  <si>
    <t>Mobiliario artístico de arraigo y topofilia</t>
  </si>
  <si>
    <t>4330</t>
  </si>
  <si>
    <t>DESARROLLO ECONÓMICO</t>
  </si>
  <si>
    <t>Inversión nueva infraestrut. y bienes destinados al uso general</t>
  </si>
  <si>
    <t>Urbanización parcelas industriales</t>
  </si>
  <si>
    <t>Desarrollo Puerto seco</t>
  </si>
  <si>
    <t>4540</t>
  </si>
  <si>
    <t>CAMINOS</t>
  </si>
  <si>
    <t>Partida / Programa</t>
  </si>
  <si>
    <t>021/2024</t>
  </si>
  <si>
    <t>Arreglo de caminos</t>
  </si>
  <si>
    <t>9200</t>
  </si>
  <si>
    <t>ADMINISTRACIÓN GENERAL</t>
  </si>
  <si>
    <t>022/2024</t>
  </si>
  <si>
    <t>Material informático (ordenadores, tablets, ratones, pantallas…)</t>
  </si>
  <si>
    <t>2 destructoras de papel</t>
  </si>
  <si>
    <t>Adecentamiento de bajo en Santa Catalina</t>
  </si>
  <si>
    <t>Redacción y modificación proyectos Fondos Europeos</t>
  </si>
  <si>
    <t>Adquisición de bajo en Santa Catalina</t>
  </si>
  <si>
    <t>023/2024</t>
  </si>
  <si>
    <t xml:space="preserve">TOTAL CAPITULO VI </t>
  </si>
  <si>
    <t>024/2024</t>
  </si>
  <si>
    <t>Sobr Ing - Gasto</t>
  </si>
  <si>
    <t>025/2024</t>
  </si>
  <si>
    <t>Pendiente</t>
  </si>
  <si>
    <t>Adquisición instrumentos musicales EM</t>
  </si>
  <si>
    <t>Adquisición instrumentos musicales EF</t>
  </si>
  <si>
    <t>Baños portátiles (VOX también)</t>
  </si>
  <si>
    <t>026/2024</t>
  </si>
  <si>
    <t>Sistema comunicaciones TETRA (policía)</t>
  </si>
  <si>
    <t>XXX</t>
  </si>
  <si>
    <t>PSOE</t>
  </si>
  <si>
    <t>YYY</t>
  </si>
  <si>
    <t xml:space="preserve">Inv. repos. asociada al funcionamiento op. de los servicios. </t>
  </si>
  <si>
    <t>Es algo que no se ve y que supone una inversión alta, si no es imprescindible puede dejarse para 2025</t>
  </si>
  <si>
    <t>S</t>
  </si>
  <si>
    <t>027/2024</t>
  </si>
  <si>
    <t>VOX</t>
  </si>
  <si>
    <t xml:space="preserve">Urinarios públicos </t>
  </si>
  <si>
    <t>Ya contemplado en el presupuesto de SA</t>
  </si>
  <si>
    <t>FESTEJOS</t>
  </si>
  <si>
    <t>028/2024</t>
  </si>
  <si>
    <t>Plan de energía solar para edificios municipales</t>
  </si>
  <si>
    <t>Puede esperarse un año para definir antes por donde transcurrirá la red de calor. Además, es bastante probable que haya líneas FEDER del IDAE para financiar esto en un futuro</t>
  </si>
  <si>
    <t>029/2024</t>
  </si>
  <si>
    <t>Parkour</t>
  </si>
  <si>
    <t>No urgente, puede dejarse para 2025</t>
  </si>
  <si>
    <t>Pump Track</t>
  </si>
  <si>
    <t>030/2024</t>
  </si>
  <si>
    <t>Ampliación Skate Park</t>
  </si>
  <si>
    <t>PP</t>
  </si>
  <si>
    <t>031/2024</t>
  </si>
  <si>
    <t>La partida debería ser más genérica (Proyecto auditorio), de forma que permita la redacción de un proyecto para un nuevo auditorio, o la idea que tenemos nosotros, la compra del Teatro Cine Aranda</t>
  </si>
  <si>
    <t>Podemos + IU</t>
  </si>
  <si>
    <t>Formación obligatoria para plan de amianto</t>
  </si>
  <si>
    <t>Esto no es inversión, sino que va en personal, programa 2210</t>
  </si>
  <si>
    <t>Formación obligatoria 20 horas seguridad y salud</t>
  </si>
  <si>
    <t>ANEXO INVERSIONES REALES 2023</t>
  </si>
  <si>
    <t>032/2024</t>
  </si>
  <si>
    <t>Retirada y tratamiento de fibrocemento</t>
  </si>
  <si>
    <t>038/2022</t>
  </si>
  <si>
    <t>Comisaría de Policía</t>
  </si>
  <si>
    <t>Puede esperar un año</t>
  </si>
  <si>
    <t>Puertas túneles mantenimiento en Tubilla</t>
  </si>
  <si>
    <t>Esperar a reparación Tubilla completa</t>
  </si>
  <si>
    <t>Renovación y sustitución de arquetas de tubería Tubilla</t>
  </si>
  <si>
    <t>Compra tablets brigada</t>
  </si>
  <si>
    <t>No va inversión</t>
  </si>
  <si>
    <t>Saneamiento y abastecimiento Calle el Carro</t>
  </si>
  <si>
    <t xml:space="preserve">TURISMO </t>
  </si>
  <si>
    <t>Recién asfatada</t>
  </si>
  <si>
    <t>001/2023</t>
  </si>
  <si>
    <t>Obras acondicionamiento carril bici a Sinovas</t>
  </si>
  <si>
    <t>Softwarte de CAD Servicio Municipal de Aguas</t>
  </si>
  <si>
    <t>a determinar por informática</t>
  </si>
  <si>
    <t>Servicio de alquiler de copiadora, escaner, fotocopiadora</t>
  </si>
  <si>
    <t>Suminstro frontales para trabajo</t>
  </si>
  <si>
    <t>033/2024</t>
  </si>
  <si>
    <t>Suministro guantes dielectricos y pertiga de seguridad para los CTs</t>
  </si>
  <si>
    <t>EXTINCION DE INCENDIOS</t>
  </si>
  <si>
    <t>Elementos de transporte</t>
  </si>
  <si>
    <t>Mantenimiento Caminos</t>
  </si>
  <si>
    <t>002/2023</t>
  </si>
  <si>
    <t>Vehículo ligero pick-up 4X4</t>
  </si>
  <si>
    <t>Al año que viene</t>
  </si>
  <si>
    <t>Salubridad pública</t>
  </si>
  <si>
    <t>Renovación de elementos y suelos de parques infantiles</t>
  </si>
  <si>
    <t>034/2024</t>
  </si>
  <si>
    <t>no</t>
  </si>
  <si>
    <t>003/2023</t>
  </si>
  <si>
    <t>Camión vehículo altura autoescala</t>
  </si>
  <si>
    <t>Necesidades inversión EMS (vehículos)</t>
  </si>
  <si>
    <t>Maquinaria, instalaciones e utillaje</t>
  </si>
  <si>
    <t>A remanentes</t>
  </si>
  <si>
    <t>Necesidades inversión EMS (maquinaria y medios auxiliares</t>
  </si>
  <si>
    <t>004/2023</t>
  </si>
  <si>
    <t>Vestuario, equipamiento y equipos rescate</t>
  </si>
  <si>
    <t>035/2024</t>
  </si>
  <si>
    <t>Construcción Centro de recepción de visitantes</t>
  </si>
  <si>
    <t>Necesidades inversión EMS (Informática)</t>
  </si>
  <si>
    <t>Necesidades inversión EMS (nave industrial)</t>
  </si>
  <si>
    <t>Capítulo de personal EMS</t>
  </si>
  <si>
    <t>624</t>
  </si>
  <si>
    <t>Estoy no es inversión</t>
  </si>
  <si>
    <t>Arbolado en zonas verdes (El Picón, Ribera Arandilla (Proincove) y reposición alcorques vacíos</t>
  </si>
  <si>
    <t>036/2024</t>
  </si>
  <si>
    <t>Revisión fuentes</t>
  </si>
  <si>
    <t>Arreglo integral Centro Arte Joven</t>
  </si>
  <si>
    <t>Ya está en juventud</t>
  </si>
  <si>
    <t>Valla edificio museo municipal de cerámica</t>
  </si>
  <si>
    <t xml:space="preserve">Rehabilitación viviendas Junta Santa Catalina </t>
  </si>
  <si>
    <t>Mantenimiento edificios Juventud y festejos</t>
  </si>
  <si>
    <t>037/2024</t>
  </si>
  <si>
    <t>Acondicionar e insonorizar ático del edificio Las Francesas</t>
  </si>
  <si>
    <t>038/2024</t>
  </si>
  <si>
    <t>Presupuesto programa de ocio</t>
  </si>
  <si>
    <t>&gt; ver de dónde</t>
  </si>
  <si>
    <t>Esto no es una inversión y ya está en su partida correspondiente</t>
  </si>
  <si>
    <t>Asfaltado de calles del cementerio</t>
  </si>
  <si>
    <t xml:space="preserve">Reurbanización ARU Santa Catalina </t>
  </si>
  <si>
    <t>001/2021</t>
  </si>
  <si>
    <t>Reurbanización Avenida Castilla- ampliación plazo ejecucción</t>
  </si>
  <si>
    <t>Sepulturas nuevas</t>
  </si>
  <si>
    <t>Ya está presupuestado con VOX</t>
  </si>
  <si>
    <t>003/2022</t>
  </si>
  <si>
    <t>Climatización vestuario</t>
  </si>
  <si>
    <t xml:space="preserve">Mejoras de accesibilidad, diseño y rehabilitación Jardines Don Diego </t>
  </si>
  <si>
    <t>Renovación ordenadores Servicios Sociales 40</t>
  </si>
  <si>
    <t>Dirección factultativa Jardines de D. Diego</t>
  </si>
  <si>
    <t>Ya está dentro de la compra centralizada</t>
  </si>
  <si>
    <t>Obras reparación Puente Nuevo (Padre Claret)</t>
  </si>
  <si>
    <t>Impermeabilizar la pasarela peatonal Rïo Duero (gr14)</t>
  </si>
  <si>
    <t>Retirada y tratamiento de fibrocemento (contrato marco)</t>
  </si>
  <si>
    <t>008/2023</t>
  </si>
  <si>
    <t>Ensanche aceras Burgo de Osma y aparcamientos</t>
  </si>
  <si>
    <t>PROPUESTAS A PRESUPUESTAR</t>
  </si>
  <si>
    <t>009/2023</t>
  </si>
  <si>
    <t>Modificación contrato redacción proyecto rotonda nuevo hospital</t>
  </si>
  <si>
    <t>Pasarela Montecillo</t>
  </si>
  <si>
    <t>Revisión bancos necesarios</t>
  </si>
  <si>
    <t>010/2023</t>
  </si>
  <si>
    <t>Ejecucción obra desvío canalización aguas rotonda nuevo hospital</t>
  </si>
  <si>
    <t>Ruta Verde Urbana (incluyendo Museos)</t>
  </si>
  <si>
    <t>Climatización pabellón deportivo Chelva (Placas solares y bombas de calor)</t>
  </si>
  <si>
    <t>Peatonalización calle Soria y calles El Carro, Los Pozos, Fuenteminaya y aledañas</t>
  </si>
  <si>
    <t>011/2023</t>
  </si>
  <si>
    <t>Dirección factultativa y CSS, Desvío canalización aguas rotonda nuevo hospital</t>
  </si>
  <si>
    <t>Auditorio Cine Aranda o Caja de Burgos</t>
  </si>
  <si>
    <t>Proyecto Ronda Interna</t>
  </si>
  <si>
    <t>Uso edificio matadero</t>
  </si>
  <si>
    <t>609</t>
  </si>
  <si>
    <t>Pipican en ribera arandilla junto a Puente Conchuela</t>
  </si>
  <si>
    <t>040/2024</t>
  </si>
  <si>
    <t>Ampliación Polígono Prado Marina</t>
  </si>
  <si>
    <t>012/2023</t>
  </si>
  <si>
    <t>Construcciones 51 nichos cementerio municipal</t>
  </si>
  <si>
    <t>SENTIR ARANDA</t>
  </si>
  <si>
    <t>TERCERA EDAD Y DEPENDENCIA</t>
  </si>
  <si>
    <t>013/2023</t>
  </si>
  <si>
    <t>Rehabilitación Edificio Centro San Juan</t>
  </si>
  <si>
    <t xml:space="preserve">Inv. repos. asociada al funcionamiento op. de los servicios. Edificios y otras const. </t>
  </si>
  <si>
    <t>014/2023</t>
  </si>
  <si>
    <t>Cambio luminarias a LED en instalaciones deportivas</t>
  </si>
  <si>
    <t>041/2024</t>
  </si>
  <si>
    <t>031/2022</t>
  </si>
  <si>
    <t>Caseta campo de rugby Complejo Deportivo Virgen Viñas</t>
  </si>
  <si>
    <t>015/2023</t>
  </si>
  <si>
    <t>Equipos procesos información</t>
  </si>
  <si>
    <t>042/2024</t>
  </si>
  <si>
    <t>ADMINISTRACION GENERAL</t>
  </si>
  <si>
    <t>Reforma planta baja policía</t>
  </si>
  <si>
    <t>016/2023</t>
  </si>
  <si>
    <t>Módulos de integración para Plan Modernización de las AAPP</t>
  </si>
  <si>
    <t>Lo pensamos</t>
  </si>
  <si>
    <t>Furgoneta policial</t>
  </si>
  <si>
    <t>017/2023</t>
  </si>
  <si>
    <t>Otras inversiones nuevas asociadas al funcionamiento operativo de los servicios.</t>
  </si>
  <si>
    <t>Cubrimiento zona parking sede policía</t>
  </si>
  <si>
    <t>(Alumbrado) Instalación solar  fotovoltaica en edificios + LED</t>
  </si>
  <si>
    <t>(Alumbrado) Inversión para adquisición de luminarias de tecnología LED para un incremento de eficiencia</t>
  </si>
  <si>
    <t>043/2024</t>
  </si>
  <si>
    <t>Nos lo hacen gratis</t>
  </si>
  <si>
    <t>SERVICIOS NO CLASIFICADOS</t>
  </si>
  <si>
    <t>039/2022</t>
  </si>
  <si>
    <t>Rehabilitación tejado ermita San Isidro</t>
  </si>
  <si>
    <t>Obra desvío canalización aguas rotonda nuevo Hospital</t>
  </si>
  <si>
    <t>Tramo fuera ámbito Obras Jardines</t>
  </si>
  <si>
    <t>9290</t>
  </si>
  <si>
    <t>NO CLASIFICADOS</t>
  </si>
  <si>
    <t>Tramo inicio plaza Arco Isilla</t>
  </si>
  <si>
    <t>Obras mejora accesibilidad en Plaza Príncipe Sinovas</t>
  </si>
  <si>
    <t>044/2024</t>
  </si>
  <si>
    <t>Adquisición y rehabilitación de bajo en Santa Catalina</t>
  </si>
  <si>
    <t>Redacc. Proyecto Ronda Sureste</t>
  </si>
  <si>
    <t>ELEMENTOS DE TRANSPORTE</t>
  </si>
  <si>
    <t>Adquisición de vehículo para encargado de obras</t>
  </si>
  <si>
    <t>Adquisición de camión para brigada de obras</t>
  </si>
  <si>
    <t>PROYECTOS PLURIANUALES</t>
  </si>
  <si>
    <t>REAJUSTE ANUALIDADES</t>
  </si>
  <si>
    <t>MOBILIARIO</t>
  </si>
  <si>
    <t>CÓDIGO</t>
  </si>
  <si>
    <t xml:space="preserve">DESCRIPCIÓN </t>
  </si>
  <si>
    <t>2023</t>
  </si>
  <si>
    <t>2025</t>
  </si>
  <si>
    <t>2029</t>
  </si>
  <si>
    <t>Sillas oficina (20 ud.)</t>
  </si>
  <si>
    <t>INCORPORACIÓN</t>
  </si>
  <si>
    <t>EQUIPOS PARA PROCESOS DE INFORMACIÓN</t>
  </si>
  <si>
    <t>PRESUPUESTO (*)</t>
  </si>
  <si>
    <t>Adquisición portátiles (19 ud.)</t>
  </si>
  <si>
    <t>Reurbanización Avenida Castilla</t>
  </si>
  <si>
    <t>GASTOS EN APLICACIONES INFORMÁTICAS</t>
  </si>
  <si>
    <t>Mejoras de accesibilidad y reurbanización Jardines de D. Diego</t>
  </si>
  <si>
    <t>MAQUINARIA, INST. TÉCNICAS Y UTILLAJE</t>
  </si>
  <si>
    <t>Dirección facultativa Jardines de D. Diego</t>
  </si>
  <si>
    <r>
      <rPr>
        <rFont val="Arial"/>
        <b/>
        <color theme="1"/>
        <sz val="9.0"/>
      </rPr>
      <t>(*)</t>
    </r>
    <r>
      <rPr>
        <rFont val="Arial"/>
        <color theme="1"/>
        <sz val="9.0"/>
      </rPr>
      <t xml:space="preserve"> Los proyectos previstos finalizar en 2023 incluyen en la anualidad de 2023 previsión de liquidación del 10% del precio primitivo del contrato</t>
    </r>
  </si>
  <si>
    <t>Los proyectos plurianuales autorizados por el Pleno el 28/10/22 y cuya adjudicación ha sido resuelta en diciembre de 2022 han trasladado la anualidad de 2022 a 2023</t>
  </si>
  <si>
    <t>Adquisición de carpa+lastres.</t>
  </si>
  <si>
    <t>(003/2023 Obras puente Claret, 001/2023 Carril bici a Sinovas y 004/2023 Ensanche aceras Burgo de Osma y aparcamientos calle San Antonio y Manuel Cebas)</t>
  </si>
  <si>
    <t>Es un importe alto, asi que dependiendo de la urgencia, podría hacerse el año que viene</t>
  </si>
  <si>
    <t>dsr</t>
  </si>
  <si>
    <t>JUVENTUD</t>
  </si>
  <si>
    <t>Escuela de música</t>
  </si>
  <si>
    <t>2024</t>
  </si>
  <si>
    <t>2026</t>
  </si>
  <si>
    <t>Instrumentos, imagen y sonido</t>
  </si>
  <si>
    <t>INCORPORAC.</t>
  </si>
  <si>
    <t>Banda de música</t>
  </si>
  <si>
    <t>PRESUPUESTO</t>
  </si>
  <si>
    <t>Rehabilitación viviendas ARU Santa Catalina</t>
  </si>
  <si>
    <t>Ventanas</t>
  </si>
  <si>
    <t>Esperamos al plan de rehabilitación de edificios de Manuel</t>
  </si>
  <si>
    <t>Instrumentos</t>
  </si>
  <si>
    <t>DEPORTES</t>
  </si>
  <si>
    <t>003-1/2022 (*)</t>
  </si>
  <si>
    <t>622/623</t>
  </si>
  <si>
    <t>028/2022 (**)</t>
  </si>
  <si>
    <t>Piscinas de verano</t>
  </si>
  <si>
    <t>Ya está en Vox</t>
  </si>
  <si>
    <t>039/2024</t>
  </si>
  <si>
    <t>040/2023</t>
  </si>
  <si>
    <t>Oficina gestión ARU Santa Catalina</t>
  </si>
  <si>
    <t>La anualidad de 2024, por importe de 194.842,71 €, añade como previsión modificado nº2 por importe de 300.633,73 € y liquidación por 240.926,55 €</t>
  </si>
  <si>
    <t>La anualidad de 2024, por importe de 272.721,03 €, añade como previsión liquidación por importe de 273.472,17 €</t>
  </si>
  <si>
    <r>
      <rPr>
        <rFont val="Arial"/>
        <b/>
        <color theme="1"/>
        <sz val="9.0"/>
      </rPr>
      <t>(*)</t>
    </r>
    <r>
      <rPr>
        <rFont val="Arial"/>
        <color theme="1"/>
        <sz val="9.0"/>
      </rPr>
      <t xml:space="preserve"> Los proyectos previstos finalizar en 2023 incluyen en la anualidad de 2023 previsión de liquidación del 10% del precio primitivo del contrato</t>
    </r>
  </si>
  <si>
    <t>Agua desde Tubilla (también PP)</t>
  </si>
  <si>
    <t>Para Curl</t>
  </si>
  <si>
    <t>Redacción proyecto auditorio (también PSOE)</t>
  </si>
  <si>
    <r>
      <rPr>
        <rFont val="Arial"/>
        <b/>
        <color theme="1"/>
        <sz val="9.0"/>
      </rPr>
      <t>(*)</t>
    </r>
    <r>
      <rPr>
        <rFont val="Arial"/>
        <color theme="1"/>
        <sz val="9.0"/>
      </rPr>
      <t xml:space="preserve"> Los proyectos previstos finalizar en 2023 incluyen en la anualidad de 2023 previsión de liquidación del 10% del precio primitivo del contrato</t>
    </r>
  </si>
  <si>
    <t>Retirada y tratamiento de fibrocemente (contrato marco)</t>
  </si>
  <si>
    <r>
      <rPr>
        <rFont val="Arial"/>
        <b/>
        <color theme="1"/>
        <sz val="9.0"/>
      </rPr>
      <t>(*)</t>
    </r>
    <r>
      <rPr>
        <rFont val="Arial"/>
        <color theme="1"/>
        <sz val="9.0"/>
      </rPr>
      <t xml:space="preserve"> Los proyectos previstos finalizar en 2023 incluyen en la anualidad de 2023 previsión de liquidación del 10% del precio primitivo del contrato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</si>
</sst>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&quot;€&quot;"/>
    <numFmt numFmtId="165" formatCode="#,##0.00\ [$€-1]"/>
    <numFmt numFmtId="166" formatCode="#,##0.00\ &quot;€&quot;"/>
  </numFmts>
  <fonts count="30">
    <font>
      <sz val="11.0"/>
      <color theme="1"/>
      <name val="Calibri"/>
      <scheme val="minor"/>
    </font>
    <font>
      <sz val="11.0"/>
      <color rgb="FF000000"/>
      <name val="Calibri"/>
    </font>
    <font>
      <color rgb="FF000000"/>
      <name val="Calibri"/>
    </font>
    <font>
      <b/>
      <sz val="10.0"/>
      <color theme="1"/>
      <name val="Calibri"/>
    </font>
    <font/>
    <font>
      <sz val="10.0"/>
      <color theme="1"/>
      <name val="Calibri"/>
    </font>
    <font>
      <color theme="1"/>
      <name val="Calibri"/>
      <scheme val="minor"/>
    </font>
    <font>
      <sz val="10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Arial"/>
    </font>
    <font>
      <sz val="9.0"/>
      <color theme="1"/>
      <name val="Arial"/>
    </font>
    <font>
      <sz val="11.0"/>
      <color theme="1"/>
      <name val="Calibri"/>
    </font>
    <font>
      <b/>
      <sz val="7.0"/>
      <color theme="1"/>
      <name val="Arial"/>
    </font>
    <font>
      <b/>
      <sz val="8.0"/>
      <color theme="1"/>
      <name val="Arial"/>
    </font>
    <font>
      <sz val="9.0"/>
      <color theme="1"/>
      <name val="Calibri"/>
    </font>
    <font>
      <b/>
      <sz val="9.0"/>
      <color theme="1"/>
      <name val="Arial"/>
    </font>
    <font>
      <sz val="9.0"/>
      <color rgb="FF000000"/>
      <name val="Arial"/>
    </font>
    <font>
      <sz val="9.0"/>
      <color rgb="FFFF0000"/>
      <name val="Arial"/>
    </font>
    <font>
      <sz val="9.0"/>
      <color rgb="FFB45F06"/>
      <name val="Arial"/>
    </font>
    <font>
      <u/>
      <color rgb="FF0000FF"/>
    </font>
    <font>
      <sz val="9.0"/>
      <color rgb="FF38761D"/>
      <name val="Arial"/>
    </font>
    <font>
      <i/>
      <sz val="10.0"/>
      <color rgb="FFFF9900"/>
      <name val="Calibri"/>
    </font>
    <font>
      <b/>
      <color theme="1"/>
      <name val="Calibri"/>
      <scheme val="minor"/>
    </font>
    <font>
      <color rgb="FFFF00FF"/>
      <name val="Calibri"/>
      <scheme val="minor"/>
    </font>
    <font>
      <sz val="9.0"/>
      <color rgb="FF6AA84F"/>
      <name val="Arial"/>
    </font>
    <font>
      <sz val="8.0"/>
      <color theme="1"/>
      <name val="Arial"/>
    </font>
    <font>
      <b/>
      <color theme="1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ABF8F"/>
        <bgColor rgb="FFFABF8F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3C78D8"/>
        <bgColor rgb="FF3C78D8"/>
      </patternFill>
    </fill>
    <fill>
      <patternFill patternType="solid">
        <fgColor rgb="FFFF9900"/>
        <bgColor rgb="FFFF9900"/>
      </patternFill>
    </fill>
    <fill>
      <patternFill patternType="solid">
        <fgColor theme="4"/>
        <bgColor theme="4"/>
      </patternFill>
    </fill>
    <fill>
      <patternFill patternType="solid">
        <fgColor rgb="FFE2EFD9"/>
        <bgColor rgb="FFE2EFD9"/>
      </patternFill>
    </fill>
    <fill>
      <patternFill patternType="solid">
        <fgColor rgb="FFFF00FF"/>
        <bgColor rgb="FFFF00FF"/>
      </patternFill>
    </fill>
    <fill>
      <patternFill patternType="solid">
        <fgColor rgb="FFFDE9D9"/>
        <bgColor rgb="FFFDE9D9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335">
    <xf borderId="0" fillId="0" fontId="0" numFmtId="0" xfId="0" applyAlignment="1" applyFont="1">
      <alignment readingOrder="0" shrinkToFit="0" vertical="bottom" wrapText="0"/>
    </xf>
    <xf borderId="1" fillId="0" fontId="1" numFmtId="164" xfId="0" applyAlignment="1" applyBorder="1" applyFont="1" applyNumberFormat="1">
      <alignment horizontal="right" readingOrder="0" shrinkToFit="0" wrapText="1"/>
    </xf>
    <xf borderId="1" fillId="0" fontId="2" numFmtId="164" xfId="0" applyAlignment="1" applyBorder="1" applyFont="1" applyNumberFormat="1">
      <alignment horizontal="right" readingOrder="0" shrinkToFit="0" wrapText="1"/>
    </xf>
    <xf borderId="2" fillId="2" fontId="3" numFmtId="0" xfId="0" applyAlignment="1" applyBorder="1" applyFill="1" applyFont="1">
      <alignment horizontal="center" readingOrder="0" shrinkToFit="0" textRotation="0" vertical="center" wrapText="1"/>
    </xf>
    <xf borderId="3" fillId="0" fontId="4" numFmtId="0" xfId="0" applyBorder="1" applyFont="1"/>
    <xf borderId="4" fillId="0" fontId="4" numFmtId="0" xfId="0" applyBorder="1" applyFont="1"/>
    <xf borderId="0" fillId="0" fontId="5" numFmtId="0" xfId="0" applyAlignment="1" applyFont="1">
      <alignment shrinkToFit="0" textRotation="0" wrapText="1"/>
    </xf>
    <xf borderId="0" fillId="0" fontId="6" numFmtId="164" xfId="0" applyFont="1" applyNumberFormat="1"/>
    <xf borderId="0" fillId="0" fontId="5" numFmtId="49" xfId="0" applyAlignment="1" applyFont="1" applyNumberFormat="1">
      <alignment horizontal="right" shrinkToFit="0" textRotation="0" vertical="center" wrapText="1"/>
    </xf>
    <xf borderId="0" fillId="0" fontId="5" numFmtId="0" xfId="0" applyAlignment="1" applyFont="1">
      <alignment shrinkToFit="0" textRotation="0" vertical="center" wrapText="1"/>
    </xf>
    <xf borderId="0" fillId="0" fontId="5" numFmtId="165" xfId="0" applyAlignment="1" applyFont="1" applyNumberFormat="1">
      <alignment horizontal="center" shrinkToFit="0" textRotation="0" vertical="center" wrapText="1"/>
    </xf>
    <xf borderId="0" fillId="0" fontId="6" numFmtId="0" xfId="0" applyAlignment="1" applyFont="1">
      <alignment readingOrder="0"/>
    </xf>
    <xf borderId="0" fillId="0" fontId="3" numFmtId="165" xfId="0" applyAlignment="1" applyFont="1" applyNumberFormat="1">
      <alignment horizontal="center" shrinkToFit="0" textRotation="0" vertical="center" wrapText="1"/>
    </xf>
    <xf borderId="5" fillId="3" fontId="3" numFmtId="0" xfId="0" applyAlignment="1" applyBorder="1" applyFill="1" applyFont="1">
      <alignment horizontal="center" shrinkToFit="0" textRotation="0" vertical="center" wrapText="1"/>
    </xf>
    <xf borderId="0" fillId="0" fontId="6" numFmtId="165" xfId="0" applyFont="1" applyNumberFormat="1"/>
    <xf borderId="5" fillId="3" fontId="3" numFmtId="165" xfId="0" applyAlignment="1" applyBorder="1" applyFill="1" applyFont="1" applyNumberFormat="1">
      <alignment horizontal="center" shrinkToFit="0" textRotation="0" vertical="center" wrapText="1"/>
    </xf>
    <xf borderId="0" fillId="0" fontId="6" numFmtId="4" xfId="0" applyAlignment="1" applyFont="1" applyNumberFormat="1">
      <alignment readingOrder="0"/>
    </xf>
    <xf borderId="5" fillId="3" fontId="3" numFmtId="165" xfId="0" applyAlignment="1" applyBorder="1" applyFill="1" applyFont="1" applyNumberFormat="1">
      <alignment horizontal="center" readingOrder="0" shrinkToFit="0" textRotation="0" vertical="center" wrapText="1"/>
    </xf>
    <xf borderId="0" fillId="0" fontId="5" numFmtId="49" xfId="0" applyAlignment="1" applyFont="1" applyNumberFormat="1">
      <alignment horizontal="right" readingOrder="0" shrinkToFit="0" textRotation="0" vertical="center" wrapText="1"/>
    </xf>
    <xf borderId="0" fillId="0" fontId="5" numFmtId="0" xfId="0" applyAlignment="1" applyFont="1">
      <alignment readingOrder="0" shrinkToFit="0" textRotation="0" vertical="center" wrapText="1"/>
    </xf>
    <xf borderId="0" fillId="0" fontId="5" numFmtId="165" xfId="0" applyAlignment="1" applyFont="1" applyNumberFormat="1">
      <alignment horizontal="right" readingOrder="0" shrinkToFit="0" textRotation="0" vertical="center" wrapText="1"/>
    </xf>
    <xf borderId="0" fillId="0" fontId="5" numFmtId="165" xfId="0" applyAlignment="1" applyFont="1" applyNumberFormat="1">
      <alignment shrinkToFit="0" textRotation="0" wrapText="1"/>
    </xf>
    <xf borderId="0" fillId="0" fontId="5" numFmtId="165" xfId="0" applyAlignment="1" applyFont="1" applyNumberFormat="1">
      <alignment horizontal="right" shrinkToFit="0" textRotation="0" vertical="center" wrapText="1"/>
    </xf>
    <xf borderId="0" fillId="0" fontId="5" numFmtId="165" xfId="0" applyAlignment="1" applyFont="1" applyNumberFormat="1">
      <alignment shrinkToFit="0" textRotation="0" vertical="center" wrapText="1"/>
    </xf>
    <xf borderId="0" fillId="0" fontId="3" numFmtId="49" xfId="0" applyAlignment="1" applyFont="1" applyNumberFormat="1">
      <alignment horizontal="right" readingOrder="0" shrinkToFit="0" textRotation="0" vertical="center" wrapText="1"/>
    </xf>
    <xf borderId="0" fillId="0" fontId="3" numFmtId="0" xfId="0" applyAlignment="1" applyFont="1">
      <alignment horizontal="left" readingOrder="0" shrinkToFit="0" textRotation="0" vertical="center" wrapText="1"/>
    </xf>
    <xf borderId="0" fillId="0" fontId="3" numFmtId="165" xfId="0" applyAlignment="1" applyFont="1" applyNumberFormat="1">
      <alignment horizontal="right" shrinkToFit="0" textRotation="0" vertical="center" wrapText="1"/>
    </xf>
    <xf borderId="0" fillId="0" fontId="3" numFmtId="0" xfId="0" applyAlignment="1" applyFont="1">
      <alignment horizontal="right" readingOrder="0" shrinkToFit="0" textRotation="0" vertical="center" wrapText="1"/>
    </xf>
    <xf borderId="0" fillId="0" fontId="3" numFmtId="0" xfId="0" applyAlignment="1" applyFont="1">
      <alignment readingOrder="0" shrinkToFit="0" textRotation="0" vertical="center" wrapText="1"/>
    </xf>
    <xf borderId="0" fillId="4" fontId="5" numFmtId="165" xfId="0" applyAlignment="1" applyFill="1" applyFont="1" applyNumberFormat="1">
      <alignment horizontal="right" shrinkToFit="0" textRotation="0" vertical="center" wrapText="1"/>
    </xf>
    <xf borderId="0" fillId="0" fontId="5" numFmtId="0" xfId="0" applyAlignment="1" applyFont="1">
      <alignment horizontal="right" shrinkToFit="0" textRotation="0" vertical="center" wrapText="1"/>
    </xf>
    <xf borderId="1" fillId="5" fontId="3" numFmtId="165" xfId="0" applyAlignment="1" applyBorder="1" applyFill="1" applyFont="1" applyNumberFormat="1">
      <alignment horizontal="right" shrinkToFit="0" textRotation="0" vertical="center" wrapText="1"/>
    </xf>
    <xf borderId="0" fillId="0" fontId="7" numFmtId="0" xfId="0" applyAlignment="1" applyFont="1">
      <alignment shrinkToFit="0" textRotation="0" wrapText="1"/>
    </xf>
    <xf borderId="0" fillId="0" fontId="3" numFmtId="0" xfId="0" applyAlignment="1" applyFont="1">
      <alignment horizontal="right" shrinkToFit="0" textRotation="0" vertical="center" wrapText="1"/>
    </xf>
    <xf borderId="0" fillId="0" fontId="3" numFmtId="0" xfId="0" applyAlignment="1" applyFont="1">
      <alignment horizontal="left" shrinkToFit="0" textRotation="0" vertical="center" wrapText="1"/>
    </xf>
    <xf borderId="0" fillId="0" fontId="3" numFmtId="0" xfId="0" applyAlignment="1" applyFont="1">
      <alignment shrinkToFit="0" textRotation="0" vertical="center" wrapText="1"/>
    </xf>
    <xf borderId="0" fillId="0" fontId="5" numFmtId="1" xfId="0" applyAlignment="1" applyFont="1" applyNumberFormat="1">
      <alignment horizontal="left" readingOrder="0" shrinkToFit="0" textRotation="0" vertical="center" wrapText="1"/>
    </xf>
    <xf borderId="0" fillId="0" fontId="5" numFmtId="0" xfId="0" applyAlignment="1" applyFont="1">
      <alignment horizontal="right" readingOrder="0" shrinkToFit="0" textRotation="0" wrapText="1"/>
    </xf>
    <xf borderId="0" fillId="4" fontId="8" numFmtId="165" xfId="0" applyAlignment="1" applyFill="1" applyFont="1" applyNumberFormat="1">
      <alignment horizontal="right" readingOrder="0" shrinkToFit="0" textRotation="0" wrapText="1"/>
    </xf>
    <xf borderId="0" fillId="0" fontId="5" numFmtId="0" xfId="0" applyAlignment="1" applyFont="1">
      <alignment horizontal="right" shrinkToFit="0" textRotation="0" wrapText="1"/>
    </xf>
    <xf borderId="0" fillId="0" fontId="5" numFmtId="49" xfId="0" applyAlignment="1" applyFont="1" applyNumberFormat="1">
      <alignment horizontal="right" shrinkToFit="0" textRotation="0" vertical="bottom" wrapText="1"/>
    </xf>
    <xf borderId="0" fillId="0" fontId="5" numFmtId="0" xfId="0" applyAlignment="1" applyFont="1">
      <alignment shrinkToFit="0" textRotation="0" vertical="bottom" wrapText="1"/>
    </xf>
    <xf borderId="0" fillId="0" fontId="5" numFmtId="165" xfId="0" applyAlignment="1" applyFont="1" applyNumberFormat="1">
      <alignment horizontal="right" shrinkToFit="0" textRotation="0" vertical="bottom" wrapText="1"/>
    </xf>
    <xf borderId="0" fillId="0" fontId="3" numFmtId="49" xfId="0" applyAlignment="1" applyFont="1" applyNumberFormat="1">
      <alignment horizontal="right" readingOrder="0" shrinkToFit="0" textRotation="0" vertical="bottom" wrapText="1"/>
    </xf>
    <xf borderId="0" fillId="0" fontId="3" numFmtId="0" xfId="0" applyAlignment="1" applyFont="1">
      <alignment readingOrder="0" shrinkToFit="0" textRotation="0" vertical="bottom" wrapText="1"/>
    </xf>
    <xf borderId="6" fillId="0" fontId="3" numFmtId="0" xfId="0" applyAlignment="1" applyBorder="1" applyFont="1">
      <alignment horizontal="right" readingOrder="0" shrinkToFit="0" textRotation="0" wrapText="1"/>
    </xf>
    <xf borderId="1" fillId="5" fontId="3" numFmtId="165" xfId="0" applyAlignment="1" applyBorder="1" applyFill="1" applyFont="1" applyNumberFormat="1">
      <alignment horizontal="right" shrinkToFit="0" textRotation="0" wrapText="1"/>
    </xf>
    <xf borderId="0" fillId="0" fontId="7" numFmtId="0" xfId="0" applyAlignment="1" applyFont="1">
      <alignment horizontal="right" shrinkToFit="0" textRotation="0" wrapText="1"/>
    </xf>
    <xf borderId="0" fillId="0" fontId="9" numFmtId="4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right" readingOrder="0" shrinkToFit="0" textRotation="0" wrapText="1"/>
    </xf>
    <xf borderId="0" fillId="2" fontId="9" numFmtId="0" xfId="0" applyAlignment="1" applyFill="1" applyFont="1">
      <alignment horizontal="center" readingOrder="0" shrinkToFit="0" vertical="center" wrapText="0"/>
    </xf>
    <xf borderId="0" fillId="0" fontId="3" numFmtId="165" xfId="0" applyAlignment="1" applyFont="1" applyNumberFormat="1">
      <alignment horizontal="right" shrinkToFit="0" textRotation="0" wrapText="1"/>
    </xf>
    <xf borderId="0" fillId="0" fontId="3" numFmtId="49" xfId="0" applyAlignment="1" applyFont="1" applyNumberFormat="1">
      <alignment horizontal="right" shrinkToFit="0" wrapText="1"/>
    </xf>
    <xf borderId="2" fillId="2" fontId="9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shrinkToFit="0" wrapText="1"/>
    </xf>
    <xf borderId="0" fillId="0" fontId="5" numFmtId="165" xfId="0" applyFont="1" applyNumberFormat="1"/>
    <xf borderId="0" fillId="0" fontId="9" numFmtId="0" xfId="0" applyAlignment="1" applyFont="1">
      <alignment horizontal="center" shrinkToFit="0" vertical="center" wrapText="0"/>
    </xf>
    <xf borderId="0" fillId="0" fontId="5" numFmtId="0" xfId="0" applyAlignment="1" applyFont="1">
      <alignment vertical="bottom"/>
    </xf>
    <xf borderId="0" fillId="0" fontId="6" numFmtId="165" xfId="0" applyAlignment="1" applyFont="1" applyNumberFormat="1">
      <alignment readingOrder="0"/>
    </xf>
    <xf borderId="0" fillId="0" fontId="5" numFmtId="49" xfId="0" applyAlignment="1" applyFont="1" applyNumberFormat="1">
      <alignment horizontal="right" readingOrder="0" shrinkToFit="0" textRotation="0" vertical="bottom" wrapText="1"/>
    </xf>
    <xf borderId="0" fillId="6" fontId="5" numFmtId="0" xfId="0" applyAlignment="1" applyFill="1" applyFont="1">
      <alignment readingOrder="0" shrinkToFit="0" textRotation="0" vertical="center" wrapText="1"/>
    </xf>
    <xf borderId="0" fillId="6" fontId="5" numFmtId="165" xfId="0" applyAlignment="1" applyFill="1" applyFont="1" applyNumberFormat="1">
      <alignment horizontal="right" readingOrder="0" shrinkToFit="0" textRotation="0" vertical="center" wrapText="1"/>
    </xf>
    <xf borderId="0" fillId="0" fontId="3" numFmtId="0" xfId="0" applyAlignment="1" applyFont="1">
      <alignment horizontal="right" shrinkToFit="0" wrapText="1"/>
    </xf>
    <xf borderId="0" fillId="0" fontId="10" numFmtId="0" xfId="0" applyAlignment="1" applyFont="1">
      <alignment shrinkToFit="0" vertical="center" wrapText="0"/>
    </xf>
    <xf borderId="0" fillId="6" fontId="5" numFmtId="165" xfId="0" applyAlignment="1" applyFill="1" applyFont="1" applyNumberFormat="1">
      <alignment shrinkToFit="0" textRotation="0" wrapText="1"/>
    </xf>
    <xf borderId="0" fillId="0" fontId="11" numFmtId="165" xfId="0" applyAlignment="1" applyFont="1" applyNumberForma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6" fontId="5" numFmtId="165" xfId="0" applyAlignment="1" applyFill="1" applyFont="1" applyNumberFormat="1">
      <alignment horizontal="right" shrinkToFit="0" textRotation="0" vertical="center" wrapText="1"/>
    </xf>
    <xf borderId="0" fillId="0" fontId="5" numFmtId="165" xfId="0" applyAlignment="1" applyFont="1" applyNumberFormat="1">
      <alignment shrinkToFit="0" textRotation="0" wrapText="1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shrinkToFit="0" wrapText="1"/>
    </xf>
    <xf borderId="7" fillId="0" fontId="5" numFmtId="165" xfId="0" applyAlignment="1" applyBorder="1" applyFont="1" applyNumberFormat="1">
      <alignment horizontal="right" shrinkToFit="0" wrapText="1"/>
    </xf>
    <xf borderId="7" fillId="0" fontId="5" numFmtId="165" xfId="0" applyBorder="1" applyFont="1" applyNumberFormat="1"/>
    <xf borderId="0" fillId="0" fontId="5" numFmtId="0" xfId="0" applyAlignment="1" applyFont="1">
      <alignment horizontal="left" shrinkToFit="0" textRotation="0" vertical="center" wrapText="1"/>
    </xf>
    <xf borderId="7" fillId="4" fontId="5" numFmtId="165" xfId="0" applyAlignment="1" applyBorder="1" applyFill="1" applyFont="1" applyNumberFormat="1">
      <alignment horizontal="right" shrinkToFit="0" wrapText="1"/>
    </xf>
    <xf borderId="0" fillId="0" fontId="5" numFmtId="4" xfId="0" applyAlignment="1" applyFont="1" applyNumberFormat="1">
      <alignment readingOrder="0" shrinkToFit="0" textRotation="0" wrapText="1"/>
    </xf>
    <xf borderId="5" fillId="3" fontId="12" numFmtId="49" xfId="0" applyAlignment="1" applyBorder="1" applyFill="1" applyFont="1" applyNumberFormat="1">
      <alignment horizontal="center" shrinkToFit="0" vertical="center" wrapText="1"/>
    </xf>
    <xf borderId="0" fillId="0" fontId="5" numFmtId="0" xfId="0" applyAlignment="1" applyFont="1">
      <alignment horizontal="right"/>
    </xf>
    <xf borderId="5" fillId="3" fontId="13" numFmtId="0" xfId="0" applyAlignment="1" applyBorder="1" applyFill="1" applyFont="1">
      <alignment horizontal="center" shrinkToFit="0" vertical="center" wrapText="1"/>
    </xf>
    <xf borderId="6" fillId="0" fontId="3" numFmtId="0" xfId="0" applyAlignment="1" applyBorder="1" applyFont="1">
      <alignment horizontal="right" shrinkToFit="0" wrapText="1"/>
    </xf>
    <xf borderId="5" fillId="3" fontId="13" numFmtId="165" xfId="0" applyAlignment="1" applyBorder="1" applyFill="1" applyFont="1" applyNumberFormat="1">
      <alignment horizontal="center" shrinkToFit="0" vertical="center" wrapText="1"/>
    </xf>
    <xf borderId="5" fillId="3" fontId="13" numFmtId="166" xfId="0" applyAlignment="1" applyBorder="1" applyFill="1" applyFont="1" applyNumberFormat="1">
      <alignment horizontal="center" shrinkToFit="0" vertical="center" wrapText="1"/>
    </xf>
    <xf borderId="8" fillId="5" fontId="3" numFmtId="165" xfId="0" applyAlignment="1" applyBorder="1" applyFill="1" applyFont="1" applyNumberFormat="1">
      <alignment horizontal="right" shrinkToFit="0" wrapText="1"/>
    </xf>
    <xf borderId="0" fillId="0" fontId="5" numFmtId="4" xfId="0" applyAlignment="1" applyFont="1" applyNumberFormat="1">
      <alignment shrinkToFit="0" textRotation="0" wrapText="1"/>
    </xf>
    <xf borderId="5" fillId="3" fontId="13" numFmtId="166" xfId="0" applyAlignment="1" applyBorder="1" applyFill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shrinkToFit="0" textRotation="0" vertical="center" wrapText="1"/>
    </xf>
    <xf borderId="5" fillId="3" fontId="13" numFmtId="165" xfId="0" applyAlignment="1" applyBorder="1" applyFill="1" applyFont="1" applyNumberFormat="1">
      <alignment horizontal="center" readingOrder="0" shrinkToFit="0" vertical="center" wrapText="1"/>
    </xf>
    <xf borderId="9" fillId="0" fontId="14" numFmtId="49" xfId="0" applyAlignment="1" applyBorder="1" applyFont="1" applyNumberFormat="1">
      <alignment vertical="bottom"/>
    </xf>
    <xf borderId="0" fillId="0" fontId="5" numFmtId="0" xfId="0" applyAlignment="1" applyFont="1">
      <alignment horizontal="right" readingOrder="0" shrinkToFit="0" textRotation="0" vertical="center" wrapText="1"/>
    </xf>
    <xf borderId="10" fillId="0" fontId="11" numFmtId="0" xfId="0" applyAlignment="1" applyBorder="1" applyFont="1">
      <alignment vertical="bottom"/>
    </xf>
    <xf borderId="0" fillId="6" fontId="5" numFmtId="0" xfId="0" applyAlignment="1" applyFill="1" applyFont="1">
      <alignment readingOrder="0" shrinkToFit="0" textRotation="0" wrapText="1"/>
    </xf>
    <xf borderId="10" fillId="0" fontId="11" numFmtId="165" xfId="0" applyAlignment="1" applyBorder="1" applyFont="1" applyNumberFormat="1">
      <alignment horizontal="right" vertical="bottom"/>
    </xf>
    <xf borderId="0" fillId="6" fontId="5" numFmtId="165" xfId="0" applyAlignment="1" applyFill="1" applyFont="1" applyNumberFormat="1">
      <alignment horizontal="right" readingOrder="0" shrinkToFit="0" textRotation="0" wrapText="1"/>
    </xf>
    <xf borderId="0" fillId="0" fontId="10" numFmtId="166" xfId="0" applyAlignment="1" applyFont="1" applyNumberFormat="1">
      <alignment horizontal="right" readingOrder="0" shrinkToFit="0" vertical="center" wrapText="0"/>
    </xf>
    <xf borderId="0" fillId="6" fontId="7" numFmtId="0" xfId="0" applyAlignment="1" applyFill="1" applyFont="1">
      <alignment shrinkToFit="0" textRotation="0" wrapText="1"/>
    </xf>
    <xf borderId="0" fillId="0" fontId="10" numFmtId="166" xfId="0" applyAlignment="1" applyFont="1" applyNumberFormat="1">
      <alignment horizontal="right" shrinkToFit="0" vertical="center" wrapText="0"/>
    </xf>
    <xf borderId="0" fillId="6" fontId="5" numFmtId="165" xfId="0" applyAlignment="1" applyFill="1" applyFont="1" applyNumberFormat="1">
      <alignment shrinkToFit="0" textRotation="0" vertical="center" wrapText="1"/>
    </xf>
    <xf borderId="0" fillId="0" fontId="10" numFmtId="166" xfId="0" applyAlignment="1" applyFont="1" applyNumberFormat="1">
      <alignment shrinkToFit="0" vertical="center" wrapText="0"/>
    </xf>
    <xf borderId="0" fillId="7" fontId="6" numFmtId="0" xfId="0" applyAlignment="1" applyFill="1" applyFont="1">
      <alignment readingOrder="0"/>
    </xf>
    <xf borderId="0" fillId="0" fontId="5" numFmtId="0" xfId="0" applyAlignment="1" applyFont="1">
      <alignment readingOrder="0" shrinkToFit="0" textRotation="0" wrapText="1"/>
    </xf>
    <xf borderId="11" fillId="0" fontId="14" numFmtId="49" xfId="0" applyAlignment="1" applyBorder="1" applyFont="1" applyNumberFormat="1">
      <alignment vertical="bottom"/>
    </xf>
    <xf borderId="0" fillId="0" fontId="5" numFmtId="0" xfId="0" applyAlignment="1" applyFont="1">
      <alignment shrinkToFit="0" textRotation="0" wrapText="1"/>
    </xf>
    <xf borderId="0" fillId="0" fontId="11" numFmtId="0" xfId="0" applyAlignment="1" applyFont="1">
      <alignment vertical="bottom"/>
    </xf>
    <xf borderId="0" fillId="0" fontId="5" numFmtId="165" xfId="0" applyAlignment="1" applyFont="1" applyNumberFormat="1">
      <alignment horizontal="right" shrinkToFit="0" textRotation="0" wrapText="1"/>
    </xf>
    <xf borderId="0" fillId="0" fontId="11" numFmtId="165" xfId="0" applyAlignment="1" applyFont="1" applyNumberFormat="1">
      <alignment horizontal="right" vertical="bottom"/>
    </xf>
    <xf borderId="11" fillId="0" fontId="11" numFmtId="49" xfId="0" applyAlignment="1" applyBorder="1" applyFont="1" applyNumberFormat="1">
      <alignment vertical="bottom"/>
    </xf>
    <xf borderId="0" fillId="0" fontId="8" numFmtId="0" xfId="0" applyAlignment="1" applyFont="1">
      <alignment readingOrder="0" shrinkToFit="0" textRotation="0" vertical="center" wrapText="1"/>
    </xf>
    <xf borderId="0" fillId="0" fontId="8" numFmtId="165" xfId="0" applyAlignment="1" applyFont="1" applyNumberFormat="1">
      <alignment horizontal="right" readingOrder="0" shrinkToFit="0" textRotation="0" vertical="center" wrapText="1"/>
    </xf>
    <xf borderId="12" fillId="0" fontId="14" numFmtId="49" xfId="0" applyAlignment="1" applyBorder="1" applyFont="1" applyNumberFormat="1">
      <alignment vertical="bottom"/>
    </xf>
    <xf borderId="7" fillId="0" fontId="11" numFmtId="0" xfId="0" applyAlignment="1" applyBorder="1" applyFont="1">
      <alignment vertical="bottom"/>
    </xf>
    <xf borderId="7" fillId="0" fontId="11" numFmtId="165" xfId="0" applyAlignment="1" applyBorder="1" applyFont="1" applyNumberFormat="1">
      <alignment horizontal="right" vertical="bottom"/>
    </xf>
    <xf borderId="0" fillId="0" fontId="14" numFmtId="49" xfId="0" applyAlignment="1" applyFont="1" applyNumberFormat="1">
      <alignment vertical="bottom"/>
    </xf>
    <xf borderId="0" fillId="0" fontId="11" numFmtId="0" xfId="0" applyAlignment="1" applyFont="1">
      <alignment readingOrder="0" vertical="bottom"/>
    </xf>
    <xf borderId="0" fillId="0" fontId="11" numFmtId="165" xfId="0" applyAlignment="1" applyFont="1" applyNumberFormat="1">
      <alignment horizontal="right" readingOrder="0" vertical="bottom"/>
    </xf>
    <xf borderId="0" fillId="0" fontId="15" numFmtId="49" xfId="0" applyAlignment="1" applyFont="1" applyNumberFormat="1">
      <alignment horizontal="right"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165" xfId="0" applyAlignment="1" applyFont="1" applyNumberFormat="1">
      <alignment horizontal="right" readingOrder="0" shrinkToFit="0" vertical="center" wrapText="0"/>
    </xf>
    <xf borderId="0" fillId="0" fontId="7" numFmtId="0" xfId="0" applyFont="1"/>
    <xf borderId="13" fillId="5" fontId="3" numFmtId="165" xfId="0" applyAlignment="1" applyBorder="1" applyFill="1" applyFont="1" applyNumberFormat="1">
      <alignment horizontal="right" shrinkToFit="0" textRotation="0" vertical="center" wrapText="1"/>
    </xf>
    <xf borderId="0" fillId="0" fontId="10" numFmtId="166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horizontal="right" readingOrder="0" shrinkToFit="0" textRotation="0" wrapText="1"/>
    </xf>
    <xf borderId="0" fillId="0" fontId="10" numFmtId="1" xfId="0" applyAlignment="1" applyFont="1" applyNumberFormat="1">
      <alignment horizontal="left" readingOrder="0" shrinkToFit="0" vertical="center" wrapText="0"/>
    </xf>
    <xf borderId="0" fillId="0" fontId="5" numFmtId="165" xfId="0" applyAlignment="1" applyFont="1" applyNumberFormat="1">
      <alignment shrinkToFit="0" textRotation="0" vertical="bottom" wrapText="1"/>
    </xf>
    <xf borderId="0" fillId="0" fontId="5" numFmtId="0" xfId="0" applyAlignment="1" applyFont="1">
      <alignment shrinkToFit="0" textRotation="0" vertical="bottom" wrapText="1"/>
    </xf>
    <xf borderId="0" fillId="4" fontId="16" numFmtId="165" xfId="0" applyAlignment="1" applyFill="1" applyFont="1" applyNumberFormat="1">
      <alignment horizontal="right" readingOrder="0"/>
    </xf>
    <xf borderId="0" fillId="0" fontId="17" numFmtId="0" xfId="0" applyAlignment="1" applyFont="1">
      <alignment shrinkToFit="0" vertical="center" wrapText="0"/>
    </xf>
    <xf borderId="0" fillId="0" fontId="3" numFmtId="49" xfId="0" applyAlignment="1" applyFont="1" applyNumberFormat="1">
      <alignment horizontal="right" readingOrder="0" shrinkToFit="0" textRotation="0" wrapText="1"/>
    </xf>
    <xf borderId="0" fillId="0" fontId="3" numFmtId="0" xfId="0" applyAlignment="1" applyFont="1">
      <alignment readingOrder="0" shrinkToFit="0" textRotation="0" wrapText="1"/>
    </xf>
    <xf borderId="0" fillId="0" fontId="10" numFmtId="165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horizontal="right" shrinkToFit="0" textRotation="0" wrapText="1"/>
    </xf>
    <xf borderId="0" fillId="0" fontId="3" numFmtId="0" xfId="0" applyAlignment="1" applyFont="1">
      <alignment shrinkToFit="0" textRotation="0" wrapText="1"/>
    </xf>
    <xf borderId="0" fillId="0" fontId="5" numFmtId="1" xfId="0" applyAlignment="1" applyFont="1" applyNumberFormat="1">
      <alignment shrinkToFit="0" textRotation="0" wrapText="1"/>
    </xf>
    <xf borderId="0" fillId="0" fontId="10" numFmtId="0" xfId="0" applyAlignment="1" applyFont="1">
      <alignment readingOrder="0"/>
    </xf>
    <xf borderId="0" fillId="0" fontId="5" numFmtId="165" xfId="0" applyAlignment="1" applyFont="1" applyNumberFormat="1">
      <alignment horizontal="right" readingOrder="0" shrinkToFit="0" textRotation="0" wrapText="1"/>
    </xf>
    <xf borderId="0" fillId="0" fontId="5" numFmtId="165" xfId="0" applyAlignment="1" applyFont="1" applyNumberFormat="1">
      <alignment readingOrder="0" shrinkToFit="0" textRotation="0" wrapText="1"/>
    </xf>
    <xf borderId="0" fillId="0" fontId="5" numFmtId="1" xfId="0" applyAlignment="1" applyFont="1" applyNumberFormat="1">
      <alignment readingOrder="0" shrinkToFit="0" textRotation="0" wrapText="1"/>
    </xf>
    <xf borderId="0" fillId="8" fontId="5" numFmtId="0" xfId="0" applyAlignment="1" applyFill="1" applyFont="1">
      <alignment readingOrder="0" shrinkToFit="0" textRotation="0" wrapText="1"/>
    </xf>
    <xf borderId="0" fillId="8" fontId="5" numFmtId="165" xfId="0" applyAlignment="1" applyFill="1" applyFont="1" applyNumberFormat="1">
      <alignment horizontal="right" readingOrder="0" shrinkToFit="0" textRotation="0" wrapText="1"/>
    </xf>
    <xf borderId="0" fillId="8" fontId="5" numFmtId="165" xfId="0" applyAlignment="1" applyFill="1" applyFont="1" applyNumberFormat="1">
      <alignment horizontal="right" shrinkToFit="0" textRotation="0" wrapText="1"/>
    </xf>
    <xf borderId="0" fillId="8" fontId="5" numFmtId="165" xfId="0" applyAlignment="1" applyFill="1" applyFont="1" applyNumberFormat="1">
      <alignment readingOrder="0" shrinkToFit="0" textRotation="0" wrapText="1"/>
    </xf>
    <xf borderId="0" fillId="8" fontId="5" numFmtId="165" xfId="0" applyAlignment="1" applyFill="1" applyFont="1" applyNumberFormat="1">
      <alignment shrinkToFit="0" textRotation="0" wrapText="1"/>
    </xf>
    <xf borderId="0" fillId="8" fontId="5" numFmtId="165" xfId="0" applyAlignment="1" applyFill="1" applyFont="1" applyNumberFormat="1">
      <alignment horizontal="right" shrinkToFit="0" textRotation="0" vertical="center" wrapText="1"/>
    </xf>
    <xf borderId="0" fillId="0" fontId="10" numFmtId="165" xfId="0" applyAlignment="1" applyFont="1" applyNumberFormat="1">
      <alignment readingOrder="0" shrinkToFit="0" vertical="center" wrapText="0"/>
    </xf>
    <xf borderId="5" fillId="3" fontId="3" numFmtId="165" xfId="0" applyAlignment="1" applyBorder="1" applyFill="1" applyFont="1" applyNumberFormat="1">
      <alignment horizontal="center" shrinkToFit="0" vertical="center" wrapText="1"/>
    </xf>
    <xf borderId="0" fillId="4" fontId="5" numFmtId="49" xfId="0" applyAlignment="1" applyFill="1" applyFont="1" applyNumberFormat="1">
      <alignment horizontal="right" readingOrder="0" shrinkToFit="0" textRotation="0" vertical="bottom" wrapText="1"/>
    </xf>
    <xf borderId="0" fillId="4" fontId="5" numFmtId="0" xfId="0" applyAlignment="1" applyFill="1" applyFont="1">
      <alignment readingOrder="0" shrinkToFit="0" textRotation="0" vertical="center" wrapText="1"/>
    </xf>
    <xf borderId="0" fillId="4" fontId="5" numFmtId="165" xfId="0" applyAlignment="1" applyFill="1" applyFont="1" applyNumberFormat="1">
      <alignment horizontal="right" readingOrder="0" shrinkToFit="0" textRotation="0" vertical="center" wrapText="1"/>
    </xf>
    <xf borderId="0" fillId="4" fontId="5" numFmtId="165" xfId="0" applyAlignment="1" applyFill="1" applyFont="1" applyNumberFormat="1">
      <alignment shrinkToFit="0" textRotation="0" wrapText="1"/>
    </xf>
    <xf borderId="0" fillId="4" fontId="5" numFmtId="0" xfId="0" applyAlignment="1" applyFill="1" applyFont="1">
      <alignment shrinkToFit="0" textRotation="0" wrapText="1"/>
    </xf>
    <xf borderId="0" fillId="0" fontId="18" numFmtId="0" xfId="0" applyAlignment="1" applyFont="1">
      <alignment readingOrder="0" shrinkToFit="0" vertical="center" wrapText="0"/>
    </xf>
    <xf borderId="0" fillId="0" fontId="18" numFmtId="1" xfId="0" applyAlignment="1" applyFont="1" applyNumberFormat="1">
      <alignment horizontal="left" readingOrder="0" shrinkToFit="0" vertical="center" wrapText="0"/>
    </xf>
    <xf borderId="0" fillId="0" fontId="18" numFmtId="165" xfId="0" applyAlignment="1" applyFont="1" applyNumberFormat="1">
      <alignment readingOrder="0" shrinkToFit="0" vertical="center" wrapText="0"/>
    </xf>
    <xf borderId="5" fillId="3" fontId="3" numFmtId="165" xfId="0" applyAlignment="1" applyBorder="1" applyFill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readingOrder="0" shrinkToFit="0" textRotation="0" vertical="center" wrapText="1"/>
    </xf>
    <xf borderId="0" fillId="0" fontId="19" numFmtId="0" xfId="0" applyAlignment="1" applyFont="1">
      <alignment readingOrder="0"/>
    </xf>
    <xf borderId="0" fillId="0" fontId="10" numFmtId="0" xfId="0" applyFont="1"/>
    <xf borderId="0" fillId="0" fontId="10" numFmtId="165" xfId="0" applyAlignment="1" applyFont="1" applyNumberFormat="1">
      <alignment horizontal="right"/>
    </xf>
    <xf borderId="0" fillId="0" fontId="10" numFmtId="166" xfId="0" applyAlignment="1" applyFont="1" applyNumberFormat="1">
      <alignment horizontal="right"/>
    </xf>
    <xf borderId="0" fillId="0" fontId="5" numFmtId="1" xfId="0" applyAlignment="1" applyFont="1" applyNumberFormat="1">
      <alignment readingOrder="0" shrinkToFit="0" textRotation="0" vertical="center" wrapText="1"/>
    </xf>
    <xf borderId="0" fillId="0" fontId="11" numFmtId="166" xfId="0" applyFont="1" applyNumberFormat="1"/>
    <xf borderId="0" fillId="0" fontId="11" numFmtId="0" xfId="0" applyAlignment="1" applyFont="1">
      <alignment vertical="bottom"/>
    </xf>
    <xf borderId="0" fillId="7" fontId="11" numFmtId="0" xfId="0" applyAlignment="1" applyFill="1" applyFont="1">
      <alignment vertical="bottom"/>
    </xf>
    <xf borderId="0" fillId="6" fontId="5" numFmtId="0" xfId="0" applyAlignment="1" applyFill="1" applyFont="1">
      <alignment shrinkToFit="0" textRotation="0" wrapText="1"/>
    </xf>
    <xf borderId="0" fillId="6" fontId="5" numFmtId="1" xfId="0" applyAlignment="1" applyFill="1" applyFont="1" applyNumberFormat="1">
      <alignment readingOrder="0" shrinkToFit="0" textRotation="0" vertical="center" wrapText="1"/>
    </xf>
    <xf borderId="0" fillId="0" fontId="17" numFmtId="0" xfId="0" applyAlignment="1" applyFont="1">
      <alignment readingOrder="0" shrinkToFit="0" vertical="center" wrapText="0"/>
    </xf>
    <xf borderId="0" fillId="0" fontId="17" numFmtId="165" xfId="0" applyAlignment="1" applyFont="1" applyNumberFormat="1">
      <alignment horizontal="right" readingOrder="0" shrinkToFit="0" vertical="center" wrapText="0"/>
    </xf>
    <xf borderId="0" fillId="4" fontId="5" numFmtId="165" xfId="0" applyAlignment="1" applyFill="1" applyFont="1" applyNumberFormat="1">
      <alignment horizontal="right" shrinkToFit="0" textRotation="0" vertical="bottom" wrapText="1"/>
    </xf>
    <xf borderId="0" fillId="4" fontId="6" numFmtId="0" xfId="0" applyAlignment="1" applyFill="1" applyFont="1">
      <alignment readingOrder="0"/>
    </xf>
    <xf borderId="0" fillId="0" fontId="17" numFmtId="166" xfId="0" applyAlignment="1" applyFont="1" applyNumberFormat="1">
      <alignment horizontal="right" shrinkToFit="0" vertical="center" wrapText="0"/>
    </xf>
    <xf borderId="0" fillId="0" fontId="17" numFmtId="166" xfId="0" applyAlignment="1" applyFont="1" applyNumberFormat="1">
      <alignment shrinkToFit="0" vertical="center" wrapText="0"/>
    </xf>
    <xf borderId="0" fillId="9" fontId="6" numFmtId="0" xfId="0" applyAlignment="1" applyFill="1" applyFont="1">
      <alignment readingOrder="0"/>
    </xf>
    <xf borderId="0" fillId="0" fontId="10" numFmtId="49" xfId="0" applyAlignment="1" applyFont="1" applyNumberFormat="1">
      <alignment horizontal="right" shrinkToFit="0" vertical="center" wrapText="0"/>
    </xf>
    <xf borderId="0" fillId="0" fontId="5" numFmtId="0" xfId="0" applyAlignment="1" applyFont="1">
      <alignment horizontal="left" vertical="center"/>
    </xf>
    <xf borderId="0" fillId="0" fontId="5" numFmtId="1" xfId="0" applyAlignment="1" applyFont="1" applyNumberFormat="1">
      <alignment horizontal="left" shrinkToFit="0" textRotation="0" vertical="center" wrapText="1"/>
    </xf>
    <xf borderId="0" fillId="0" fontId="20" numFmtId="1" xfId="0" applyAlignment="1" applyFont="1" applyNumberFormat="1">
      <alignment horizontal="left" readingOrder="0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textRotation="0" vertical="bottom" wrapText="1"/>
    </xf>
    <xf borderId="0" fillId="0" fontId="5" numFmtId="165" xfId="0" applyAlignment="1" applyFont="1" applyNumberFormat="1">
      <alignment horizontal="right" readingOrder="0" shrinkToFit="0" textRotation="0" vertical="bottom" wrapText="1"/>
    </xf>
    <xf borderId="0" fillId="0" fontId="21" numFmtId="165" xfId="0" applyAlignment="1" applyFont="1" applyNumberFormat="1">
      <alignment horizontal="right" shrinkToFit="0" textRotation="0" vertical="center" wrapText="1"/>
    </xf>
    <xf borderId="0" fillId="6" fontId="8" numFmtId="0" xfId="0" applyAlignment="1" applyFill="1" applyFont="1">
      <alignment readingOrder="0" shrinkToFit="0" textRotation="0" vertical="center" wrapText="1"/>
    </xf>
    <xf borderId="0" fillId="6" fontId="8" numFmtId="165" xfId="0" applyAlignment="1" applyFill="1" applyFont="1" applyNumberFormat="1">
      <alignment horizontal="right" shrinkToFit="0" textRotation="0" vertical="center" wrapText="1"/>
    </xf>
    <xf borderId="0" fillId="6" fontId="8" numFmtId="165" xfId="0" applyAlignment="1" applyFill="1" applyFont="1" applyNumberFormat="1">
      <alignment shrinkToFit="0" textRotation="0" vertical="center" wrapText="1"/>
    </xf>
    <xf borderId="0" fillId="0" fontId="5" numFmtId="0" xfId="0" applyAlignment="1" applyFont="1">
      <alignment horizontal="left" readingOrder="0" shrinkToFit="0" textRotation="0" vertical="center" wrapText="1"/>
    </xf>
    <xf borderId="0" fillId="6" fontId="5" numFmtId="0" xfId="0" applyAlignment="1" applyFill="1" applyFont="1">
      <alignment horizontal="left" shrinkToFit="0" textRotation="0" vertical="center" wrapText="1"/>
    </xf>
    <xf borderId="0" fillId="6" fontId="5" numFmtId="165" xfId="0" applyAlignment="1" applyFill="1" applyFont="1" applyNumberFormat="1">
      <alignment readingOrder="0" shrinkToFit="0" textRotation="0" vertical="center" wrapText="1"/>
    </xf>
    <xf borderId="0" fillId="10" fontId="5" numFmtId="0" xfId="0" applyAlignment="1" applyFill="1" applyFont="1">
      <alignment readingOrder="0" shrinkToFit="0" textRotation="0" vertical="center" wrapText="1"/>
    </xf>
    <xf borderId="0" fillId="10" fontId="5" numFmtId="165" xfId="0" applyAlignment="1" applyFill="1" applyFont="1" applyNumberFormat="1">
      <alignment horizontal="right" readingOrder="0" shrinkToFit="0" textRotation="0" vertical="center" wrapText="1"/>
    </xf>
    <xf borderId="0" fillId="10" fontId="5" numFmtId="165" xfId="0" applyAlignment="1" applyFill="1" applyFont="1" applyNumberFormat="1">
      <alignment shrinkToFit="0" textRotation="0" wrapText="1"/>
    </xf>
    <xf borderId="0" fillId="10" fontId="5" numFmtId="165" xfId="0" applyAlignment="1" applyFill="1" applyFont="1" applyNumberFormat="1">
      <alignment horizontal="right" shrinkToFit="0" textRotation="0" vertical="center" wrapText="1"/>
    </xf>
    <xf borderId="0" fillId="0" fontId="16" numFmtId="0" xfId="0" applyAlignment="1" applyFont="1">
      <alignment readingOrder="0" shrinkToFit="0" vertical="center" wrapText="0"/>
    </xf>
    <xf borderId="0" fillId="0" fontId="16" numFmtId="165" xfId="0" applyAlignment="1" applyFont="1" applyNumberFormat="1">
      <alignment horizontal="right" readingOrder="0" shrinkToFit="0" vertical="center" wrapText="0"/>
    </xf>
    <xf borderId="0" fillId="11" fontId="3" numFmtId="49" xfId="0" applyAlignment="1" applyFill="1" applyFont="1" applyNumberFormat="1">
      <alignment horizontal="right" readingOrder="0" shrinkToFit="0" textRotation="0" vertical="center" wrapText="1"/>
    </xf>
    <xf borderId="0" fillId="11" fontId="3" numFmtId="0" xfId="0" applyAlignment="1" applyFill="1" applyFont="1">
      <alignment horizontal="left" readingOrder="0" shrinkToFit="0" textRotation="0" vertical="center" wrapText="1"/>
    </xf>
    <xf borderId="0" fillId="11" fontId="5" numFmtId="165" xfId="0" applyAlignment="1" applyFill="1" applyFont="1" applyNumberFormat="1">
      <alignment horizontal="right" shrinkToFit="0" textRotation="0" vertical="center" wrapText="1"/>
    </xf>
    <xf borderId="0" fillId="11" fontId="3" numFmtId="0" xfId="0" applyAlignment="1" applyFill="1" applyFont="1">
      <alignment horizontal="right" readingOrder="0" shrinkToFit="0" textRotation="0" vertical="center" wrapText="1"/>
    </xf>
    <xf borderId="0" fillId="11" fontId="3" numFmtId="0" xfId="0" applyAlignment="1" applyFill="1" applyFont="1">
      <alignment readingOrder="0" shrinkToFit="0" textRotation="0" vertical="center" wrapText="1"/>
    </xf>
    <xf borderId="0" fillId="11" fontId="5" numFmtId="0" xfId="0" applyAlignment="1" applyFill="1" applyFont="1">
      <alignment shrinkToFit="0" textRotation="0" wrapText="1"/>
    </xf>
    <xf borderId="0" fillId="11" fontId="5" numFmtId="0" xfId="0" applyAlignment="1" applyFill="1" applyFont="1">
      <alignment readingOrder="0" shrinkToFit="0" textRotation="0" wrapText="1"/>
    </xf>
    <xf borderId="0" fillId="11" fontId="5" numFmtId="165" xfId="0" applyAlignment="1" applyFill="1" applyFont="1" applyNumberFormat="1">
      <alignment readingOrder="0" shrinkToFit="0" textRotation="0" wrapText="1"/>
    </xf>
    <xf borderId="0" fillId="11" fontId="5" numFmtId="165" xfId="0" applyAlignment="1" applyFill="1" applyFont="1" applyNumberFormat="1">
      <alignment horizontal="right" readingOrder="0" shrinkToFit="0" textRotation="0" vertical="center" wrapText="1"/>
    </xf>
    <xf borderId="0" fillId="11" fontId="3" numFmtId="0" xfId="0" applyAlignment="1" applyFill="1" applyFont="1">
      <alignment readingOrder="0" shrinkToFit="0" textRotation="0" wrapText="1"/>
    </xf>
    <xf borderId="0" fillId="11" fontId="3" numFmtId="0" xfId="0" applyAlignment="1" applyFill="1" applyFont="1">
      <alignment shrinkToFit="0" textRotation="0" vertical="center" wrapText="1"/>
    </xf>
    <xf borderId="0" fillId="11" fontId="5" numFmtId="165" xfId="0" applyAlignment="1" applyFill="1" applyFont="1" applyNumberFormat="1">
      <alignment shrinkToFit="0" textRotation="0" wrapText="1"/>
    </xf>
    <xf borderId="0" fillId="11" fontId="3" numFmtId="0" xfId="0" applyAlignment="1" applyFill="1" applyFont="1">
      <alignment shrinkToFit="0" textRotation="0" wrapText="1"/>
    </xf>
    <xf borderId="0" fillId="11" fontId="3" numFmtId="0" xfId="0" applyAlignment="1" applyFill="1" applyFont="1">
      <alignment shrinkToFit="0" textRotation="0" wrapText="1"/>
    </xf>
    <xf borderId="0" fillId="11" fontId="3" numFmtId="0" xfId="0" applyAlignment="1" applyFill="1" applyFont="1">
      <alignment readingOrder="0" shrinkToFit="0" textRotation="0" vertical="bottom" wrapText="1"/>
    </xf>
    <xf borderId="0" fillId="6" fontId="3" numFmtId="0" xfId="0" applyAlignment="1" applyFill="1" applyFont="1">
      <alignment shrinkToFit="0" textRotation="0" wrapText="1"/>
    </xf>
    <xf borderId="0" fillId="6" fontId="5" numFmtId="165" xfId="0" applyAlignment="1" applyFill="1" applyFont="1" applyNumberFormat="1">
      <alignment readingOrder="0" shrinkToFit="0" textRotation="0" wrapText="1"/>
    </xf>
    <xf borderId="0" fillId="11" fontId="7" numFmtId="165" xfId="0" applyAlignment="1" applyFill="1" applyFont="1" applyNumberFormat="1">
      <alignment shrinkToFit="0" textRotation="0" wrapText="1"/>
    </xf>
    <xf borderId="0" fillId="11" fontId="5" numFmtId="49" xfId="0" applyAlignment="1" applyFill="1" applyFont="1" applyNumberFormat="1">
      <alignment horizontal="right" shrinkToFit="0" textRotation="0" vertical="bottom" wrapText="1"/>
    </xf>
    <xf borderId="0" fillId="11" fontId="5" numFmtId="0" xfId="0" applyAlignment="1" applyFill="1" applyFont="1">
      <alignment readingOrder="0" shrinkToFit="0" textRotation="0" vertical="bottom" wrapText="1"/>
    </xf>
    <xf borderId="0" fillId="11" fontId="5" numFmtId="165" xfId="0" applyAlignment="1" applyFill="1" applyFont="1" applyNumberFormat="1">
      <alignment horizontal="right" readingOrder="0" shrinkToFit="0" textRotation="0" vertical="bottom" wrapText="1"/>
    </xf>
    <xf borderId="0" fillId="11" fontId="5" numFmtId="49" xfId="0" applyAlignment="1" applyFill="1" applyFont="1" applyNumberFormat="1">
      <alignment shrinkToFit="0" textRotation="0" vertical="bottom" wrapText="1"/>
    </xf>
    <xf borderId="1" fillId="11" fontId="3" numFmtId="165" xfId="0" applyAlignment="1" applyBorder="1" applyFill="1" applyFont="1" applyNumberFormat="1">
      <alignment horizontal="right" shrinkToFit="0" textRotation="0" vertical="center" wrapText="1"/>
    </xf>
    <xf borderId="0" fillId="4" fontId="3" numFmtId="49" xfId="0" applyAlignment="1" applyFill="1" applyFont="1" applyNumberFormat="1">
      <alignment horizontal="right" readingOrder="0" shrinkToFit="0" textRotation="0" wrapText="1"/>
    </xf>
    <xf borderId="0" fillId="4" fontId="3" numFmtId="0" xfId="0" applyAlignment="1" applyFill="1" applyFont="1">
      <alignment readingOrder="0" shrinkToFit="0" textRotation="0" wrapText="1"/>
    </xf>
    <xf borderId="0" fillId="4" fontId="5" numFmtId="0" xfId="0" applyAlignment="1" applyFill="1" applyFont="1">
      <alignment shrinkToFit="0" textRotation="0" vertical="bottom" wrapText="1"/>
    </xf>
    <xf borderId="0" fillId="4" fontId="3" numFmtId="49" xfId="0" applyAlignment="1" applyFill="1" applyFont="1" applyNumberFormat="1">
      <alignment horizontal="right" shrinkToFit="0" textRotation="0" wrapText="1"/>
    </xf>
    <xf borderId="0" fillId="4" fontId="5" numFmtId="165" xfId="0" applyAlignment="1" applyFill="1" applyFont="1" applyNumberFormat="1">
      <alignment shrinkToFit="0" textRotation="0" vertical="bottom" wrapText="1"/>
    </xf>
    <xf borderId="0" fillId="4" fontId="5" numFmtId="49" xfId="0" applyAlignment="1" applyFill="1" applyFont="1" applyNumberFormat="1">
      <alignment shrinkToFit="0" textRotation="0" vertical="bottom" wrapText="1"/>
    </xf>
    <xf borderId="0" fillId="4" fontId="5" numFmtId="0" xfId="0" applyAlignment="1" applyFill="1" applyFont="1">
      <alignment readingOrder="0" shrinkToFit="0" textRotation="0" wrapText="1"/>
    </xf>
    <xf borderId="0" fillId="4" fontId="5" numFmtId="165" xfId="0" applyAlignment="1" applyFill="1" applyFont="1" applyNumberFormat="1">
      <alignment horizontal="right" readingOrder="0" shrinkToFit="0" textRotation="0" wrapText="1"/>
    </xf>
    <xf borderId="0" fillId="4" fontId="5" numFmtId="165" xfId="0" applyAlignment="1" applyFill="1" applyFont="1" applyNumberFormat="1">
      <alignment horizontal="right" shrinkToFit="0" textRotation="0" wrapText="1"/>
    </xf>
    <xf borderId="7" fillId="4" fontId="5" numFmtId="165" xfId="0" applyAlignment="1" applyBorder="1" applyFill="1" applyFont="1" applyNumberFormat="1">
      <alignment horizontal="right" readingOrder="0" shrinkToFit="0" textRotation="0" wrapText="1"/>
    </xf>
    <xf borderId="7" fillId="4" fontId="5" numFmtId="165" xfId="0" applyAlignment="1" applyBorder="1" applyFill="1" applyFont="1" applyNumberFormat="1">
      <alignment shrinkToFit="0" textRotation="0" wrapText="1"/>
    </xf>
    <xf borderId="7" fillId="4" fontId="5" numFmtId="165" xfId="0" applyAlignment="1" applyBorder="1" applyFill="1" applyFont="1" applyNumberFormat="1">
      <alignment horizontal="right" shrinkToFit="0" textRotation="0" wrapText="1"/>
    </xf>
    <xf borderId="0" fillId="4" fontId="5" numFmtId="49" xfId="0" applyAlignment="1" applyFill="1" applyFont="1" applyNumberFormat="1">
      <alignment shrinkToFit="0" textRotation="0" wrapText="1"/>
    </xf>
    <xf borderId="6" fillId="4" fontId="3" numFmtId="49" xfId="0" applyAlignment="1" applyBorder="1" applyFill="1" applyFont="1" applyNumberFormat="1">
      <alignment horizontal="right" readingOrder="0" shrinkToFit="0" textRotation="0" wrapText="1"/>
    </xf>
    <xf borderId="8" fillId="5" fontId="3" numFmtId="165" xfId="0" applyAlignment="1" applyBorder="1" applyFill="1" applyFont="1" applyNumberFormat="1">
      <alignment horizontal="right" shrinkToFit="0" textRotation="0" wrapText="1"/>
    </xf>
    <xf borderId="0" fillId="0" fontId="7" numFmtId="165" xfId="0" applyAlignment="1" applyFont="1" applyNumberFormat="1">
      <alignment readingOrder="0"/>
    </xf>
    <xf borderId="11" fillId="0" fontId="5" numFmtId="49" xfId="0" applyAlignment="1" applyBorder="1" applyFont="1" applyNumberFormat="1">
      <alignment shrinkToFit="0" textRotation="0" vertical="bottom" wrapText="1"/>
    </xf>
    <xf borderId="1" fillId="3" fontId="9" numFmtId="0" xfId="0" applyAlignment="1" applyBorder="1" applyFill="1" applyFont="1">
      <alignment horizontal="right" shrinkToFit="0" textRotation="0" vertical="center" wrapText="1"/>
    </xf>
    <xf borderId="1" fillId="3" fontId="9" numFmtId="165" xfId="0" applyAlignment="1" applyBorder="1" applyFill="1" applyFont="1" applyNumberFormat="1">
      <alignment horizontal="right" shrinkToFit="0" textRotation="0" vertical="center" wrapText="1"/>
    </xf>
    <xf borderId="0" fillId="0" fontId="5" numFmtId="49" xfId="0" applyAlignment="1" applyFont="1" applyNumberFormat="1">
      <alignment shrinkToFit="0" textRotation="0" vertical="bottom" wrapText="1"/>
    </xf>
    <xf borderId="0" fillId="4" fontId="8" numFmtId="165" xfId="0" applyFill="1" applyFont="1" applyNumberFormat="1"/>
    <xf borderId="0" fillId="0" fontId="8" numFmtId="165" xfId="0" applyAlignment="1" applyFont="1" applyNumberFormat="1">
      <alignment horizontal="right" shrinkToFit="0" textRotation="0" vertical="center" wrapText="1"/>
    </xf>
    <xf borderId="0" fillId="0" fontId="8" numFmtId="165" xfId="0" applyAlignment="1" applyFont="1" applyNumberFormat="1">
      <alignment shrinkToFit="0" textRotation="0" vertical="center" wrapText="1"/>
    </xf>
    <xf borderId="0" fillId="0" fontId="5" numFmtId="0" xfId="0" applyAlignment="1" applyFont="1">
      <alignment horizontal="right" shrinkToFit="0" textRotation="0" vertical="center" wrapText="1"/>
    </xf>
    <xf borderId="0" fillId="0" fontId="15" numFmtId="1" xfId="0" applyAlignment="1" applyFont="1" applyNumberFormat="1">
      <alignment horizontal="left"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165" xfId="0" applyAlignment="1" applyFont="1" applyNumberFormat="1">
      <alignment horizontal="right" shrinkToFit="0" vertical="center" wrapText="0"/>
    </xf>
    <xf borderId="0" fillId="0" fontId="15" numFmtId="166" xfId="0" applyAlignment="1" applyFont="1" applyNumberFormat="1">
      <alignment shrinkToFit="0" vertical="center" wrapText="0"/>
    </xf>
    <xf borderId="0" fillId="0" fontId="22" numFmtId="165" xfId="0" applyFont="1" applyNumberFormat="1"/>
    <xf borderId="0" fillId="0" fontId="10" numFmtId="49" xfId="0" applyAlignment="1" applyFont="1" applyNumberFormat="1">
      <alignment horizontal="right" readingOrder="0" shrinkToFit="0" vertical="center" wrapText="0"/>
    </xf>
    <xf borderId="0" fillId="0" fontId="15" numFmtId="165" xfId="0" applyAlignment="1" applyFont="1" applyNumberFormat="1">
      <alignment readingOrder="0" shrinkToFit="0" vertical="center" wrapText="0"/>
    </xf>
    <xf borderId="0" fillId="6" fontId="6" numFmtId="0" xfId="0" applyAlignment="1" applyFill="1" applyFont="1">
      <alignment readingOrder="0"/>
    </xf>
    <xf borderId="0" fillId="0" fontId="15" numFmtId="0" xfId="0" applyAlignment="1" applyFont="1">
      <alignment readingOrder="0" shrinkToFit="0" vertical="center" wrapText="0"/>
    </xf>
    <xf borderId="0" fillId="0" fontId="15" numFmtId="165" xfId="0" applyAlignment="1" applyFont="1" applyNumberFormat="1">
      <alignment shrinkToFit="0" vertical="center" wrapText="0"/>
    </xf>
    <xf borderId="0" fillId="0" fontId="23" numFmtId="0" xfId="0" applyAlignment="1" applyFont="1">
      <alignment readingOrder="0"/>
    </xf>
    <xf borderId="2" fillId="2" fontId="9" numFmtId="0" xfId="0" applyAlignment="1" applyBorder="1" applyFill="1" applyFont="1">
      <alignment horizontal="center" shrinkToFit="0" vertical="center" wrapText="0"/>
    </xf>
    <xf borderId="5" fillId="3" fontId="12" numFmtId="0" xfId="0" applyAlignment="1" applyBorder="1" applyFill="1" applyFont="1">
      <alignment horizontal="center" shrinkToFit="0" vertical="center" wrapText="1"/>
    </xf>
    <xf borderId="0" fillId="0" fontId="15" numFmtId="0" xfId="0" applyAlignment="1" applyFont="1">
      <alignment horizontal="righ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5" numFmtId="166" xfId="0" applyAlignment="1" applyFont="1" applyNumberFormat="1">
      <alignment horizontal="center" shrinkToFit="0" vertical="center" wrapText="0"/>
    </xf>
    <xf borderId="0" fillId="0" fontId="10" numFmtId="0" xfId="0" applyAlignment="1" applyFont="1">
      <alignment horizontal="right" shrinkToFit="0" vertical="center" wrapText="0"/>
    </xf>
    <xf borderId="0" fillId="12" fontId="6" numFmtId="0" xfId="0" applyAlignment="1" applyFill="1" applyFont="1">
      <alignment readingOrder="0"/>
    </xf>
    <xf borderId="1" fillId="5" fontId="15" numFmtId="166" xfId="0" applyAlignment="1" applyBorder="1" applyFill="1" applyFont="1" applyNumberFormat="1">
      <alignment horizontal="right" shrinkToFit="0" vertical="center" wrapText="0"/>
    </xf>
    <xf borderId="0" fillId="0" fontId="3" numFmtId="49" xfId="0" applyAlignment="1" applyFont="1" applyNumberFormat="1">
      <alignment horizontal="right" shrinkToFit="0" vertical="bottom" wrapText="1"/>
    </xf>
    <xf borderId="0" fillId="0" fontId="15" numFmtId="166" xfId="0" applyAlignment="1" applyFont="1" applyNumberFormat="1">
      <alignment horizontal="right" shrinkToFit="0" vertical="center" wrapText="0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5" numFmtId="49" xfId="0" applyAlignment="1" applyFont="1" applyNumberFormat="1">
      <alignment horizontal="right" readingOrder="0" vertical="bottom"/>
    </xf>
    <xf borderId="0" fillId="0" fontId="5" numFmtId="0" xfId="0" applyAlignment="1" applyFont="1">
      <alignment shrinkToFit="0" wrapText="1"/>
    </xf>
    <xf borderId="0" fillId="0" fontId="5" numFmtId="165" xfId="0" applyAlignment="1" applyFont="1" applyNumberFormat="1">
      <alignment horizontal="right" shrinkToFit="0" wrapText="1"/>
    </xf>
    <xf borderId="0" fillId="0" fontId="3" numFmtId="49" xfId="0" applyAlignment="1" applyFont="1" applyNumberFormat="1">
      <alignment shrinkToFit="0" wrapText="1"/>
    </xf>
    <xf borderId="0" fillId="0" fontId="10" numFmtId="0" xfId="0" applyAlignment="1" applyFont="1">
      <alignment horizontal="left" shrinkToFit="0" vertical="center" wrapText="0"/>
    </xf>
    <xf borderId="0" fillId="0" fontId="5" numFmtId="1" xfId="0" applyAlignment="1" applyFont="1" applyNumberFormat="1">
      <alignment shrinkToFit="0" wrapText="1"/>
    </xf>
    <xf borderId="0" fillId="0" fontId="24" numFmtId="1" xfId="0" applyAlignment="1" applyFont="1" applyNumberFormat="1">
      <alignment horizontal="left" readingOrder="0" shrinkToFit="0" vertical="center" wrapText="0"/>
    </xf>
    <xf borderId="0" fillId="0" fontId="24" numFmtId="165" xfId="0" applyAlignment="1" applyFont="1" applyNumberFormat="1">
      <alignment readingOrder="0" shrinkToFit="0" vertical="center" wrapText="0"/>
    </xf>
    <xf borderId="0" fillId="0" fontId="10" numFmtId="0" xfId="0" applyAlignment="1" applyFont="1">
      <alignment shrinkToFit="0" vertical="bottom" wrapText="0"/>
    </xf>
    <xf borderId="0" fillId="0" fontId="5" numFmtId="49" xfId="0" applyAlignment="1" applyFont="1" applyNumberFormat="1">
      <alignment horizontal="right" vertical="bottom"/>
    </xf>
    <xf borderId="6" fillId="0" fontId="3" numFmtId="49" xfId="0" applyAlignment="1" applyBorder="1" applyFont="1" applyNumberFormat="1">
      <alignment horizontal="right" shrinkToFit="0" vertical="bottom" wrapText="1"/>
    </xf>
    <xf borderId="14" fillId="5" fontId="3" numFmtId="165" xfId="0" applyAlignment="1" applyBorder="1" applyFill="1" applyFont="1" applyNumberFormat="1">
      <alignment horizontal="right" shrinkToFit="0" vertical="bottom" wrapText="1"/>
    </xf>
    <xf borderId="0" fillId="4" fontId="5" numFmtId="49" xfId="0" applyAlignment="1" applyFill="1" applyFont="1" applyNumberFormat="1">
      <alignment horizontal="right" shrinkToFit="0" textRotation="0" vertical="bottom" wrapText="1"/>
    </xf>
    <xf borderId="0" fillId="0" fontId="13" numFmtId="166" xfId="0" applyAlignment="1" applyFont="1" applyNumberFormat="1">
      <alignment horizontal="right" shrinkToFit="0" vertical="center" wrapText="0"/>
    </xf>
    <xf borderId="0" fillId="0" fontId="15" numFmtId="0" xfId="0" applyAlignment="1" applyFont="1">
      <alignment shrinkToFit="0" vertical="bottom" wrapText="0"/>
    </xf>
    <xf borderId="0" fillId="4" fontId="5" numFmtId="49" xfId="0" applyAlignment="1" applyFill="1" applyFont="1" applyNumberFormat="1">
      <alignment horizontal="right" shrinkToFit="0" textRotation="0" wrapText="1"/>
    </xf>
    <xf borderId="0" fillId="0" fontId="25" numFmtId="0" xfId="0" applyAlignment="1" applyFont="1">
      <alignment horizontal="right" shrinkToFit="0" vertical="center" wrapText="0"/>
    </xf>
    <xf borderId="0" fillId="0" fontId="15" numFmtId="1" xfId="0" applyAlignment="1" applyFont="1" applyNumberFormat="1">
      <alignment horizontal="right" shrinkToFit="0" vertical="center" wrapText="0"/>
    </xf>
    <xf borderId="0" fillId="0" fontId="15" numFmtId="1" xfId="0" applyAlignment="1" applyFont="1" applyNumberFormat="1">
      <alignment horizontal="left" shrinkToFit="0" vertical="center" wrapText="0"/>
    </xf>
    <xf borderId="0" fillId="0" fontId="10" numFmtId="1" xfId="0" applyAlignment="1" applyFont="1" applyNumberFormat="1">
      <alignment shrinkToFit="0" vertical="center" wrapText="0"/>
    </xf>
    <xf borderId="1" fillId="3" fontId="15" numFmtId="0" xfId="0" applyAlignment="1" applyBorder="1" applyFill="1" applyFont="1">
      <alignment horizontal="right" shrinkToFit="0" vertical="center" wrapText="0"/>
    </xf>
    <xf borderId="0" fillId="0" fontId="3" numFmtId="0" xfId="0" applyAlignment="1" applyFont="1">
      <alignment shrinkToFit="0" wrapText="1"/>
    </xf>
    <xf borderId="1" fillId="3" fontId="15" numFmtId="166" xfId="0" applyAlignment="1" applyBorder="1" applyFill="1" applyFont="1" applyNumberFormat="1">
      <alignment horizontal="right" shrinkToFit="0" vertical="center" wrapText="0"/>
    </xf>
    <xf borderId="7" fillId="0" fontId="5" numFmtId="165" xfId="0" applyAlignment="1" applyBorder="1" applyFont="1" applyNumberFormat="1">
      <alignment horizontal="right" readingOrder="0" shrinkToFit="0" wrapText="1"/>
    </xf>
    <xf borderId="7" fillId="0" fontId="5" numFmtId="165" xfId="0" applyAlignment="1" applyBorder="1" applyFont="1" applyNumberFormat="1">
      <alignment readingOrder="0"/>
    </xf>
    <xf borderId="6" fillId="0" fontId="3" numFmtId="0" xfId="0" applyAlignment="1" applyBorder="1" applyFont="1">
      <alignment horizontal="right" shrinkToFit="0" vertical="bottom" wrapText="1"/>
    </xf>
    <xf borderId="8" fillId="5" fontId="3" numFmtId="165" xfId="0" applyAlignment="1" applyBorder="1" applyFill="1" applyFont="1" applyNumberFormat="1">
      <alignment horizontal="right" shrinkToFit="0" vertical="bottom" wrapText="1"/>
    </xf>
    <xf borderId="5" fillId="3" fontId="15" numFmtId="0" xfId="0" applyAlignment="1" applyBorder="1" applyFill="1" applyFont="1">
      <alignment horizontal="center" shrinkToFit="0" vertical="center" wrapText="0"/>
    </xf>
    <xf borderId="15" fillId="0" fontId="15" numFmtId="166" xfId="0" applyAlignment="1" applyBorder="1" applyFont="1" applyNumberFormat="1">
      <alignment horizontal="center" shrinkToFit="0" vertical="center" wrapText="0"/>
    </xf>
    <xf borderId="16" fillId="0" fontId="4" numFmtId="0" xfId="0" applyBorder="1" applyFont="1"/>
    <xf borderId="14" fillId="0" fontId="4" numFmtId="0" xfId="0" applyBorder="1" applyFont="1"/>
    <xf borderId="14" fillId="3" fontId="9" numFmtId="0" xfId="0" applyAlignment="1" applyBorder="1" applyFill="1" applyFont="1">
      <alignment horizontal="right" shrinkToFit="0" textRotation="0" vertical="center" wrapText="1"/>
    </xf>
    <xf borderId="11" fillId="0" fontId="15" numFmtId="49" xfId="0" applyAlignment="1" applyBorder="1" applyFont="1" applyNumberFormat="1">
      <alignment horizontal="center" shrinkToFit="0" vertical="center" wrapText="0"/>
    </xf>
    <xf borderId="6" fillId="0" fontId="10" numFmtId="0" xfId="0" applyAlignment="1" applyBorder="1" applyFont="1">
      <alignment horizontal="center" shrinkToFit="0" vertical="center" wrapText="0"/>
    </xf>
    <xf borderId="8" fillId="0" fontId="15" numFmtId="49" xfId="0" applyAlignment="1" applyBorder="1" applyFont="1" applyNumberFormat="1">
      <alignment horizontal="center" shrinkToFit="0" vertical="center" wrapText="0"/>
    </xf>
    <xf borderId="13" fillId="0" fontId="15" numFmtId="49" xfId="0" applyAlignment="1" applyBorder="1" applyFont="1" applyNumberFormat="1">
      <alignment horizontal="center" shrinkToFit="0" vertical="center" wrapText="0"/>
    </xf>
    <xf borderId="5" fillId="0" fontId="13" numFmtId="49" xfId="0" applyAlignment="1" applyBorder="1" applyFont="1" applyNumberFormat="1">
      <alignment horizontal="center" shrinkToFit="0" vertical="center" wrapText="0"/>
    </xf>
    <xf borderId="0" fillId="0" fontId="15" numFmtId="49" xfId="0" applyAlignment="1" applyFont="1" applyNumberFormat="1">
      <alignment horizontal="center" shrinkToFit="0" vertical="center" wrapText="0"/>
    </xf>
    <xf borderId="0" fillId="0" fontId="10" numFmtId="166" xfId="0" applyAlignment="1" applyFont="1" applyNumberFormat="1">
      <alignment shrinkToFit="0" vertical="bottom" wrapText="0"/>
    </xf>
    <xf borderId="0" fillId="0" fontId="10" numFmtId="4" xfId="0" applyAlignment="1" applyFont="1" applyNumberFormat="1">
      <alignment shrinkToFit="0" vertical="center" wrapText="0"/>
    </xf>
    <xf borderId="0" fillId="0" fontId="11" numFmtId="49" xfId="0" applyAlignment="1" applyFont="1" applyNumberFormat="1">
      <alignment vertical="bottom"/>
    </xf>
    <xf borderId="4" fillId="2" fontId="26" numFmtId="0" xfId="0" applyAlignment="1" applyBorder="1" applyFill="1" applyFont="1">
      <alignment horizontal="center" readingOrder="0" shrinkToFit="0" vertical="bottom" wrapText="1"/>
    </xf>
    <xf borderId="4" fillId="2" fontId="26" numFmtId="165" xfId="0" applyAlignment="1" applyBorder="1" applyFill="1" applyFont="1" applyNumberFormat="1">
      <alignment horizontal="center" readingOrder="0" shrinkToFit="0" vertical="bottom" wrapText="1"/>
    </xf>
    <xf borderId="3" fillId="2" fontId="26" numFmtId="165" xfId="0" applyAlignment="1" applyBorder="1" applyFill="1" applyFont="1" applyNumberFormat="1">
      <alignment horizontal="center" readingOrder="0" shrinkToFit="0" wrapText="1"/>
    </xf>
    <xf borderId="0" fillId="0" fontId="15" numFmtId="165" xfId="0" applyAlignment="1" applyFont="1" applyNumberFormat="1">
      <alignment horizontal="right" readingOrder="0" shrinkToFit="0" vertical="center" wrapText="0"/>
    </xf>
    <xf borderId="17" fillId="0" fontId="11" numFmtId="165" xfId="0" applyAlignment="1" applyBorder="1" applyFont="1" applyNumberFormat="1">
      <alignment vertical="bottom"/>
    </xf>
    <xf borderId="18" fillId="3" fontId="27" numFmtId="49" xfId="0" applyAlignment="1" applyBorder="1" applyFill="1" applyFont="1" applyNumberFormat="1">
      <alignment horizontal="center" readingOrder="0" vertical="bottom"/>
    </xf>
    <xf borderId="19" fillId="3" fontId="27" numFmtId="49" xfId="0" applyAlignment="1" applyBorder="1" applyFill="1" applyFont="1" applyNumberFormat="1">
      <alignment horizontal="center" readingOrder="0" vertical="bottom"/>
    </xf>
    <xf borderId="18" fillId="0" fontId="4" numFmtId="0" xfId="0" applyBorder="1" applyFont="1"/>
    <xf borderId="8" fillId="3" fontId="27" numFmtId="49" xfId="0" applyAlignment="1" applyBorder="1" applyFill="1" applyFont="1" applyNumberFormat="1">
      <alignment horizontal="center" readingOrder="0" vertical="bottom"/>
    </xf>
    <xf borderId="0" fillId="0" fontId="11" numFmtId="165" xfId="0" applyAlignment="1" applyFont="1" applyNumberFormat="1">
      <alignment vertical="bottom"/>
    </xf>
    <xf borderId="18" fillId="13" fontId="28" numFmtId="165" xfId="0" applyAlignment="1" applyBorder="1" applyFill="1" applyFont="1" applyNumberFormat="1">
      <alignment horizontal="center" readingOrder="0" vertical="bottom"/>
    </xf>
    <xf borderId="0" fillId="0" fontId="29" numFmtId="49" xfId="0" applyAlignment="1" applyFont="1" applyNumberFormat="1">
      <alignment horizontal="center" readingOrder="0" shrinkToFit="0" wrapText="1"/>
    </xf>
    <xf borderId="0" fillId="0" fontId="29" numFmtId="0" xfId="0" applyAlignment="1" applyFont="1">
      <alignment readingOrder="0" shrinkToFit="0" vertical="bottom" wrapText="1"/>
    </xf>
    <xf borderId="0" fillId="0" fontId="29" numFmtId="165" xfId="0" applyAlignment="1" applyFont="1" applyNumberFormat="1">
      <alignment horizontal="right" readingOrder="0" shrinkToFit="0" wrapText="1"/>
    </xf>
    <xf borderId="0" fillId="0" fontId="11" numFmtId="165" xfId="0" applyFont="1" applyNumberFormat="1"/>
    <xf borderId="0" fillId="0" fontId="2" numFmtId="49" xfId="0" applyAlignment="1" applyFont="1" applyNumberFormat="1">
      <alignment horizontal="center" readingOrder="0" shrinkToFit="0" wrapText="1"/>
    </xf>
    <xf borderId="0" fillId="0" fontId="29" numFmtId="0" xfId="0" applyAlignment="1" applyFont="1">
      <alignment readingOrder="0" shrinkToFit="0" wrapText="1"/>
    </xf>
    <xf borderId="0" fillId="0" fontId="29" numFmtId="49" xfId="0" applyAlignment="1" applyFont="1" applyNumberFormat="1">
      <alignment horizontal="center" readingOrder="0" shrinkToFit="0" vertical="bottom" wrapText="1"/>
    </xf>
    <xf borderId="0" fillId="0" fontId="29" numFmtId="49" xfId="0" applyAlignment="1" applyFont="1" applyNumberFormat="1">
      <alignment horizontal="center" readingOrder="0" vertical="bottom"/>
    </xf>
    <xf borderId="0" fillId="0" fontId="29" numFmtId="1" xfId="0" applyAlignment="1" applyFont="1" applyNumberFormat="1">
      <alignment readingOrder="0" shrinkToFit="0" vertical="bottom" wrapText="1"/>
    </xf>
    <xf borderId="1" fillId="5" fontId="15" numFmtId="165" xfId="0" applyAlignment="1" applyBorder="1" applyFill="1" applyFont="1" applyNumberFormat="1">
      <alignment horizontal="right" shrinkToFit="0" vertical="center" wrapText="0"/>
    </xf>
    <xf borderId="0" fillId="5" fontId="15" numFmtId="165" xfId="0" applyAlignment="1" applyFill="1" applyFont="1" applyNumberFormat="1">
      <alignment horizontal="right" shrinkToFit="0" vertical="center" wrapText="0"/>
    </xf>
    <xf borderId="0" fillId="0" fontId="11" numFmtId="165" xfId="0" applyAlignment="1" applyFont="1" applyNumberFormat="1">
      <alignment vertical="bottom"/>
    </xf>
    <xf borderId="0" fillId="0" fontId="29" numFmtId="165" xfId="0" applyAlignment="1" applyFont="1" applyNumberFormat="1">
      <alignment readingOrder="0" shrinkToFit="0" wrapText="0"/>
    </xf>
    <xf borderId="0" fillId="0" fontId="29" numFmtId="0" xfId="0" applyAlignment="1" applyFont="1">
      <alignment readingOrder="0" shrinkToFit="0" vertical="bottom" wrapText="0"/>
    </xf>
    <xf borderId="1" fillId="3" fontId="15" numFmtId="165" xfId="0" applyAlignment="1" applyBorder="1" applyFill="1" applyFont="1" applyNumberFormat="1">
      <alignment horizontal="right" shrinkToFit="0" vertical="center" wrapText="0"/>
    </xf>
    <xf borderId="0" fillId="0" fontId="15" numFmtId="49" xfId="0" applyAlignment="1" applyFont="1" applyNumberFormat="1">
      <alignment horizontal="right" shrinkToFit="0" vertical="center" wrapText="0"/>
    </xf>
    <xf borderId="0" fillId="0" fontId="15" numFmtId="165" xfId="0" applyAlignment="1" applyFont="1" applyNumberFormat="1">
      <alignment horizontal="center" shrinkToFit="0" vertical="center" wrapText="0"/>
    </xf>
    <xf borderId="0" fillId="0" fontId="10" numFmtId="165" xfId="0" applyAlignment="1" applyFont="1" applyNumberFormat="1">
      <alignment horizontal="right" shrinkToFit="0" vertical="center" wrapText="0"/>
    </xf>
    <xf borderId="0" fillId="0" fontId="10" numFmtId="49" xfId="0" applyAlignment="1" applyFont="1" applyNumberFormat="1">
      <alignment horizontal="left" shrinkToFit="0" vertical="center" wrapText="0"/>
    </xf>
    <xf borderId="0" fillId="0" fontId="6" numFmtId="0" xfId="0" applyFont="1"/>
    <xf borderId="0" fillId="0" fontId="22" numFmtId="166" xfId="0" applyFont="1" applyNumberFormat="1"/>
    <xf borderId="0" fillId="0" fontId="6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622903cc-ccc4-44d4-afa8-0f8d36c0ed47}">
    <Anchor>
      <Comment id="{2c1902ee-7ed6-49c4-a2c3-4d454dbe903b}"/>
    </Anchor>
    <History>
      <Event time="2023-10-24T20:21:20.00" id="{e318b804-4aeb-4454-aa6b-2356eab19094}">
        <Attribution userId="placeholder@email.com" userName="Guillermo López" userProvider="google-sheets"/>
        <Anchor>
          <Comment id="{2c1902ee-7ed6-49c4-a2c3-4d454dbe903b}"/>
        </Anchor>
        <Create/>
      </Event>
      <Event time="2023-10-24T20:21:20.00" id="{0307e43c-00cb-4a7d-9127-6d6db527a9b2}">
        <Attribution userId="placeholder@email.com" userName="Guillermo López" userProvider="google-sheets"/>
        <Anchor>
          <Comment id="{2c1902ee-7ed6-49c4-a2c3-4d454dbe903b}"/>
        </Anchor>
        <Assign userId="belen@sentiraranda.es" userName="belen@sentiraranda.es" userProvider="google-sheets"/>
      </Event>
    </History>
  </Task>
  <Task id="{4e9b8734-a0bf-4533-8e83-cafaa2dafe5f}">
    <Anchor>
      <Comment id="{d22ea554-a505-4e5a-9886-b052f6bc9f94}"/>
    </Anchor>
    <History>
      <Event time="2023-12-11T10:04:52.00" id="{2a3d1e4c-c19f-4916-a1a1-327a6fec3d07}">
        <Attribution userId="placeholder@email.com" userName="Guillermo López" userProvider="google-sheets"/>
        <Anchor>
          <Comment id="{d22ea554-a505-4e5a-9886-b052f6bc9f94}"/>
        </Anchor>
        <Create/>
      </Event>
      <Event time="2023-12-11T10:04:52.00" id="{0ba2a8d5-81bf-4d2c-80ea-2a41c679b03c}">
        <Attribution userId="placeholder@email.com" userName="Guillermo López" userProvider="google-sheets"/>
        <Anchor>
          <Comment id="{d22ea554-a505-4e5a-9886-b052f6bc9f94}"/>
        </Anchor>
        <Assign userId="antonio@sentiraranda.es" userName="antonio@sentiraranda.es" userProvider="google-sheets"/>
      </Event>
    </History>
  </Task>
</Tasks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>
  <Task id="{1cb829cd-f935-4d2a-b839-ca81919dc3c2}">
    <Anchor>
      <Comment id="{1b969264-2c15-4da0-b628-15ea160ec178}"/>
    </Anchor>
    <History>
      <Event time="2023-10-18T18:21:53.00" id="{73792bc0-58db-4fa3-87da-3fdcd46ff213}">
        <Attribution userId="placeholder@email.com" userName="Guillermo López" userProvider="google-sheets"/>
        <Anchor>
          <Comment id="{1b969264-2c15-4da0-b628-15ea160ec178}"/>
        </Anchor>
        <Create/>
      </Event>
      <Event time="2023-10-18T18:21:53.00" id="{72c007b7-57fb-48bf-acf7-86dea6f66805}">
        <Attribution userId="placeholder@email.com" userName="Guillermo López" userProvider="google-sheets"/>
        <Anchor>
          <Comment id="{1b969264-2c15-4da0-b628-15ea160ec178}"/>
        </Anchor>
        <Assign userId="juanma@sentiraranda.es" userName="juanma@sentiraranda.es" userProvider="google-sheets"/>
      </Event>
    </History>
  </Task>
  <Task id="{b792951e-7c4d-43f6-a3c9-2dd2b3bb133c}">
    <Anchor>
      <Comment id="{5f64d7a0-2191-49a7-be99-7324083412d8}"/>
    </Anchor>
    <History>
      <Event time="2023-10-18T18:28:22.00" id="{ef44abaf-b59d-4816-95db-7c3dedf342c2}">
        <Attribution userId="placeholder@email.com" userName="Guillermo López" userProvider="google-sheets"/>
        <Anchor>
          <Comment id="{5f64d7a0-2191-49a7-be99-7324083412d8}"/>
        </Anchor>
        <Create/>
      </Event>
      <Event time="2023-10-18T18:28:22.00" id="{3d503889-9fb4-4d11-b4e8-97d5a5cf50ed}">
        <Attribution userId="placeholder@email.com" userName="Guillermo López" userProvider="google-sheets"/>
        <Anchor>
          <Comment id="{5f64d7a0-2191-49a7-be99-7324083412d8}"/>
        </Anchor>
        <Assign userId="ana@sentiraranda.es" userName="ana@sentiraranda.es" userProvider="google-sheets"/>
      </Event>
    </History>
  </Task>
</Tasks>
</file>

<file path=xl/documenttasks/documenttask4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uillermo López" id="{6b339b4f-6dc8-44c6-9108-c5c2480321c0}" providerId="google-sheets"/>
  <x18tc:person displayName="juanma@sentiraranda.es" id="{e1c57dda-5aa8-4579-8e68-b0c0c3ffeca9}" userId="juanma@sentiraranda.es" providerId="google-sheets"/>
  <x18tc:person displayName="ana@sentiraranda.es" id="{543ca2b2-b232-47d8-a460-23cceb05d3d3}" userId="ana@sentiraranda.es" providerId="google-sheets"/>
  <x18tc:person displayName="Juanma Martín" id="{d1ae0c00-aecd-47ca-bc8e-f515db41f9f3}" providerId="google-sheets"/>
  <x18tc:person displayName="belen@sentiraranda.es" id="{d5197181-73b8-45be-8aac-60a6b3c74fe2}" userId="belen@sentiraranda.es" providerId="google-sheets"/>
  <x18tc:person displayName="antonio@sentiraranda.es" id="{ec4171e0-502e-40d0-bbf9-bdd4f7044b5d}" userId="antonio@sentiraranda.es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69" dT="2023-10-31T15:41:34.00" personId="{6b339b4f-6dc8-44c6-9108-c5c2480321c0}" id="{55f4faf3-3bb6-4aee-87a0-e891c308b8c9}" done="1">
    <x18tc:text xml:space="preserve">546.193,20€ de modificado</x18tc:text>
  </x18tc:threadedComment>
  <x18tc:threadedComment ref="C41" dT="2023-11-01T20:53:27.00" personId="{6b339b4f-6dc8-44c6-9108-c5c2480321c0}" id="{61a10395-341e-43bc-a5cf-790b96dbef5e}" done="1">
    <x18tc:text xml:space="preserve">Sería: lo presupuestado en 2023 - pagado en 2023 + modificado</x18tc:text>
  </x18tc:threadedComment>
  <x18tc:threadedComment ref="A1" dT="2023-10-24T19:53:44.00" personId="{6b339b4f-6dc8-44c6-9108-c5c2480321c0}" id="{cfbdf9d3-dbd3-4449-b40b-98801761a2b8}" done="0">
    <x18tc:text xml:space="preserve">No por parte de Vox</x18tc:text>
  </x18tc:threadedComment>
  <x18tc:threadedComment ref="A1" dT="2023-10-24T20:21:20.00" personId="{6b339b4f-6dc8-44c6-9108-c5c2480321c0}" id="{2c1902ee-7ed6-49c4-a2c3-4d454dbe903b}" done="1">
    <x18tc:text xml:space="preserve">Preguntar si se puede hacer inversión mientras hay contrato @belen@sentiraranda.es
Asignado a belen@sentiraranda.es</x18tc:text>
    <x18tc:mentions>
      <x18tc:mention mentionpersonId="{d5197181-73b8-45be-8aac-60a6b3c74fe2}" mentionId="{aacdda42-2568-4486-b691-ad587d60c312}" startIndex="60" length="22"/>
    </x18tc:mentions>
  </x18tc:threadedComment>
  <x18tc:threadedComment ref="A1" dT="2023-10-30T14:17:09.00" personId="{6b339b4f-6dc8-44c6-9108-c5c2480321c0}" id="{99cb8922-e205-4517-a8f1-d84c36d91ad2}" parentId="{2c1902ee-7ed6-49c4-a2c3-4d454dbe903b}">
    <x18tc:text xml:space="preserve">Parece que sí se puede hacer, porque el contrato es de mantenimiento y cesión, pero no de inversión.</x18tc:text>
  </x18tc:threadedComment>
  <x18tc:threadedComment ref="B160" dT="2023-10-24T20:39:20.00" personId="{6b339b4f-6dc8-44c6-9108-c5c2480321c0}" id="{98137bf5-6ebe-4fa5-80ed-e65d8a95d508}" done="1">
    <x18tc:text xml:space="preserve">preguntar qué es</x18tc:text>
  </x18tc:threadedComment>
  <x18tc:threadedComment ref="B161" dT="2023-10-24T20:39:26.00" personId="{6b339b4f-6dc8-44c6-9108-c5c2480321c0}" id="{2aca9917-4839-40bf-baf0-6a920c9cd64a}" done="1">
    <x18tc:text xml:space="preserve">preguntar qué es</x18tc:text>
  </x18tc:threadedComment>
  <x18tc:threadedComment ref="A1" dT="2023-10-21T15:55:21.00" personId="{6b339b4f-6dc8-44c6-9108-c5c2480321c0}" id="{7560b46b-44a0-494f-8a29-ff3f2990250a}" done="0">
    <x18tc:text xml:space="preserve">Igual ya se encargó el proyecto</x18tc:text>
  </x18tc:threadedComment>
  <x18tc:threadedComment ref="A1" dT="2023-10-25T08:46:48.00" personId="{6b339b4f-6dc8-44c6-9108-c5c2480321c0}" id="{11b26eeb-e01d-4e05-aec8-9391d8e5760a}" parentId="{7560b46b-44a0-494f-8a29-ff3f2990250a}">
    <x18tc:text xml:space="preserve">Alfonso dice que sí está hecho. Comprobarlo @ana@sentiraranda.es</x18tc:text>
    <x18tc:mentions>
      <x18tc:mention mentionpersonId="{543ca2b2-b232-47d8-a460-23cceb05d3d3}" mentionId="{0a5d3a5f-b9ed-49f3-96f5-15b632e23a1a}" startIndex="44" length="20"/>
    </x18tc:mentions>
  </x18tc:threadedComment>
  <x18tc:threadedComment ref="B200" dT="2023-12-11T10:04:52.00" personId="{6b339b4f-6dc8-44c6-9108-c5c2480321c0}" id="{d22ea554-a505-4e5a-9886-b052f6bc9f94}" done="1">
    <x18tc:text xml:space="preserve">@antonio@sentiraranda.es cambiar el texto
Asignado a antonio@sentiraranda.es</x18tc:text>
    <x18tc:mentions>
      <x18tc:mention mentionpersonId="{ec4171e0-502e-40d0-bbf9-bdd4f7044b5d}" mentionId="{98eb7c6b-e4c9-4a06-ab3c-1f4fc38ec9b3}" startIndex="0" length="24"/>
    </x18tc:mentions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" dT="2023-10-24T20:08:42.00" personId="{6b339b4f-6dc8-44c6-9108-c5c2480321c0}" id="{cc5f5029-dffb-4246-a202-f9e678776d82}" done="0">
    <x18tc:text xml:space="preserve">Realizar más parques caninos</x18tc:text>
  </x18tc:threadedComment>
  <x18tc:threadedComment ref="B13" dT="2023-10-23T08:34:33.00" personId="{6b339b4f-6dc8-44c6-9108-c5c2480321c0}" id="{993f179c-34ef-4e85-b661-b424dee79aa3}" done="0">
    <x18tc:text xml:space="preserve">P: ¿camino lateral al río?</x18tc:text>
  </x18tc:threadedComment>
  <x18tc:threadedComment ref="B15" dT="2023-10-23T08:35:08.00" personId="{6b339b4f-6dc8-44c6-9108-c5c2480321c0}" id="{19922472-d838-467d-9cdc-e9153b0f5693}" done="0">
    <x18tc:text xml:space="preserve">P: Avenida de Burgos hacia Calle Pizarro?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20" dT="2023-10-18T18:21:53.00" personId="{6b339b4f-6dc8-44c6-9108-c5c2480321c0}" id="{1b969264-2c15-4da0-b628-15ea160ec178}" done="0">
    <x18tc:text xml:space="preserve">@juanma@sentiraranda.es hay que mirar si es para policía y vale para bomberos, duplico partida
Asignado a juanma@sentiraranda.es</x18tc:text>
    <x18tc:mentions>
      <x18tc:mention mentionpersonId="{e1c57dda-5aa8-4579-8e68-b0c0c3ffeca9}" mentionId="{da2f12e3-5f0b-4e8c-8bb6-52448f751f14}" startIndex="0" length="23"/>
    </x18tc:mentions>
  </x18tc:threadedComment>
  <x18tc:threadedComment ref="B120" dT="2023-10-19T21:12:52.00" personId="{d1ae0c00-aecd-47ca-bc8e-f515db41f9f3}" id="{417cc92c-84ff-4682-be08-236f7cf68169}" parentId="{1b969264-2c15-4da0-b628-15ea160ec178}">
    <x18tc:text xml:space="preserve">Bomberos me ha puesto 300.000 
Cada walkie cuesta 1000 euros yo creomque ese importe de bomberos es muy elevado</x18tc:text>
  </x18tc:threadedComment>
  <x18tc:threadedComment ref="B130" dT="2023-10-18T18:28:22.00" personId="{6b339b4f-6dc8-44c6-9108-c5c2480321c0}" id="{5f64d7a0-2191-49a7-be99-7324083412d8}" done="0">
    <x18tc:text xml:space="preserve">@ana@sentiraranda.es entender qué es esto en concreto
Asignado a ana@sentiraranda.es</x18tc:text>
    <x18tc:mentions>
      <x18tc:mention mentionpersonId="{543ca2b2-b232-47d8-a460-23cceb05d3d3}" mentionId="{8f8d0142-ad55-4eec-9ef5-894b48ca0cdd}" startIndex="0" length="20"/>
    </x18tc:mentions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26" dT="2023-10-18T15:21:43.00" personId="{6b339b4f-6dc8-44c6-9108-c5c2480321c0}" id="{da5c0d17-7177-4cac-a9c6-1222ee71e1b8}" done="0">
    <x18tc:text xml:space="preserve">Yo lo dejaría porque deberíamos tenerlo en un plan más ambicioso de reforma de edificios (Manuel, agente innovación)</x18tc:text>
  </x18tc:threadedComment>
  <x18tc:threadedComment ref="B127" dT="2023-10-18T15:22:30.00" personId="{6b339b4f-6dc8-44c6-9108-c5c2480321c0}" id="{0031a695-ac62-4326-b2e4-5670a23db34e}" done="0">
    <x18tc:text xml:space="preserve">es lo mimso que el anterior???</x18tc:text>
  </x18tc:threadedComment>
  <x18tc:threadedComment ref="B110" dT="2023-10-03T13:38:34.00" personId="{6b339b4f-6dc8-44c6-9108-c5c2480321c0}" id="{aeb5ce3f-f8c9-44f3-a45f-2583253ac32c}" done="0">
    <x18tc:text xml:space="preserve">Ordenadores: 50
Pantallas: 50
Cascos: 30
Teclados: 30
Ratones: 30
Proyectores: 3
Televisores con peana: 3
Cámaras web: 3
Jabra / micrófonos: 3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oitoi.es/producto/toi-pipi-1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www.toitoi.es/producto/toi-pipi-1/" TargetMode="External"/><Relationship Id="rId5" Type="http://schemas.openxmlformats.org/officeDocument/2006/relationships/drawing" Target="../drawings/drawing6.xml"/><Relationship Id="rId6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oitoi.es/producto/toi-pipi-1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hyperlink" Target="https://www.toitoi.es/producto/toi-pipi-1/" TargetMode="External"/><Relationship Id="rId5" Type="http://schemas.openxmlformats.org/officeDocument/2006/relationships/drawing" Target="../drawings/drawing8.xml"/><Relationship Id="rId6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hyperlink" Target="https://www.toitoi.es/producto/toi-pipi-1/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14"/>
    <col customWidth="1" min="2" max="2" width="80.29"/>
    <col customWidth="1" min="3" max="3" width="14.86"/>
    <col customWidth="1" min="4" max="4" width="13.86"/>
    <col customWidth="1" min="5" max="5" width="14.29"/>
    <col customWidth="1" min="6" max="6" width="14.43"/>
    <col customWidth="1" min="7" max="7" width="14.29"/>
    <col customWidth="1" min="8" max="8" width="13.86"/>
    <col customWidth="1" min="9" max="9" width="14.86"/>
    <col customWidth="1" min="10" max="10" width="10.0"/>
    <col customWidth="1" min="11" max="11" width="14.86"/>
    <col customWidth="1" min="12" max="12" width="10.0"/>
    <col customWidth="1" min="13" max="13" width="13.14"/>
    <col customWidth="1" min="14" max="35" width="10.0"/>
  </cols>
  <sheetData>
    <row r="1" ht="15.75" customHeight="1">
      <c r="A1" s="3" t="s">
        <v>0</v>
      </c>
      <c r="B1" s="4"/>
      <c r="C1" s="4"/>
      <c r="D1" s="4"/>
      <c r="E1" s="4"/>
      <c r="F1" s="4"/>
      <c r="G1" s="4"/>
      <c r="H1" s="4"/>
      <c r="I1" s="5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15.75" customHeight="1">
      <c r="A2" s="8"/>
      <c r="B2" s="9"/>
      <c r="C2" s="10"/>
      <c r="D2" s="10"/>
      <c r="E2" s="10"/>
      <c r="F2" s="10"/>
      <c r="G2" s="10"/>
      <c r="H2" s="10"/>
      <c r="I2" s="12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ht="49.5" customHeight="1">
      <c r="A3" s="13" t="s">
        <v>2</v>
      </c>
      <c r="B3" s="13" t="s">
        <v>3</v>
      </c>
      <c r="C3" s="15" t="s">
        <v>4</v>
      </c>
      <c r="D3" s="15" t="s">
        <v>1</v>
      </c>
      <c r="E3" s="15" t="s">
        <v>5</v>
      </c>
      <c r="F3" s="17" t="s">
        <v>11</v>
      </c>
      <c r="G3" s="17" t="s">
        <v>7</v>
      </c>
      <c r="H3" s="15" t="s">
        <v>9</v>
      </c>
      <c r="I3" s="15" t="s">
        <v>10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ht="15.75" customHeight="1">
      <c r="A4" s="18"/>
      <c r="B4" s="19"/>
      <c r="C4" s="20"/>
      <c r="D4" s="20"/>
      <c r="E4" s="21"/>
      <c r="F4" s="22"/>
      <c r="G4" s="22"/>
      <c r="H4" s="22"/>
      <c r="I4" s="23" t="str">
        <f>C4</f>
        <v/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ht="15.75" customHeight="1">
      <c r="A5" s="24" t="s">
        <v>12</v>
      </c>
      <c r="B5" s="25" t="s">
        <v>13</v>
      </c>
      <c r="C5" s="26"/>
      <c r="D5" s="26"/>
      <c r="E5" s="26"/>
      <c r="F5" s="26"/>
      <c r="G5" s="26"/>
      <c r="H5" s="26"/>
      <c r="I5" s="23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ht="15.75" customHeight="1">
      <c r="A6" s="27">
        <v>623.0</v>
      </c>
      <c r="B6" s="28" t="s">
        <v>16</v>
      </c>
      <c r="C6" s="26"/>
      <c r="D6" s="26"/>
      <c r="E6" s="26"/>
      <c r="F6" s="26"/>
      <c r="G6" s="26"/>
      <c r="H6" s="26"/>
      <c r="I6" s="23"/>
      <c r="J6" s="21">
        <f>SUM(I7:I8)</f>
        <v>34000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ht="15.75" customHeight="1">
      <c r="A7" s="37" t="s">
        <v>20</v>
      </c>
      <c r="B7" s="19" t="s">
        <v>21</v>
      </c>
      <c r="C7" s="20">
        <v>16000.0</v>
      </c>
      <c r="D7" s="20">
        <v>16000.0</v>
      </c>
      <c r="E7" s="22"/>
      <c r="F7" s="22"/>
      <c r="G7" s="22"/>
      <c r="H7" s="23"/>
      <c r="I7" s="29">
        <f t="shared" ref="I7:I8" si="1">SUM(D7:H7)</f>
        <v>16000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ht="15.75" customHeight="1">
      <c r="A8" s="39"/>
      <c r="B8" s="19" t="s">
        <v>15</v>
      </c>
      <c r="C8" s="20">
        <v>18000.0</v>
      </c>
      <c r="D8" s="20">
        <v>18000.0</v>
      </c>
      <c r="E8" s="22"/>
      <c r="F8" s="22"/>
      <c r="G8" s="22"/>
      <c r="H8" s="23"/>
      <c r="I8" s="29">
        <f t="shared" si="1"/>
        <v>18000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ht="15.75" customHeight="1">
      <c r="A9" s="27">
        <v>641.0</v>
      </c>
      <c r="B9" s="28" t="s">
        <v>24</v>
      </c>
      <c r="C9" s="26"/>
      <c r="D9" s="26"/>
      <c r="E9" s="26"/>
      <c r="F9" s="26"/>
      <c r="G9" s="26"/>
      <c r="H9" s="26"/>
      <c r="I9" s="23"/>
      <c r="J9" s="21">
        <f>SUM(I10)</f>
        <v>33000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ht="15.75" customHeight="1">
      <c r="A10" s="37" t="s">
        <v>28</v>
      </c>
      <c r="B10" s="19" t="s">
        <v>29</v>
      </c>
      <c r="C10" s="20">
        <v>33000.0</v>
      </c>
      <c r="D10" s="20">
        <v>33000.0</v>
      </c>
      <c r="E10" s="22"/>
      <c r="F10" s="22"/>
      <c r="G10" s="22"/>
      <c r="H10" s="23"/>
      <c r="I10" s="29">
        <f>SUM(D10:H10)</f>
        <v>33000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ht="15.75" customHeight="1">
      <c r="A11" s="30"/>
      <c r="B11" s="24" t="s">
        <v>12</v>
      </c>
      <c r="C11" s="31">
        <f t="shared" ref="C11:I11" si="2">SUM(C7:C10)</f>
        <v>67000</v>
      </c>
      <c r="D11" s="31">
        <f t="shared" si="2"/>
        <v>67000</v>
      </c>
      <c r="E11" s="31">
        <f t="shared" si="2"/>
        <v>0</v>
      </c>
      <c r="F11" s="31">
        <f t="shared" si="2"/>
        <v>0</v>
      </c>
      <c r="G11" s="31">
        <f t="shared" si="2"/>
        <v>0</v>
      </c>
      <c r="H11" s="31">
        <f t="shared" si="2"/>
        <v>0</v>
      </c>
      <c r="I11" s="31">
        <f t="shared" si="2"/>
        <v>67000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>
      <c r="A12" s="47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>
      <c r="A13" s="52" t="s">
        <v>36</v>
      </c>
      <c r="B13" s="54" t="s">
        <v>39</v>
      </c>
      <c r="C13" s="55"/>
      <c r="D13" s="55"/>
      <c r="E13" s="55"/>
      <c r="F13" s="55"/>
      <c r="G13" s="55"/>
      <c r="H13" s="55"/>
      <c r="I13" s="55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</row>
    <row r="14">
      <c r="A14" s="62">
        <v>609.0</v>
      </c>
      <c r="B14" s="54" t="s">
        <v>49</v>
      </c>
      <c r="C14" s="55"/>
      <c r="D14" s="55"/>
      <c r="E14" s="55"/>
      <c r="F14" s="55"/>
      <c r="G14" s="55"/>
      <c r="H14" s="55"/>
      <c r="I14" s="55"/>
      <c r="J14" s="68">
        <f>SUM(I15)</f>
        <v>25000</v>
      </c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</row>
    <row r="15">
      <c r="A15" s="69" t="s">
        <v>50</v>
      </c>
      <c r="B15" s="70" t="s">
        <v>51</v>
      </c>
      <c r="C15" s="71">
        <v>25000.0</v>
      </c>
      <c r="D15" s="71">
        <v>25000.0</v>
      </c>
      <c r="E15" s="72"/>
      <c r="F15" s="72"/>
      <c r="G15" s="72"/>
      <c r="H15" s="72"/>
      <c r="I15" s="74">
        <f>SUM(D15:H15)</f>
        <v>25000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</row>
    <row r="16">
      <c r="A16" s="77"/>
      <c r="B16" s="79">
        <v>1330.0</v>
      </c>
      <c r="C16" s="82">
        <f t="shared" ref="C16:I16" si="3">SUM(C15)</f>
        <v>25000</v>
      </c>
      <c r="D16" s="82">
        <f t="shared" si="3"/>
        <v>25000</v>
      </c>
      <c r="E16" s="82">
        <f t="shared" si="3"/>
        <v>0</v>
      </c>
      <c r="F16" s="82">
        <f t="shared" si="3"/>
        <v>0</v>
      </c>
      <c r="G16" s="82">
        <f t="shared" si="3"/>
        <v>0</v>
      </c>
      <c r="H16" s="82">
        <f t="shared" si="3"/>
        <v>0</v>
      </c>
      <c r="I16" s="82">
        <f t="shared" si="3"/>
        <v>25000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7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 ht="15.75" customHeight="1">
      <c r="A18" s="33">
        <v>1340.0</v>
      </c>
      <c r="B18" s="34" t="s">
        <v>17</v>
      </c>
      <c r="C18" s="26"/>
      <c r="D18" s="26"/>
      <c r="E18" s="26"/>
      <c r="F18" s="26"/>
      <c r="G18" s="26"/>
      <c r="H18" s="26"/>
      <c r="I18" s="23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ht="15.75" customHeight="1">
      <c r="A19" s="27">
        <v>609.0</v>
      </c>
      <c r="B19" s="28" t="s">
        <v>60</v>
      </c>
      <c r="C19" s="26"/>
      <c r="D19" s="26"/>
      <c r="E19" s="26"/>
      <c r="F19" s="26"/>
      <c r="G19" s="26"/>
      <c r="H19" s="26"/>
      <c r="I19" s="23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ht="15.75" customHeight="1">
      <c r="A20" s="88" t="s">
        <v>64</v>
      </c>
      <c r="B20" s="36" t="s">
        <v>19</v>
      </c>
      <c r="C20" s="38">
        <v>70000.0</v>
      </c>
      <c r="D20" s="38">
        <v>70000.0</v>
      </c>
      <c r="E20" s="22"/>
      <c r="F20" s="22"/>
      <c r="G20" s="22"/>
      <c r="H20" s="23"/>
      <c r="I20" s="29">
        <f>SUM(D20:H20)</f>
        <v>70000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ht="15.75" customHeight="1">
      <c r="A21" s="30"/>
      <c r="B21" s="33">
        <v>1340.0</v>
      </c>
      <c r="C21" s="31">
        <f t="shared" ref="C21:I21" si="4">SUM(C20)</f>
        <v>70000</v>
      </c>
      <c r="D21" s="31">
        <f t="shared" si="4"/>
        <v>70000</v>
      </c>
      <c r="E21" s="31">
        <f t="shared" si="4"/>
        <v>0</v>
      </c>
      <c r="F21" s="31">
        <f t="shared" si="4"/>
        <v>0</v>
      </c>
      <c r="G21" s="31">
        <f t="shared" si="4"/>
        <v>0</v>
      </c>
      <c r="H21" s="31">
        <f t="shared" si="4"/>
        <v>0</v>
      </c>
      <c r="I21" s="31">
        <f t="shared" si="4"/>
        <v>70000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ht="15.75" customHeight="1">
      <c r="A22" s="40"/>
      <c r="B22" s="41"/>
      <c r="C22" s="42"/>
      <c r="D22" s="20"/>
      <c r="E22" s="21"/>
      <c r="F22" s="22"/>
      <c r="G22" s="22"/>
      <c r="H22" s="22"/>
      <c r="I22" s="2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ht="15.75" customHeight="1">
      <c r="A23" s="43" t="s">
        <v>22</v>
      </c>
      <c r="B23" s="44" t="s">
        <v>23</v>
      </c>
      <c r="C23" s="42"/>
      <c r="D23" s="20"/>
      <c r="E23" s="21"/>
      <c r="F23" s="22"/>
      <c r="G23" s="22"/>
      <c r="H23" s="22"/>
      <c r="I23" s="23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ht="15.75" customHeight="1">
      <c r="A24" s="43" t="s">
        <v>88</v>
      </c>
      <c r="B24" s="44" t="s">
        <v>89</v>
      </c>
      <c r="C24" s="42"/>
      <c r="D24" s="42"/>
      <c r="E24" s="21"/>
      <c r="F24" s="22"/>
      <c r="G24" s="22"/>
      <c r="H24" s="22"/>
      <c r="I24" s="42"/>
      <c r="J24" s="21">
        <f>SUM(I25:I28)</f>
        <v>11080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ht="15.75" customHeight="1">
      <c r="A25" s="59" t="s">
        <v>92</v>
      </c>
      <c r="B25" s="19" t="s">
        <v>32</v>
      </c>
      <c r="C25" s="20">
        <v>1740.0</v>
      </c>
      <c r="D25" s="20">
        <v>1740.0</v>
      </c>
      <c r="E25" s="117"/>
      <c r="F25" s="22"/>
      <c r="G25" s="22"/>
      <c r="H25" s="22"/>
      <c r="I25" s="29">
        <f t="shared" ref="I25:I28" si="5">SUM(D25:H25)</f>
        <v>1740</v>
      </c>
      <c r="J25" s="11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ht="15.75" customHeight="1">
      <c r="A26" s="40"/>
      <c r="B26" s="19" t="s">
        <v>33</v>
      </c>
      <c r="C26" s="20">
        <v>840.0</v>
      </c>
      <c r="D26" s="20">
        <v>840.0</v>
      </c>
      <c r="E26" s="117"/>
      <c r="F26" s="21"/>
      <c r="G26" s="21"/>
      <c r="H26" s="21"/>
      <c r="I26" s="29">
        <f t="shared" si="5"/>
        <v>840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ht="15.75" customHeight="1">
      <c r="A27" s="40"/>
      <c r="B27" s="19" t="s">
        <v>34</v>
      </c>
      <c r="C27" s="20">
        <v>5000.0</v>
      </c>
      <c r="D27" s="20">
        <v>5000.0</v>
      </c>
      <c r="E27" s="117"/>
      <c r="F27" s="22"/>
      <c r="G27" s="22"/>
      <c r="H27" s="22"/>
      <c r="I27" s="29">
        <f t="shared" si="5"/>
        <v>5000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ht="15.75" customHeight="1">
      <c r="A28" s="40"/>
      <c r="B28" s="19" t="s">
        <v>35</v>
      </c>
      <c r="C28" s="20">
        <v>3500.0</v>
      </c>
      <c r="D28" s="20">
        <v>3500.0</v>
      </c>
      <c r="E28" s="117"/>
      <c r="F28" s="22"/>
      <c r="G28" s="22"/>
      <c r="H28" s="22"/>
      <c r="I28" s="29">
        <f t="shared" si="5"/>
        <v>3500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ht="15.75" customHeight="1">
      <c r="A29" s="43" t="s">
        <v>99</v>
      </c>
      <c r="B29" s="44" t="s">
        <v>26</v>
      </c>
      <c r="C29" s="42"/>
      <c r="D29" s="20"/>
      <c r="E29" s="21"/>
      <c r="F29" s="22"/>
      <c r="G29" s="22"/>
      <c r="H29" s="22"/>
      <c r="I29" s="23"/>
      <c r="J29" s="21">
        <f>SUM(I30)</f>
        <v>25000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ht="15.75" customHeight="1">
      <c r="A30" s="59" t="s">
        <v>110</v>
      </c>
      <c r="B30" s="19" t="s">
        <v>30</v>
      </c>
      <c r="C30" s="20">
        <v>25000.0</v>
      </c>
      <c r="D30" s="20">
        <v>25000.0</v>
      </c>
      <c r="E30" s="21"/>
      <c r="F30" s="22"/>
      <c r="G30" s="22"/>
      <c r="H30" s="22"/>
      <c r="I30" s="29">
        <f>SUM(D30:H30)</f>
        <v>25000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ht="15.75" customHeight="1">
      <c r="A31" s="40"/>
      <c r="B31" s="45">
        <v>1510.0</v>
      </c>
      <c r="C31" s="46">
        <f t="shared" ref="C31:I31" si="6">SUM(C25:C30)</f>
        <v>36080</v>
      </c>
      <c r="D31" s="46">
        <f t="shared" si="6"/>
        <v>36080</v>
      </c>
      <c r="E31" s="46">
        <f t="shared" si="6"/>
        <v>0</v>
      </c>
      <c r="F31" s="46">
        <f t="shared" si="6"/>
        <v>0</v>
      </c>
      <c r="G31" s="46">
        <f t="shared" si="6"/>
        <v>0</v>
      </c>
      <c r="H31" s="46">
        <f t="shared" si="6"/>
        <v>0</v>
      </c>
      <c r="I31" s="46">
        <f t="shared" si="6"/>
        <v>36080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ht="15.75" customHeight="1">
      <c r="A32" s="40"/>
      <c r="B32" s="49"/>
      <c r="C32" s="51"/>
      <c r="D32" s="51"/>
      <c r="E32" s="51"/>
      <c r="F32" s="51"/>
      <c r="G32" s="51"/>
      <c r="H32" s="51"/>
      <c r="I32" s="51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ht="15.75" customHeight="1">
      <c r="A33" s="43" t="s">
        <v>37</v>
      </c>
      <c r="B33" s="44" t="s">
        <v>38</v>
      </c>
      <c r="C33" s="42"/>
      <c r="D33" s="20"/>
      <c r="E33" s="21"/>
      <c r="F33" s="22"/>
      <c r="G33" s="22"/>
      <c r="H33" s="22"/>
      <c r="I33" s="23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ht="15.75" customHeight="1">
      <c r="A34" s="43" t="s">
        <v>127</v>
      </c>
      <c r="B34" s="44" t="s">
        <v>128</v>
      </c>
      <c r="C34" s="42"/>
      <c r="D34" s="20"/>
      <c r="E34" s="21"/>
      <c r="F34" s="143" t="s">
        <v>129</v>
      </c>
      <c r="G34" s="22"/>
      <c r="H34" s="22"/>
      <c r="I34" s="23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ht="15.75" customHeight="1">
      <c r="A35" s="144" t="s">
        <v>43</v>
      </c>
      <c r="B35" s="145" t="s">
        <v>46</v>
      </c>
      <c r="C35" s="146">
        <v>815333.4</v>
      </c>
      <c r="D35" s="146">
        <v>187772.57</v>
      </c>
      <c r="E35" s="147"/>
      <c r="F35" s="146">
        <v>74240.4</v>
      </c>
      <c r="G35" s="146"/>
      <c r="H35" s="146">
        <v>553320.43</v>
      </c>
      <c r="I35" s="29">
        <f>SUM(D35:H35)</f>
        <v>815333.4</v>
      </c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</row>
    <row r="36" ht="15.75" customHeight="1">
      <c r="A36" s="40"/>
      <c r="B36" s="45">
        <v>1522.0</v>
      </c>
      <c r="C36" s="46">
        <f t="shared" ref="C36:I36" si="7">SUM(C35)</f>
        <v>815333.4</v>
      </c>
      <c r="D36" s="46">
        <f t="shared" si="7"/>
        <v>187772.57</v>
      </c>
      <c r="E36" s="46">
        <f t="shared" si="7"/>
        <v>0</v>
      </c>
      <c r="F36" s="46">
        <f t="shared" si="7"/>
        <v>74240.4</v>
      </c>
      <c r="G36" s="46">
        <f t="shared" si="7"/>
        <v>0</v>
      </c>
      <c r="H36" s="46">
        <f t="shared" si="7"/>
        <v>553320.43</v>
      </c>
      <c r="I36" s="46">
        <f t="shared" si="7"/>
        <v>815333.4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ht="15.75" customHeight="1">
      <c r="A37" s="30"/>
      <c r="B37" s="73"/>
      <c r="C37" s="22"/>
      <c r="D37" s="22"/>
      <c r="E37" s="22"/>
      <c r="F37" s="22"/>
      <c r="G37" s="22"/>
      <c r="H37" s="23"/>
      <c r="I37" s="23"/>
      <c r="J37" s="6"/>
      <c r="K37" s="6"/>
      <c r="L37" s="75"/>
      <c r="M37" s="75"/>
      <c r="N37" s="7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ht="15.75" customHeight="1">
      <c r="A38" s="33">
        <v>1530.0</v>
      </c>
      <c r="B38" s="34" t="s">
        <v>52</v>
      </c>
      <c r="C38" s="22"/>
      <c r="D38" s="22"/>
      <c r="E38" s="22"/>
      <c r="F38" s="22"/>
      <c r="G38" s="22"/>
      <c r="H38" s="23"/>
      <c r="I38" s="23"/>
      <c r="J38" s="6"/>
      <c r="K38" s="6"/>
      <c r="L38" s="75"/>
      <c r="M38" s="75"/>
      <c r="N38" s="7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ht="15.75" customHeight="1">
      <c r="A39" s="33">
        <v>619.0</v>
      </c>
      <c r="B39" s="35" t="s">
        <v>53</v>
      </c>
      <c r="C39" s="85"/>
      <c r="D39" s="85"/>
      <c r="E39" s="85"/>
      <c r="F39" s="152" t="s">
        <v>146</v>
      </c>
      <c r="G39" s="85"/>
      <c r="H39" s="85"/>
      <c r="I39" s="23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ht="15.75" customHeight="1">
      <c r="A40" s="88" t="s">
        <v>57</v>
      </c>
      <c r="B40" s="99" t="s">
        <v>58</v>
      </c>
      <c r="C40" s="133">
        <v>488703.95</v>
      </c>
      <c r="D40" s="133">
        <v>186509.22</v>
      </c>
      <c r="E40" s="32"/>
      <c r="F40" s="22"/>
      <c r="G40" s="20"/>
      <c r="H40" s="153">
        <v>302194.73</v>
      </c>
      <c r="I40" s="22">
        <f t="shared" ref="I40:I41" si="8">SUM(D40:H40)</f>
        <v>488703.95</v>
      </c>
      <c r="J40" s="6"/>
      <c r="K40" s="6"/>
      <c r="L40" s="99"/>
      <c r="M40" s="99"/>
      <c r="N40" s="9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ht="15.75" customHeight="1">
      <c r="A41" s="88" t="s">
        <v>67</v>
      </c>
      <c r="B41" s="19" t="s">
        <v>68</v>
      </c>
      <c r="C41" s="20">
        <v>736402.98</v>
      </c>
      <c r="D41" s="20">
        <v>736402.98</v>
      </c>
      <c r="E41" s="32"/>
      <c r="F41" s="22"/>
      <c r="G41" s="22"/>
      <c r="H41" s="23"/>
      <c r="I41" s="22">
        <f t="shared" si="8"/>
        <v>736402.98</v>
      </c>
      <c r="J41" s="6"/>
      <c r="K41" s="6"/>
      <c r="L41" s="32"/>
      <c r="M41" s="32"/>
      <c r="N41" s="7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ht="15.75" customHeight="1">
      <c r="A42" s="88" t="s">
        <v>153</v>
      </c>
      <c r="B42" s="19" t="s">
        <v>154</v>
      </c>
      <c r="C42" s="20">
        <v>23958.0</v>
      </c>
      <c r="D42" s="20">
        <v>23958.0</v>
      </c>
      <c r="E42" s="32"/>
      <c r="F42" s="22"/>
      <c r="G42" s="22"/>
      <c r="H42" s="23"/>
      <c r="I42" s="20">
        <v>23958.0</v>
      </c>
      <c r="J42" s="6"/>
      <c r="K42" s="6"/>
      <c r="L42" s="32"/>
      <c r="M42" s="32"/>
      <c r="N42" s="7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ht="15.75" customHeight="1">
      <c r="A43" s="88" t="s">
        <v>159</v>
      </c>
      <c r="B43" s="101" t="s">
        <v>62</v>
      </c>
      <c r="C43" s="103">
        <v>123000.0</v>
      </c>
      <c r="D43" s="103">
        <v>123000.0</v>
      </c>
      <c r="E43" s="32"/>
      <c r="F43" s="22"/>
      <c r="G43" s="22"/>
      <c r="H43" s="23"/>
      <c r="I43" s="22">
        <f t="shared" ref="I43:I50" si="9">SUM(D43:H43)</f>
        <v>123000</v>
      </c>
      <c r="J43" s="6"/>
      <c r="K43" s="6"/>
      <c r="L43" s="99"/>
      <c r="M43" s="99"/>
      <c r="N43" s="9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ht="15.75" customHeight="1">
      <c r="A44" s="30"/>
      <c r="B44" s="106" t="s">
        <v>75</v>
      </c>
      <c r="C44" s="107">
        <v>242400.0</v>
      </c>
      <c r="D44" s="107">
        <v>236400.0</v>
      </c>
      <c r="E44" s="22"/>
      <c r="F44" s="20">
        <v>6000.0</v>
      </c>
      <c r="G44" s="22"/>
      <c r="H44" s="23"/>
      <c r="I44" s="29">
        <f t="shared" si="9"/>
        <v>242400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ht="15.75" customHeight="1">
      <c r="A45" s="30"/>
      <c r="B45" s="36" t="s">
        <v>82</v>
      </c>
      <c r="C45" s="38">
        <v>60000.0</v>
      </c>
      <c r="D45" s="38">
        <v>60000.0</v>
      </c>
      <c r="E45" s="22"/>
      <c r="F45" s="22"/>
      <c r="G45" s="22"/>
      <c r="H45" s="23"/>
      <c r="I45" s="29">
        <f t="shared" si="9"/>
        <v>60000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ht="15.75" customHeight="1">
      <c r="A46" s="30"/>
      <c r="B46" s="36" t="s">
        <v>84</v>
      </c>
      <c r="C46" s="38">
        <v>40000.0</v>
      </c>
      <c r="D46" s="38">
        <v>40000.0</v>
      </c>
      <c r="E46" s="22"/>
      <c r="F46" s="22"/>
      <c r="G46" s="22"/>
      <c r="H46" s="23"/>
      <c r="I46" s="29">
        <f t="shared" si="9"/>
        <v>40000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ht="15.75" customHeight="1">
      <c r="A47" s="30"/>
      <c r="B47" s="36" t="s">
        <v>86</v>
      </c>
      <c r="C47" s="38">
        <v>15000.0</v>
      </c>
      <c r="D47" s="38">
        <v>15000.0</v>
      </c>
      <c r="E47" s="22"/>
      <c r="F47" s="22"/>
      <c r="G47" s="22"/>
      <c r="H47" s="23"/>
      <c r="I47" s="29">
        <f t="shared" si="9"/>
        <v>15000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ht="15.75" customHeight="1">
      <c r="A48" s="30"/>
      <c r="B48" s="36" t="s">
        <v>87</v>
      </c>
      <c r="C48" s="38">
        <v>25000.0</v>
      </c>
      <c r="D48" s="38">
        <v>25000.0</v>
      </c>
      <c r="E48" s="22"/>
      <c r="F48" s="22"/>
      <c r="G48" s="22"/>
      <c r="H48" s="23"/>
      <c r="I48" s="29">
        <f t="shared" si="9"/>
        <v>25000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ht="15.75" customHeight="1">
      <c r="A49" s="30"/>
      <c r="B49" s="36" t="s">
        <v>180</v>
      </c>
      <c r="C49" s="38">
        <v>22937.45</v>
      </c>
      <c r="D49" s="38">
        <v>22937.45</v>
      </c>
      <c r="E49" s="22"/>
      <c r="F49" s="22"/>
      <c r="G49" s="22"/>
      <c r="H49" s="23"/>
      <c r="I49" s="29">
        <f t="shared" si="9"/>
        <v>22937.45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ht="15.75" customHeight="1">
      <c r="A50" s="30"/>
      <c r="B50" s="36" t="s">
        <v>184</v>
      </c>
      <c r="C50" s="38">
        <v>100000.0</v>
      </c>
      <c r="D50" s="38">
        <v>45000.0</v>
      </c>
      <c r="E50" s="20">
        <v>55000.0</v>
      </c>
      <c r="F50" s="22"/>
      <c r="G50" s="22"/>
      <c r="H50" s="23"/>
      <c r="I50" s="29">
        <f t="shared" si="9"/>
        <v>100000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ht="15.75" customHeight="1">
      <c r="A51" s="30"/>
      <c r="B51" s="36" t="s">
        <v>186</v>
      </c>
      <c r="C51" s="38">
        <v>100000.0</v>
      </c>
      <c r="E51" s="38">
        <v>100000.0</v>
      </c>
      <c r="F51" s="22"/>
      <c r="G51" s="22"/>
      <c r="H51" s="23"/>
      <c r="I51" s="29">
        <f>SUM(E51:H51)</f>
        <v>100000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ht="15.75" customHeight="1">
      <c r="A52" s="59" t="s">
        <v>189</v>
      </c>
      <c r="B52" s="19" t="s">
        <v>190</v>
      </c>
      <c r="C52" s="20">
        <v>100000.0</v>
      </c>
      <c r="D52" s="20">
        <v>100000.0</v>
      </c>
      <c r="E52" s="21"/>
      <c r="F52" s="22"/>
      <c r="G52" s="22"/>
      <c r="H52" s="22"/>
      <c r="I52" s="29">
        <f t="shared" ref="I52:I53" si="10">SUM(D52:H52)</f>
        <v>100000</v>
      </c>
      <c r="J52" s="117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ht="15.75" customHeight="1">
      <c r="A53" s="43"/>
      <c r="B53" s="19" t="s">
        <v>195</v>
      </c>
      <c r="C53" s="20">
        <v>150000.0</v>
      </c>
      <c r="D53" s="20">
        <v>150000.0</v>
      </c>
      <c r="E53" s="21"/>
      <c r="F53" s="22"/>
      <c r="G53" s="22"/>
      <c r="H53" s="22"/>
      <c r="I53" s="29">
        <f t="shared" si="10"/>
        <v>150000</v>
      </c>
      <c r="J53" s="117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ht="15.75" customHeight="1">
      <c r="A54" s="30"/>
      <c r="B54" s="33">
        <v>1530.0</v>
      </c>
      <c r="C54" s="31">
        <f t="shared" ref="C54:I54" si="11">SUM(C40:C53)</f>
        <v>2227402.38</v>
      </c>
      <c r="D54" s="31">
        <f t="shared" si="11"/>
        <v>1764207.65</v>
      </c>
      <c r="E54" s="31">
        <f t="shared" si="11"/>
        <v>155000</v>
      </c>
      <c r="F54" s="31">
        <f t="shared" si="11"/>
        <v>6000</v>
      </c>
      <c r="G54" s="31">
        <f t="shared" si="11"/>
        <v>0</v>
      </c>
      <c r="H54" s="31">
        <f t="shared" si="11"/>
        <v>302194.73</v>
      </c>
      <c r="I54" s="31">
        <f t="shared" si="11"/>
        <v>2227402.38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ht="15.75" customHeight="1">
      <c r="A55" s="120"/>
      <c r="B55" s="99"/>
      <c r="C55" s="21"/>
      <c r="D55" s="21"/>
      <c r="E55" s="21"/>
      <c r="F55" s="21"/>
      <c r="G55" s="21"/>
      <c r="H55" s="21"/>
      <c r="I55" s="122"/>
      <c r="J55" s="123"/>
      <c r="K55" s="123"/>
      <c r="L55" s="123"/>
      <c r="M55" s="123"/>
      <c r="N55" s="123"/>
      <c r="O55" s="123"/>
      <c r="P55" s="123"/>
      <c r="Q55" s="123"/>
      <c r="R55" s="123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ht="15.75" customHeight="1">
      <c r="A56" s="126" t="s">
        <v>208</v>
      </c>
      <c r="B56" s="127" t="s">
        <v>209</v>
      </c>
      <c r="C56" s="21"/>
      <c r="D56" s="21"/>
      <c r="E56" s="21"/>
      <c r="F56" s="21"/>
      <c r="G56" s="21"/>
      <c r="H56" s="21"/>
      <c r="I56" s="122"/>
      <c r="J56" s="123"/>
      <c r="K56" s="123"/>
      <c r="L56" s="123"/>
      <c r="M56" s="123"/>
      <c r="N56" s="123"/>
      <c r="O56" s="123"/>
      <c r="P56" s="123"/>
      <c r="Q56" s="123"/>
      <c r="R56" s="123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ht="15.75" customHeight="1">
      <c r="A57" s="126" t="s">
        <v>25</v>
      </c>
      <c r="B57" s="127" t="s">
        <v>53</v>
      </c>
      <c r="C57" s="21"/>
      <c r="D57" s="21"/>
      <c r="E57" s="21"/>
      <c r="F57" s="21"/>
      <c r="G57" s="21"/>
      <c r="H57" s="21"/>
      <c r="I57" s="122"/>
      <c r="J57" s="123"/>
      <c r="K57" s="123"/>
      <c r="L57" s="123"/>
      <c r="M57" s="123"/>
      <c r="N57" s="123"/>
      <c r="O57" s="123"/>
      <c r="P57" s="123"/>
      <c r="Q57" s="123"/>
      <c r="R57" s="123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ht="15.75" customHeight="1">
      <c r="A58" s="120" t="s">
        <v>217</v>
      </c>
      <c r="B58" s="131" t="s">
        <v>103</v>
      </c>
      <c r="C58" s="103">
        <v>40000.0</v>
      </c>
      <c r="D58" s="133">
        <f t="shared" ref="D58:D61" si="12">C58</f>
        <v>40000</v>
      </c>
      <c r="E58" s="103"/>
      <c r="F58" s="134"/>
      <c r="G58" s="134"/>
      <c r="H58" s="134"/>
      <c r="I58" s="29">
        <f t="shared" ref="I58:I61" si="13">SUM(D58:H58)</f>
        <v>40000</v>
      </c>
      <c r="J58" s="123"/>
      <c r="K58" s="123"/>
      <c r="L58" s="123"/>
      <c r="M58" s="123"/>
      <c r="N58" s="123"/>
      <c r="O58" s="123"/>
      <c r="P58" s="123"/>
      <c r="Q58" s="123"/>
      <c r="R58" s="123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ht="15.75" customHeight="1">
      <c r="A59" s="120"/>
      <c r="B59" s="135" t="s">
        <v>108</v>
      </c>
      <c r="C59" s="103">
        <v>40000.0</v>
      </c>
      <c r="D59" s="133">
        <f t="shared" si="12"/>
        <v>40000</v>
      </c>
      <c r="E59" s="103"/>
      <c r="F59" s="134"/>
      <c r="G59" s="134"/>
      <c r="H59" s="134"/>
      <c r="I59" s="29">
        <f t="shared" si="13"/>
        <v>40000</v>
      </c>
      <c r="J59" s="123"/>
      <c r="K59" s="123"/>
      <c r="L59" s="123"/>
      <c r="M59" s="123"/>
      <c r="N59" s="123"/>
      <c r="O59" s="123"/>
      <c r="P59" s="123"/>
      <c r="Q59" s="123"/>
      <c r="R59" s="123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ht="15.75" customHeight="1">
      <c r="A60" s="120"/>
      <c r="B60" s="135" t="s">
        <v>111</v>
      </c>
      <c r="C60" s="103">
        <v>40000.0</v>
      </c>
      <c r="D60" s="133">
        <f t="shared" si="12"/>
        <v>40000</v>
      </c>
      <c r="E60" s="103"/>
      <c r="F60" s="134"/>
      <c r="G60" s="134"/>
      <c r="H60" s="134"/>
      <c r="I60" s="29">
        <f t="shared" si="13"/>
        <v>40000</v>
      </c>
      <c r="J60" s="123"/>
      <c r="K60" s="123"/>
      <c r="L60" s="123"/>
      <c r="M60" s="123"/>
      <c r="N60" s="123"/>
      <c r="O60" s="123"/>
      <c r="P60" s="123"/>
      <c r="Q60" s="123"/>
      <c r="R60" s="123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ht="15.75" customHeight="1">
      <c r="A61" s="120"/>
      <c r="B61" s="131" t="s">
        <v>113</v>
      </c>
      <c r="C61" s="103">
        <v>5000.0</v>
      </c>
      <c r="D61" s="133">
        <f t="shared" si="12"/>
        <v>5000</v>
      </c>
      <c r="E61" s="103"/>
      <c r="F61" s="134"/>
      <c r="G61" s="134"/>
      <c r="H61" s="134"/>
      <c r="I61" s="29">
        <f t="shared" si="13"/>
        <v>5000</v>
      </c>
      <c r="J61" s="123"/>
      <c r="K61" s="123"/>
      <c r="L61" s="123"/>
      <c r="M61" s="123"/>
      <c r="N61" s="123"/>
      <c r="O61" s="123"/>
      <c r="P61" s="123"/>
      <c r="Q61" s="123"/>
      <c r="R61" s="123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ht="15.75" customHeight="1">
      <c r="A62" s="30"/>
      <c r="B62" s="27">
        <v>1600.0</v>
      </c>
      <c r="C62" s="31">
        <f t="shared" ref="C62:I62" si="14">SUM(C58:C61)</f>
        <v>125000</v>
      </c>
      <c r="D62" s="31">
        <f t="shared" si="14"/>
        <v>125000</v>
      </c>
      <c r="E62" s="31">
        <f t="shared" si="14"/>
        <v>0</v>
      </c>
      <c r="F62" s="31">
        <f t="shared" si="14"/>
        <v>0</v>
      </c>
      <c r="G62" s="31">
        <f t="shared" si="14"/>
        <v>0</v>
      </c>
      <c r="H62" s="31">
        <f t="shared" si="14"/>
        <v>0</v>
      </c>
      <c r="I62" s="31">
        <f t="shared" si="14"/>
        <v>125000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ht="15.75" customHeight="1">
      <c r="A63" s="120"/>
      <c r="B63" s="99"/>
      <c r="C63" s="21"/>
      <c r="D63" s="21"/>
      <c r="E63" s="21"/>
      <c r="F63" s="21"/>
      <c r="G63" s="21"/>
      <c r="H63" s="21"/>
      <c r="I63" s="122"/>
      <c r="J63" s="123"/>
      <c r="K63" s="123"/>
      <c r="L63" s="123"/>
      <c r="M63" s="123"/>
      <c r="N63" s="123"/>
      <c r="O63" s="123"/>
      <c r="P63" s="123"/>
      <c r="Q63" s="123"/>
      <c r="R63" s="123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ht="15.75" customHeight="1">
      <c r="A64" s="126" t="s">
        <v>97</v>
      </c>
      <c r="B64" s="127" t="s">
        <v>98</v>
      </c>
      <c r="C64" s="21"/>
      <c r="D64" s="21"/>
      <c r="E64" s="21"/>
      <c r="F64" s="21"/>
      <c r="G64" s="21"/>
      <c r="H64" s="21"/>
      <c r="I64" s="122"/>
      <c r="J64" s="123"/>
      <c r="K64" s="123"/>
      <c r="L64" s="123"/>
      <c r="M64" s="123"/>
      <c r="N64" s="123"/>
      <c r="O64" s="123"/>
      <c r="P64" s="123"/>
      <c r="Q64" s="123"/>
      <c r="R64" s="123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ht="15.75" customHeight="1">
      <c r="A65" s="126" t="s">
        <v>25</v>
      </c>
      <c r="B65" s="127" t="s">
        <v>53</v>
      </c>
      <c r="C65" s="21"/>
      <c r="D65" s="21"/>
      <c r="E65" s="21"/>
      <c r="F65" s="21"/>
      <c r="G65" s="21"/>
      <c r="H65" s="21"/>
      <c r="I65" s="122"/>
      <c r="J65" s="122">
        <f>SUM(I66:I68)</f>
        <v>164790</v>
      </c>
      <c r="K65" s="123"/>
      <c r="L65" s="123"/>
      <c r="M65" s="123"/>
      <c r="N65" s="123"/>
      <c r="O65" s="123"/>
      <c r="P65" s="123"/>
      <c r="Q65" s="123"/>
      <c r="R65" s="123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ht="15.75" customHeight="1">
      <c r="A66" s="120" t="s">
        <v>243</v>
      </c>
      <c r="B66" s="99" t="s">
        <v>115</v>
      </c>
      <c r="C66" s="133">
        <v>120000.0</v>
      </c>
      <c r="D66" s="133">
        <f t="shared" ref="D66:D68" si="15">C66</f>
        <v>120000</v>
      </c>
      <c r="E66" s="103"/>
      <c r="F66" s="134"/>
      <c r="G66" s="134"/>
      <c r="H66" s="21"/>
      <c r="I66" s="29">
        <f t="shared" ref="I66:I68" si="16">SUM(D66:H66)</f>
        <v>120000</v>
      </c>
      <c r="J66" s="123"/>
      <c r="K66" s="123"/>
      <c r="L66" s="123"/>
      <c r="M66" s="123"/>
      <c r="N66" s="123"/>
      <c r="O66" s="123"/>
      <c r="P66" s="123"/>
      <c r="Q66" s="123"/>
      <c r="R66" s="123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ht="15.75" customHeight="1">
      <c r="A67" s="120" t="s">
        <v>244</v>
      </c>
      <c r="B67" s="135" t="s">
        <v>133</v>
      </c>
      <c r="C67" s="103">
        <v>30000.0</v>
      </c>
      <c r="D67" s="133">
        <f t="shared" si="15"/>
        <v>30000</v>
      </c>
      <c r="E67" s="103"/>
      <c r="F67" s="134"/>
      <c r="G67" s="134"/>
      <c r="H67" s="134"/>
      <c r="I67" s="29">
        <f t="shared" si="16"/>
        <v>30000</v>
      </c>
      <c r="J67" s="123"/>
      <c r="K67" s="123"/>
      <c r="L67" s="123"/>
      <c r="M67" s="123"/>
      <c r="N67" s="123"/>
      <c r="O67" s="123"/>
      <c r="P67" s="123"/>
      <c r="Q67" s="123"/>
      <c r="R67" s="123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ht="15.75" customHeight="1">
      <c r="A68" s="120"/>
      <c r="B68" s="135" t="s">
        <v>247</v>
      </c>
      <c r="C68" s="103">
        <f>4000+5000+5790</f>
        <v>14790</v>
      </c>
      <c r="D68" s="133">
        <f t="shared" si="15"/>
        <v>14790</v>
      </c>
      <c r="E68" s="103"/>
      <c r="F68" s="134"/>
      <c r="G68" s="134"/>
      <c r="H68" s="134"/>
      <c r="I68" s="29">
        <f t="shared" si="16"/>
        <v>14790</v>
      </c>
      <c r="J68" s="172" t="s">
        <v>136</v>
      </c>
      <c r="K68" s="123"/>
      <c r="L68" s="123"/>
      <c r="M68" s="123"/>
      <c r="N68" s="123"/>
      <c r="O68" s="123"/>
      <c r="P68" s="123"/>
      <c r="Q68" s="123"/>
      <c r="R68" s="123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ht="15.75" customHeight="1">
      <c r="A69" s="126" t="s">
        <v>121</v>
      </c>
      <c r="B69" s="28" t="s">
        <v>123</v>
      </c>
      <c r="C69" s="103"/>
      <c r="D69" s="133"/>
      <c r="E69" s="103"/>
      <c r="F69" s="134"/>
      <c r="G69" s="134"/>
      <c r="H69" s="134"/>
      <c r="I69" s="103"/>
      <c r="J69" s="122">
        <f>SUM(I70:I74)</f>
        <v>47200</v>
      </c>
      <c r="K69" s="123"/>
      <c r="L69" s="123"/>
      <c r="M69" s="123"/>
      <c r="N69" s="123"/>
      <c r="O69" s="123"/>
      <c r="P69" s="123"/>
      <c r="Q69" s="123"/>
      <c r="R69" s="123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ht="15.75" customHeight="1">
      <c r="A70" s="120" t="s">
        <v>249</v>
      </c>
      <c r="B70" s="131" t="s">
        <v>122</v>
      </c>
      <c r="C70" s="103">
        <v>1200.0</v>
      </c>
      <c r="D70" s="133">
        <v>1200.0</v>
      </c>
      <c r="E70" s="117"/>
      <c r="F70" s="134"/>
      <c r="G70" s="134"/>
      <c r="H70" s="134"/>
      <c r="I70" s="29">
        <f t="shared" ref="I70:I74" si="17">SUM(D70:H70)</f>
        <v>1200</v>
      </c>
      <c r="J70" s="123"/>
      <c r="K70" s="123"/>
      <c r="L70" s="123"/>
      <c r="M70" s="123"/>
      <c r="N70" s="123"/>
      <c r="O70" s="123"/>
      <c r="P70" s="123"/>
      <c r="Q70" s="123"/>
      <c r="R70" s="123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ht="15.75" customHeight="1">
      <c r="A71" s="120"/>
      <c r="B71" s="131" t="s">
        <v>124</v>
      </c>
      <c r="C71" s="103">
        <v>12000.0</v>
      </c>
      <c r="D71" s="133">
        <f t="shared" ref="D71:D72" si="18">C71</f>
        <v>12000</v>
      </c>
      <c r="E71" s="133"/>
      <c r="F71" s="134"/>
      <c r="G71" s="134"/>
      <c r="H71" s="134"/>
      <c r="I71" s="29">
        <f t="shared" si="17"/>
        <v>12000</v>
      </c>
      <c r="J71" s="123"/>
      <c r="K71" s="123"/>
      <c r="L71" s="123"/>
      <c r="M71" s="123"/>
      <c r="N71" s="123"/>
      <c r="O71" s="123"/>
      <c r="P71" s="123"/>
      <c r="Q71" s="123"/>
      <c r="R71" s="123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ht="15.75" customHeight="1">
      <c r="A72" s="120"/>
      <c r="B72" s="131" t="s">
        <v>125</v>
      </c>
      <c r="C72" s="103">
        <v>25000.0</v>
      </c>
      <c r="D72" s="133">
        <f t="shared" si="18"/>
        <v>25000</v>
      </c>
      <c r="E72" s="103"/>
      <c r="F72" s="134"/>
      <c r="G72" s="134"/>
      <c r="H72" s="134"/>
      <c r="I72" s="29">
        <f t="shared" si="17"/>
        <v>25000</v>
      </c>
      <c r="J72" s="123"/>
      <c r="K72" s="123"/>
      <c r="L72" s="123"/>
      <c r="M72" s="123"/>
      <c r="N72" s="123"/>
      <c r="O72" s="123"/>
      <c r="P72" s="123"/>
      <c r="Q72" s="123"/>
      <c r="R72" s="123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ht="15.75" customHeight="1">
      <c r="A73" s="120"/>
      <c r="B73" s="131" t="s">
        <v>126</v>
      </c>
      <c r="C73" s="103">
        <v>6000.0</v>
      </c>
      <c r="D73" s="133">
        <v>6000.0</v>
      </c>
      <c r="E73" s="117"/>
      <c r="F73" s="134"/>
      <c r="G73" s="134"/>
      <c r="H73" s="134"/>
      <c r="I73" s="29">
        <f t="shared" si="17"/>
        <v>6000</v>
      </c>
      <c r="J73" s="123"/>
      <c r="K73" s="123"/>
      <c r="L73" s="123"/>
      <c r="M73" s="123"/>
      <c r="N73" s="123"/>
      <c r="O73" s="123"/>
      <c r="P73" s="123"/>
      <c r="Q73" s="123"/>
      <c r="R73" s="123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ht="15.75" customHeight="1">
      <c r="A74" s="120"/>
      <c r="B74" s="131" t="s">
        <v>130</v>
      </c>
      <c r="C74" s="103">
        <v>3000.0</v>
      </c>
      <c r="D74" s="133">
        <v>3000.0</v>
      </c>
      <c r="E74" s="117"/>
      <c r="F74" s="134"/>
      <c r="G74" s="134"/>
      <c r="H74" s="134"/>
      <c r="I74" s="29">
        <f t="shared" si="17"/>
        <v>3000</v>
      </c>
      <c r="J74" s="123"/>
      <c r="K74" s="123"/>
      <c r="L74" s="123"/>
      <c r="M74" s="123"/>
      <c r="N74" s="123"/>
      <c r="O74" s="123"/>
      <c r="P74" s="123"/>
      <c r="Q74" s="123"/>
      <c r="R74" s="123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ht="15.75" customHeight="1">
      <c r="A75" s="120"/>
      <c r="B75" s="45">
        <v>1610.0</v>
      </c>
      <c r="C75" s="46">
        <f t="shared" ref="C75:I75" si="19">SUM(C66:C74)</f>
        <v>211990</v>
      </c>
      <c r="D75" s="46">
        <f t="shared" si="19"/>
        <v>211990</v>
      </c>
      <c r="E75" s="46">
        <f t="shared" si="19"/>
        <v>0</v>
      </c>
      <c r="F75" s="46">
        <f t="shared" si="19"/>
        <v>0</v>
      </c>
      <c r="G75" s="46">
        <f t="shared" si="19"/>
        <v>0</v>
      </c>
      <c r="H75" s="46">
        <f t="shared" si="19"/>
        <v>0</v>
      </c>
      <c r="I75" s="46">
        <f t="shared" si="19"/>
        <v>211990</v>
      </c>
      <c r="J75" s="123"/>
      <c r="K75" s="123"/>
      <c r="L75" s="123"/>
      <c r="M75" s="123"/>
      <c r="N75" s="123"/>
      <c r="O75" s="123"/>
      <c r="P75" s="123"/>
      <c r="Q75" s="123"/>
      <c r="R75" s="123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ht="15.75" customHeight="1">
      <c r="A76" s="18"/>
      <c r="B76" s="19"/>
      <c r="C76" s="20"/>
      <c r="D76" s="20"/>
      <c r="E76" s="21"/>
      <c r="F76" s="22"/>
      <c r="G76" s="22"/>
      <c r="H76" s="22"/>
      <c r="I76" s="23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ht="15.75" customHeight="1">
      <c r="A77" s="33"/>
      <c r="B77" s="34"/>
      <c r="C77" s="23"/>
      <c r="D77" s="23"/>
      <c r="E77" s="122"/>
      <c r="F77" s="23"/>
      <c r="G77" s="23"/>
      <c r="H77" s="23"/>
      <c r="I77" s="23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ht="15.75" customHeight="1">
      <c r="A78" s="33">
        <v>1640.0</v>
      </c>
      <c r="B78" s="34" t="s">
        <v>158</v>
      </c>
      <c r="C78" s="23"/>
      <c r="D78" s="23"/>
      <c r="E78" s="122"/>
      <c r="F78" s="23"/>
      <c r="G78" s="23"/>
      <c r="H78" s="23"/>
      <c r="I78" s="23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ht="15.75" customHeight="1">
      <c r="A79" s="27">
        <v>609.0</v>
      </c>
      <c r="B79" s="28" t="s">
        <v>49</v>
      </c>
      <c r="C79" s="12"/>
      <c r="D79" s="22"/>
      <c r="E79" s="23"/>
      <c r="F79" s="22"/>
      <c r="G79" s="22"/>
      <c r="H79" s="23"/>
      <c r="I79" s="23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ht="15.75" customHeight="1">
      <c r="A80" s="88" t="s">
        <v>262</v>
      </c>
      <c r="B80" s="19" t="s">
        <v>163</v>
      </c>
      <c r="C80" s="20">
        <v>170000.0</v>
      </c>
      <c r="D80" s="20">
        <v>170000.0</v>
      </c>
      <c r="E80" s="22"/>
      <c r="F80" s="22"/>
      <c r="G80" s="22"/>
      <c r="H80" s="23"/>
      <c r="I80" s="29">
        <f>SUM(D80:H80)</f>
        <v>170000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ht="15.75" customHeight="1">
      <c r="A81" s="33">
        <v>622.0</v>
      </c>
      <c r="B81" s="35" t="s">
        <v>100</v>
      </c>
      <c r="C81" s="12"/>
      <c r="D81" s="22"/>
      <c r="E81" s="23"/>
      <c r="F81" s="22"/>
      <c r="G81" s="22"/>
      <c r="H81" s="23"/>
      <c r="I81" s="23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ht="15.75" customHeight="1">
      <c r="A82" s="88" t="s">
        <v>265</v>
      </c>
      <c r="B82" s="19" t="s">
        <v>166</v>
      </c>
      <c r="C82" s="20">
        <v>12000.0</v>
      </c>
      <c r="D82" s="20">
        <v>12000.0</v>
      </c>
      <c r="E82" s="22"/>
      <c r="F82" s="22"/>
      <c r="G82" s="22"/>
      <c r="H82" s="23"/>
      <c r="I82" s="29">
        <f>SUM(D82:H82)</f>
        <v>12000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ht="15.75" customHeight="1">
      <c r="A83" s="30"/>
      <c r="B83" s="33">
        <v>1640.0</v>
      </c>
      <c r="C83" s="31">
        <f t="shared" ref="C83:I83" si="20">SUM(C80:C82)</f>
        <v>182000</v>
      </c>
      <c r="D83" s="31">
        <f t="shared" si="20"/>
        <v>182000</v>
      </c>
      <c r="E83" s="31">
        <f t="shared" si="20"/>
        <v>0</v>
      </c>
      <c r="F83" s="31">
        <f t="shared" si="20"/>
        <v>0</v>
      </c>
      <c r="G83" s="31">
        <f t="shared" si="20"/>
        <v>0</v>
      </c>
      <c r="H83" s="31">
        <f t="shared" si="20"/>
        <v>0</v>
      </c>
      <c r="I83" s="31">
        <f t="shared" si="20"/>
        <v>182000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ht="15.75" customHeight="1">
      <c r="A84" s="126"/>
      <c r="B84" s="127"/>
      <c r="C84" s="133"/>
      <c r="D84" s="133"/>
      <c r="E84" s="103"/>
      <c r="F84" s="134"/>
      <c r="G84" s="134"/>
      <c r="H84" s="134"/>
      <c r="I84" s="103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ht="15.75" customHeight="1">
      <c r="A85" s="24" t="s">
        <v>170</v>
      </c>
      <c r="B85" s="25" t="s">
        <v>271</v>
      </c>
      <c r="C85" s="26"/>
      <c r="D85" s="26"/>
      <c r="E85" s="26"/>
      <c r="F85" s="26"/>
      <c r="G85" s="26"/>
      <c r="H85" s="26"/>
      <c r="I85" s="23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ht="15.75" customHeight="1">
      <c r="A86" s="27">
        <v>609.0</v>
      </c>
      <c r="B86" s="28" t="s">
        <v>49</v>
      </c>
      <c r="C86" s="26"/>
      <c r="D86" s="26"/>
      <c r="E86" s="26"/>
      <c r="F86" s="26"/>
      <c r="G86" s="26"/>
      <c r="H86" s="26"/>
      <c r="I86" s="23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ht="15.75" customHeight="1">
      <c r="A87" s="37"/>
      <c r="B87" s="19" t="s">
        <v>274</v>
      </c>
      <c r="C87" s="20">
        <v>30000.0</v>
      </c>
      <c r="D87" s="20"/>
      <c r="E87" s="20">
        <v>30000.0</v>
      </c>
      <c r="F87" s="22"/>
      <c r="G87" s="22"/>
      <c r="H87" s="23"/>
      <c r="I87" s="29">
        <f>SUM(D87:H87)</f>
        <v>30000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ht="15.75" customHeight="1">
      <c r="A88" s="30"/>
      <c r="B88" s="24" t="s">
        <v>170</v>
      </c>
      <c r="C88" s="31">
        <f t="shared" ref="C88:I88" si="21">SUM(C87)</f>
        <v>30000</v>
      </c>
      <c r="D88" s="31">
        <f t="shared" si="21"/>
        <v>0</v>
      </c>
      <c r="E88" s="31">
        <f t="shared" si="21"/>
        <v>30000</v>
      </c>
      <c r="F88" s="31">
        <f t="shared" si="21"/>
        <v>0</v>
      </c>
      <c r="G88" s="31">
        <f t="shared" si="21"/>
        <v>0</v>
      </c>
      <c r="H88" s="31">
        <f t="shared" si="21"/>
        <v>0</v>
      </c>
      <c r="I88" s="31">
        <f t="shared" si="21"/>
        <v>30000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ht="15.75" customHeight="1">
      <c r="A89" s="126"/>
      <c r="B89" s="127"/>
      <c r="C89" s="133"/>
      <c r="D89" s="133"/>
      <c r="E89" s="103"/>
      <c r="F89" s="134"/>
      <c r="G89" s="134"/>
      <c r="H89" s="134"/>
      <c r="I89" s="103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ht="15.75" customHeight="1">
      <c r="A90" s="126" t="s">
        <v>201</v>
      </c>
      <c r="B90" s="127" t="s">
        <v>202</v>
      </c>
      <c r="C90" s="133"/>
      <c r="D90" s="133"/>
      <c r="E90" s="103"/>
      <c r="F90" s="134"/>
      <c r="G90" s="134"/>
      <c r="H90" s="134"/>
      <c r="I90" s="103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ht="15.75" customHeight="1">
      <c r="A91" s="126" t="s">
        <v>25</v>
      </c>
      <c r="B91" s="127" t="s">
        <v>26</v>
      </c>
      <c r="C91" s="21"/>
      <c r="D91" s="21"/>
      <c r="E91" s="21"/>
      <c r="F91" s="21"/>
      <c r="G91" s="21"/>
      <c r="H91" s="21"/>
      <c r="I91" s="21"/>
      <c r="J91" s="21">
        <f>SUM(I92:I96)</f>
        <v>620000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ht="15.75" customHeight="1">
      <c r="A92" s="59" t="s">
        <v>280</v>
      </c>
      <c r="B92" s="135" t="s">
        <v>205</v>
      </c>
      <c r="C92" s="166">
        <v>200000.0</v>
      </c>
      <c r="D92" s="166">
        <v>200000.0</v>
      </c>
      <c r="E92" s="21"/>
      <c r="F92" s="22"/>
      <c r="G92" s="22"/>
      <c r="H92" s="22"/>
      <c r="I92" s="29">
        <f t="shared" ref="I92:I96" si="22">SUM(D92:H92)</f>
        <v>200000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ht="15.75" customHeight="1">
      <c r="A93" s="59" t="s">
        <v>282</v>
      </c>
      <c r="B93" s="131" t="s">
        <v>107</v>
      </c>
      <c r="C93" s="166">
        <v>10000.0</v>
      </c>
      <c r="D93" s="166">
        <v>10000.0</v>
      </c>
      <c r="E93" s="21"/>
      <c r="F93" s="22"/>
      <c r="G93" s="22"/>
      <c r="H93" s="22"/>
      <c r="I93" s="29">
        <f t="shared" si="22"/>
        <v>10000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ht="15.75" customHeight="1">
      <c r="A94" s="59"/>
      <c r="B94" s="36" t="s">
        <v>112</v>
      </c>
      <c r="C94" s="38">
        <v>35000.0</v>
      </c>
      <c r="D94" s="38">
        <v>35000.0</v>
      </c>
      <c r="E94" s="21"/>
      <c r="F94" s="22"/>
      <c r="G94" s="22"/>
      <c r="H94" s="22"/>
      <c r="I94" s="29">
        <f t="shared" si="22"/>
        <v>35000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ht="15.75" customHeight="1">
      <c r="A95" s="59"/>
      <c r="B95" s="36" t="s">
        <v>114</v>
      </c>
      <c r="C95" s="38">
        <v>60000.0</v>
      </c>
      <c r="D95" s="38">
        <v>60000.0</v>
      </c>
      <c r="E95" s="21"/>
      <c r="F95" s="22"/>
      <c r="G95" s="22"/>
      <c r="H95" s="22"/>
      <c r="I95" s="29">
        <f t="shared" si="22"/>
        <v>60000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ht="15.75" customHeight="1">
      <c r="A96" s="59" t="s">
        <v>286</v>
      </c>
      <c r="B96" s="19" t="s">
        <v>287</v>
      </c>
      <c r="C96" s="20">
        <v>315000.0</v>
      </c>
      <c r="D96" s="20">
        <v>47000.0</v>
      </c>
      <c r="E96" s="21"/>
      <c r="F96" s="22"/>
      <c r="G96" s="22"/>
      <c r="H96" s="20">
        <v>268000.0</v>
      </c>
      <c r="I96" s="29">
        <f t="shared" si="22"/>
        <v>315000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ht="15.75" customHeight="1">
      <c r="A97" s="40"/>
      <c r="B97" s="45">
        <v>1710.0</v>
      </c>
      <c r="C97" s="46">
        <f t="shared" ref="C97:I97" si="23">SUM(C92:C96)</f>
        <v>620000</v>
      </c>
      <c r="D97" s="46">
        <f t="shared" si="23"/>
        <v>352000</v>
      </c>
      <c r="E97" s="46">
        <f t="shared" si="23"/>
        <v>0</v>
      </c>
      <c r="F97" s="46">
        <f t="shared" si="23"/>
        <v>0</v>
      </c>
      <c r="G97" s="46">
        <f t="shared" si="23"/>
        <v>0</v>
      </c>
      <c r="H97" s="46">
        <f t="shared" si="23"/>
        <v>268000</v>
      </c>
      <c r="I97" s="46">
        <f t="shared" si="23"/>
        <v>620000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ht="15.75" customHeight="1">
      <c r="A98" s="18"/>
      <c r="B98" s="19"/>
      <c r="C98" s="20"/>
      <c r="D98" s="20"/>
      <c r="E98" s="21"/>
      <c r="F98" s="22"/>
      <c r="G98" s="22"/>
      <c r="H98" s="22"/>
      <c r="I98" s="23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ht="15.75" customHeight="1">
      <c r="A99" s="24" t="s">
        <v>224</v>
      </c>
      <c r="B99" s="25" t="s">
        <v>225</v>
      </c>
      <c r="C99" s="26"/>
      <c r="D99" s="26"/>
      <c r="E99" s="26"/>
      <c r="F99" s="26"/>
      <c r="G99" s="26"/>
      <c r="H99" s="26"/>
      <c r="I99" s="23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ht="15.75" customHeight="1">
      <c r="A100" s="27">
        <v>632.0</v>
      </c>
      <c r="B100" s="28" t="s">
        <v>100</v>
      </c>
      <c r="C100" s="26"/>
      <c r="D100" s="26"/>
      <c r="E100" s="26"/>
      <c r="F100" s="26"/>
      <c r="G100" s="26"/>
      <c r="H100" s="26"/>
      <c r="I100" s="23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ht="15.75" customHeight="1">
      <c r="A101" s="37" t="s">
        <v>297</v>
      </c>
      <c r="B101" s="19" t="s">
        <v>229</v>
      </c>
      <c r="C101" s="20">
        <v>18000.0</v>
      </c>
      <c r="D101" s="20">
        <v>18000.0</v>
      </c>
      <c r="E101" s="22"/>
      <c r="F101" s="22"/>
      <c r="G101" s="22"/>
      <c r="H101" s="23"/>
      <c r="I101" s="29">
        <f>SUM(D101:H101)</f>
        <v>18000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ht="15.75" customHeight="1">
      <c r="A102" s="30"/>
      <c r="B102" s="24" t="s">
        <v>224</v>
      </c>
      <c r="C102" s="31">
        <f t="shared" ref="C102:I102" si="24">SUM(C101)</f>
        <v>18000</v>
      </c>
      <c r="D102" s="31">
        <f t="shared" si="24"/>
        <v>18000</v>
      </c>
      <c r="E102" s="31">
        <f t="shared" si="24"/>
        <v>0</v>
      </c>
      <c r="F102" s="31">
        <f t="shared" si="24"/>
        <v>0</v>
      </c>
      <c r="G102" s="31">
        <f t="shared" si="24"/>
        <v>0</v>
      </c>
      <c r="H102" s="31">
        <f t="shared" si="24"/>
        <v>0</v>
      </c>
      <c r="I102" s="31">
        <f t="shared" si="24"/>
        <v>18000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ht="15.75" customHeight="1">
      <c r="A103" s="40"/>
      <c r="B103" s="41"/>
      <c r="C103" s="42"/>
      <c r="D103" s="20"/>
      <c r="E103" s="21"/>
      <c r="F103" s="22"/>
      <c r="G103" s="22"/>
      <c r="H103" s="22"/>
      <c r="I103" s="23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ht="15.75" customHeight="1">
      <c r="A104" s="24" t="s">
        <v>304</v>
      </c>
      <c r="B104" s="25" t="s">
        <v>305</v>
      </c>
      <c r="C104" s="26"/>
      <c r="D104" s="26"/>
      <c r="E104" s="26"/>
      <c r="F104" s="26"/>
      <c r="G104" s="26"/>
      <c r="H104" s="26"/>
      <c r="I104" s="23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ht="15.75" customHeight="1">
      <c r="A105" s="27">
        <v>609.0</v>
      </c>
      <c r="B105" s="28" t="s">
        <v>49</v>
      </c>
      <c r="C105" s="26"/>
      <c r="D105" s="26"/>
      <c r="E105" s="26"/>
      <c r="F105" s="26"/>
      <c r="G105" s="26"/>
      <c r="H105" s="26"/>
      <c r="I105" s="23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ht="15.75" customHeight="1">
      <c r="A106" s="37" t="s">
        <v>309</v>
      </c>
      <c r="B106" s="19" t="s">
        <v>152</v>
      </c>
      <c r="C106" s="20">
        <v>150000.0</v>
      </c>
      <c r="D106" s="20">
        <v>150000.0</v>
      </c>
      <c r="E106" s="22"/>
      <c r="F106" s="22"/>
      <c r="G106" s="22"/>
      <c r="H106" s="23"/>
      <c r="I106" s="29">
        <f>SUM(D106:H106)</f>
        <v>150000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ht="15.75" customHeight="1">
      <c r="A107" s="30"/>
      <c r="B107" s="24" t="s">
        <v>304</v>
      </c>
      <c r="C107" s="31">
        <f t="shared" ref="C107:I107" si="25">SUM(C106)</f>
        <v>150000</v>
      </c>
      <c r="D107" s="31">
        <f t="shared" si="25"/>
        <v>150000</v>
      </c>
      <c r="E107" s="31">
        <f t="shared" si="25"/>
        <v>0</v>
      </c>
      <c r="F107" s="31">
        <f t="shared" si="25"/>
        <v>0</v>
      </c>
      <c r="G107" s="31">
        <f t="shared" si="25"/>
        <v>0</v>
      </c>
      <c r="H107" s="31">
        <f t="shared" si="25"/>
        <v>0</v>
      </c>
      <c r="I107" s="31">
        <f t="shared" si="25"/>
        <v>150000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ht="15.75" customHeight="1">
      <c r="A108" s="24"/>
      <c r="B108" s="25"/>
      <c r="C108" s="26"/>
      <c r="D108" s="26"/>
      <c r="E108" s="26"/>
      <c r="F108" s="26"/>
      <c r="G108" s="26"/>
      <c r="H108" s="26"/>
      <c r="I108" s="23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ht="15.75" customHeight="1">
      <c r="A109" s="24" t="s">
        <v>234</v>
      </c>
      <c r="B109" s="25" t="s">
        <v>235</v>
      </c>
      <c r="C109" s="26"/>
      <c r="D109" s="26"/>
      <c r="E109" s="26"/>
      <c r="F109" s="26"/>
      <c r="G109" s="26"/>
      <c r="H109" s="26"/>
      <c r="I109" s="23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ht="15.75" customHeight="1">
      <c r="A110" s="27">
        <v>629.0</v>
      </c>
      <c r="B110" s="28" t="s">
        <v>312</v>
      </c>
      <c r="C110" s="26"/>
      <c r="D110" s="26"/>
      <c r="E110" s="26"/>
      <c r="F110" s="26"/>
      <c r="G110" s="26"/>
      <c r="H110" s="26"/>
      <c r="I110" s="23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ht="15.75" customHeight="1">
      <c r="A111" s="37" t="s">
        <v>313</v>
      </c>
      <c r="B111" s="36" t="s">
        <v>239</v>
      </c>
      <c r="C111" s="153">
        <v>6000.0</v>
      </c>
      <c r="D111" s="20">
        <v>6000.0</v>
      </c>
      <c r="E111" s="117"/>
      <c r="F111" s="22"/>
      <c r="G111" s="22"/>
      <c r="H111" s="23"/>
      <c r="I111" s="29">
        <f>SUM(D111:H111)</f>
        <v>6000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ht="15.75" customHeight="1">
      <c r="A112" s="30"/>
      <c r="B112" s="27">
        <v>3261.0</v>
      </c>
      <c r="C112" s="31">
        <f t="shared" ref="C112:I112" si="26">SUM(C111)</f>
        <v>6000</v>
      </c>
      <c r="D112" s="31">
        <f t="shared" si="26"/>
        <v>6000</v>
      </c>
      <c r="E112" s="31">
        <f t="shared" si="26"/>
        <v>0</v>
      </c>
      <c r="F112" s="31">
        <f t="shared" si="26"/>
        <v>0</v>
      </c>
      <c r="G112" s="31">
        <f t="shared" si="26"/>
        <v>0</v>
      </c>
      <c r="H112" s="31">
        <f t="shared" si="26"/>
        <v>0</v>
      </c>
      <c r="I112" s="31">
        <f t="shared" si="26"/>
        <v>6000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ht="15.75" customHeight="1">
      <c r="A113" s="40"/>
      <c r="B113" s="41"/>
      <c r="C113" s="42"/>
      <c r="D113" s="20"/>
      <c r="E113" s="21"/>
      <c r="F113" s="22"/>
      <c r="G113" s="22"/>
      <c r="H113" s="22"/>
      <c r="I113" s="23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ht="15.75" customHeight="1">
      <c r="A114" s="24" t="s">
        <v>240</v>
      </c>
      <c r="B114" s="25" t="s">
        <v>241</v>
      </c>
      <c r="C114" s="26"/>
      <c r="D114" s="26"/>
      <c r="E114" s="26"/>
      <c r="F114" s="26"/>
      <c r="G114" s="26"/>
      <c r="H114" s="26"/>
      <c r="I114" s="23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ht="15.75" customHeight="1">
      <c r="A115" s="27">
        <v>629.0</v>
      </c>
      <c r="B115" s="28" t="s">
        <v>312</v>
      </c>
      <c r="C115" s="26"/>
      <c r="D115" s="26"/>
      <c r="E115" s="26"/>
      <c r="F115" s="26"/>
      <c r="G115" s="26"/>
      <c r="H115" s="26"/>
      <c r="I115" s="23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ht="15.75" customHeight="1">
      <c r="A116" s="37" t="s">
        <v>313</v>
      </c>
      <c r="B116" s="36" t="s">
        <v>242</v>
      </c>
      <c r="C116" s="38">
        <v>5000.0</v>
      </c>
      <c r="D116" s="20">
        <v>5000.0</v>
      </c>
      <c r="E116" s="117"/>
      <c r="F116" s="22"/>
      <c r="G116" s="22"/>
      <c r="H116" s="23"/>
      <c r="I116" s="29">
        <f t="shared" ref="I116:I117" si="27">SUM(D116:H116)</f>
        <v>5000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ht="15.75" customHeight="1">
      <c r="A117" s="39"/>
      <c r="B117" s="36" t="s">
        <v>239</v>
      </c>
      <c r="C117" s="153">
        <v>6000.0</v>
      </c>
      <c r="D117" s="153">
        <v>6000.0</v>
      </c>
      <c r="E117" s="20"/>
      <c r="F117" s="22"/>
      <c r="G117" s="22"/>
      <c r="H117" s="23"/>
      <c r="I117" s="29">
        <f t="shared" si="27"/>
        <v>6000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ht="15.75" customHeight="1">
      <c r="A118" s="30"/>
      <c r="B118" s="27">
        <v>3262.0</v>
      </c>
      <c r="C118" s="31">
        <f t="shared" ref="C118:E118" si="28">SUM(C116:C117)</f>
        <v>11000</v>
      </c>
      <c r="D118" s="31">
        <f t="shared" si="28"/>
        <v>11000</v>
      </c>
      <c r="E118" s="31">
        <f t="shared" si="28"/>
        <v>0</v>
      </c>
      <c r="F118" s="31">
        <f t="shared" ref="F118:H118" si="29">SUM(F116)</f>
        <v>0</v>
      </c>
      <c r="G118" s="31">
        <f t="shared" si="29"/>
        <v>0</v>
      </c>
      <c r="H118" s="31">
        <f t="shared" si="29"/>
        <v>0</v>
      </c>
      <c r="I118" s="31">
        <f>SUM(I116:I117)</f>
        <v>11000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ht="15.75" customHeight="1">
      <c r="A119" s="40"/>
      <c r="B119" s="41"/>
      <c r="C119" s="42"/>
      <c r="D119" s="20"/>
      <c r="E119" s="21"/>
      <c r="F119" s="22"/>
      <c r="G119" s="22"/>
      <c r="H119" s="22"/>
      <c r="I119" s="23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ht="15.75" customHeight="1">
      <c r="A120" s="24" t="s">
        <v>245</v>
      </c>
      <c r="B120" s="25" t="s">
        <v>246</v>
      </c>
      <c r="C120" s="26"/>
      <c r="D120" s="26"/>
      <c r="E120" s="26"/>
      <c r="F120" s="26"/>
      <c r="G120" s="26"/>
      <c r="H120" s="26"/>
      <c r="I120" s="23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ht="15.75" customHeight="1">
      <c r="A121" s="49">
        <v>626.0</v>
      </c>
      <c r="B121" s="127" t="s">
        <v>248</v>
      </c>
      <c r="C121" s="26"/>
      <c r="D121" s="26"/>
      <c r="E121" s="26"/>
      <c r="F121" s="26"/>
      <c r="G121" s="26"/>
      <c r="H121" s="26"/>
      <c r="I121" s="23"/>
      <c r="J121" s="21">
        <f>SUM(I122:I123)</f>
        <v>9700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ht="15.75" customHeight="1">
      <c r="A122" s="37" t="s">
        <v>324</v>
      </c>
      <c r="B122" s="173" t="s">
        <v>173</v>
      </c>
      <c r="C122" s="23">
        <v>8500.0</v>
      </c>
      <c r="D122" s="23">
        <v>8500.0</v>
      </c>
      <c r="E122" s="117"/>
      <c r="F122" s="22"/>
      <c r="G122" s="22"/>
      <c r="H122" s="23"/>
      <c r="I122" s="29">
        <f t="shared" ref="I122:I123" si="30">SUM(D122:H122)</f>
        <v>8500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ht="15.75" customHeight="1">
      <c r="A123" s="39"/>
      <c r="B123" s="173" t="s">
        <v>175</v>
      </c>
      <c r="C123" s="23">
        <v>1200.0</v>
      </c>
      <c r="D123" s="20">
        <v>1200.0</v>
      </c>
      <c r="E123" s="117"/>
      <c r="F123" s="22"/>
      <c r="G123" s="22"/>
      <c r="H123" s="23"/>
      <c r="I123" s="29">
        <f t="shared" si="30"/>
        <v>1200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ht="15.75" customHeight="1">
      <c r="A124" s="27">
        <v>635.0</v>
      </c>
      <c r="B124" s="28" t="s">
        <v>222</v>
      </c>
      <c r="C124" s="21"/>
      <c r="D124" s="21"/>
      <c r="E124" s="22"/>
      <c r="F124" s="22"/>
      <c r="G124" s="22"/>
      <c r="H124" s="23"/>
      <c r="I124" s="29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ht="15.75" customHeight="1">
      <c r="A125" s="37" t="s">
        <v>328</v>
      </c>
      <c r="B125" s="173" t="s">
        <v>174</v>
      </c>
      <c r="C125" s="23">
        <v>14000.0</v>
      </c>
      <c r="D125" s="153">
        <v>14000.0</v>
      </c>
      <c r="E125" s="20"/>
      <c r="F125" s="22"/>
      <c r="G125" s="22"/>
      <c r="H125" s="23"/>
      <c r="I125" s="29">
        <f>SUM(D125:H125)</f>
        <v>14000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ht="15.75" customHeight="1">
      <c r="A126" s="30"/>
      <c r="B126" s="24" t="s">
        <v>245</v>
      </c>
      <c r="C126" s="31">
        <f t="shared" ref="C126:I126" si="31">SUM(C122:C125)</f>
        <v>23700</v>
      </c>
      <c r="D126" s="31">
        <f t="shared" si="31"/>
        <v>23700</v>
      </c>
      <c r="E126" s="31">
        <f t="shared" si="31"/>
        <v>0</v>
      </c>
      <c r="F126" s="31">
        <f t="shared" si="31"/>
        <v>0</v>
      </c>
      <c r="G126" s="31">
        <f t="shared" si="31"/>
        <v>0</v>
      </c>
      <c r="H126" s="31">
        <f t="shared" si="31"/>
        <v>0</v>
      </c>
      <c r="I126" s="31">
        <f t="shared" si="31"/>
        <v>23700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ht="15.75" customHeight="1">
      <c r="A127" s="39"/>
      <c r="B127" s="6"/>
      <c r="C127" s="21"/>
      <c r="D127" s="21"/>
      <c r="E127" s="21"/>
      <c r="F127" s="22"/>
      <c r="G127" s="22"/>
      <c r="H127" s="22"/>
      <c r="I127" s="23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ht="15.75" customHeight="1">
      <c r="A128" s="24" t="s">
        <v>251</v>
      </c>
      <c r="B128" s="25" t="s">
        <v>252</v>
      </c>
      <c r="C128" s="26"/>
      <c r="D128" s="26"/>
      <c r="E128" s="26"/>
      <c r="F128" s="26"/>
      <c r="G128" s="26"/>
      <c r="H128" s="26"/>
      <c r="I128" s="23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ht="15.75" customHeight="1">
      <c r="A129" s="27">
        <v>650.0</v>
      </c>
      <c r="B129" s="28" t="s">
        <v>128</v>
      </c>
      <c r="C129" s="26"/>
      <c r="D129" s="26"/>
      <c r="E129" s="26"/>
      <c r="F129" s="26"/>
      <c r="G129" s="26"/>
      <c r="H129" s="26"/>
      <c r="I129" s="23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ht="15.75" customHeight="1">
      <c r="A130" s="37" t="s">
        <v>334</v>
      </c>
      <c r="B130" s="19" t="s">
        <v>253</v>
      </c>
      <c r="C130" s="20">
        <v>40000.0</v>
      </c>
      <c r="D130" s="20">
        <v>40000.0</v>
      </c>
      <c r="E130" s="22"/>
      <c r="F130" s="22"/>
      <c r="G130" s="22"/>
      <c r="H130" s="23"/>
      <c r="I130" s="29">
        <f>SUM(D130:H130)</f>
        <v>40000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ht="15.75" customHeight="1">
      <c r="A131" s="30"/>
      <c r="B131" s="27">
        <v>3330.0</v>
      </c>
      <c r="C131" s="31">
        <f t="shared" ref="C131:I131" si="32">SUM(C130)</f>
        <v>40000</v>
      </c>
      <c r="D131" s="31">
        <f t="shared" si="32"/>
        <v>40000</v>
      </c>
      <c r="E131" s="31">
        <f t="shared" si="32"/>
        <v>0</v>
      </c>
      <c r="F131" s="31">
        <f t="shared" si="32"/>
        <v>0</v>
      </c>
      <c r="G131" s="31">
        <f t="shared" si="32"/>
        <v>0</v>
      </c>
      <c r="H131" s="31">
        <f t="shared" si="32"/>
        <v>0</v>
      </c>
      <c r="I131" s="31">
        <f t="shared" si="32"/>
        <v>40000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ht="15.75" customHeight="1">
      <c r="A132" s="18"/>
      <c r="B132" s="19"/>
      <c r="C132" s="20"/>
      <c r="D132" s="20"/>
      <c r="E132" s="21"/>
      <c r="F132" s="22"/>
      <c r="G132" s="22"/>
      <c r="H132" s="22"/>
      <c r="I132" s="23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ht="15.75" customHeight="1">
      <c r="A133" s="24" t="s">
        <v>254</v>
      </c>
      <c r="B133" s="25" t="s">
        <v>255</v>
      </c>
      <c r="C133" s="26"/>
      <c r="D133" s="26"/>
      <c r="E133" s="26"/>
      <c r="F133" s="26"/>
      <c r="G133" s="26"/>
      <c r="H133" s="26"/>
      <c r="I133" s="23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ht="15.75" customHeight="1">
      <c r="A134" s="27">
        <v>623.0</v>
      </c>
      <c r="B134" s="28" t="s">
        <v>123</v>
      </c>
      <c r="C134" s="26"/>
      <c r="D134" s="26"/>
      <c r="E134" s="26"/>
      <c r="F134" s="26"/>
      <c r="G134" s="26"/>
      <c r="H134" s="26"/>
      <c r="I134" s="29"/>
      <c r="J134" s="21">
        <f>SUM(I135:I138)</f>
        <v>12500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ht="15.75" customHeight="1">
      <c r="A135" s="37" t="s">
        <v>336</v>
      </c>
      <c r="B135" s="19" t="s">
        <v>256</v>
      </c>
      <c r="C135" s="20">
        <v>6000.0</v>
      </c>
      <c r="D135" s="20">
        <v>6000.0</v>
      </c>
      <c r="E135" s="117"/>
      <c r="F135" s="22"/>
      <c r="G135" s="22"/>
      <c r="H135" s="23"/>
      <c r="I135" s="29">
        <f t="shared" ref="I135:I138" si="33">SUM(D135:H135)</f>
        <v>6000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ht="15.75" customHeight="1">
      <c r="A136" s="39"/>
      <c r="B136" s="19" t="s">
        <v>257</v>
      </c>
      <c r="C136" s="20">
        <v>2000.0</v>
      </c>
      <c r="D136" s="20">
        <v>2000.0</v>
      </c>
      <c r="E136" s="20"/>
      <c r="F136" s="22"/>
      <c r="G136" s="22"/>
      <c r="H136" s="23"/>
      <c r="I136" s="29">
        <f t="shared" si="33"/>
        <v>2000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ht="15.75" customHeight="1">
      <c r="A137" s="39"/>
      <c r="B137" s="19" t="s">
        <v>258</v>
      </c>
      <c r="C137" s="20">
        <v>1500.0</v>
      </c>
      <c r="D137" s="20">
        <v>1500.0</v>
      </c>
      <c r="E137" s="117"/>
      <c r="F137" s="22"/>
      <c r="G137" s="22"/>
      <c r="H137" s="23"/>
      <c r="I137" s="29">
        <f t="shared" si="33"/>
        <v>1500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ht="15.75" customHeight="1">
      <c r="A138" s="39"/>
      <c r="B138" s="19" t="s">
        <v>260</v>
      </c>
      <c r="C138" s="20">
        <v>3000.0</v>
      </c>
      <c r="D138" s="20">
        <v>3000.0</v>
      </c>
      <c r="E138" s="20"/>
      <c r="F138" s="22"/>
      <c r="G138" s="22"/>
      <c r="H138" s="23"/>
      <c r="I138" s="29">
        <f t="shared" si="33"/>
        <v>3000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ht="15.75" customHeight="1">
      <c r="A139" s="126" t="s">
        <v>99</v>
      </c>
      <c r="B139" s="130" t="s">
        <v>100</v>
      </c>
      <c r="C139" s="20"/>
      <c r="D139" s="20"/>
      <c r="E139" s="22"/>
      <c r="F139" s="22"/>
      <c r="G139" s="22"/>
      <c r="H139" s="23"/>
      <c r="I139" s="29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ht="15.75" customHeight="1">
      <c r="A140" s="59" t="s">
        <v>338</v>
      </c>
      <c r="B140" s="176" t="s">
        <v>261</v>
      </c>
      <c r="C140" s="177">
        <v>650000.0</v>
      </c>
      <c r="D140" s="20">
        <f>C140</f>
        <v>650000</v>
      </c>
      <c r="E140" s="22"/>
      <c r="F140" s="22"/>
      <c r="G140" s="22"/>
      <c r="H140" s="23"/>
      <c r="I140" s="29">
        <f>SUM(D140:H140)</f>
        <v>650000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ht="15.75" customHeight="1">
      <c r="A141" s="30"/>
      <c r="B141" s="24" t="s">
        <v>254</v>
      </c>
      <c r="C141" s="31">
        <f t="shared" ref="C141:I141" si="34">SUM(C135:C140)</f>
        <v>662500</v>
      </c>
      <c r="D141" s="31">
        <f t="shared" si="34"/>
        <v>662500</v>
      </c>
      <c r="E141" s="31">
        <f t="shared" si="34"/>
        <v>0</v>
      </c>
      <c r="F141" s="31">
        <f t="shared" si="34"/>
        <v>0</v>
      </c>
      <c r="G141" s="31">
        <f t="shared" si="34"/>
        <v>0</v>
      </c>
      <c r="H141" s="31">
        <f t="shared" si="34"/>
        <v>0</v>
      </c>
      <c r="I141" s="31">
        <f t="shared" si="34"/>
        <v>662500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ht="15.75" customHeight="1">
      <c r="A142" s="40"/>
      <c r="B142" s="41"/>
      <c r="C142" s="42"/>
      <c r="D142" s="20"/>
      <c r="E142" s="21"/>
      <c r="F142" s="22"/>
      <c r="G142" s="22"/>
      <c r="H142" s="22"/>
      <c r="I142" s="23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ht="15.75" customHeight="1">
      <c r="A143" s="24" t="s">
        <v>263</v>
      </c>
      <c r="B143" s="25" t="s">
        <v>264</v>
      </c>
      <c r="C143" s="26"/>
      <c r="D143" s="26"/>
      <c r="E143" s="26"/>
      <c r="F143" s="26"/>
      <c r="G143" s="26"/>
      <c r="H143" s="26"/>
      <c r="I143" s="23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ht="19.5" customHeight="1">
      <c r="A144" s="27">
        <v>632.0</v>
      </c>
      <c r="B144" s="28" t="s">
        <v>100</v>
      </c>
      <c r="C144" s="32"/>
      <c r="D144" s="32"/>
      <c r="E144" s="178"/>
      <c r="F144" s="178"/>
      <c r="G144" s="32"/>
      <c r="H144" s="178"/>
      <c r="I144" s="178"/>
      <c r="J144" s="99"/>
      <c r="K144" s="99"/>
      <c r="L144" s="99"/>
      <c r="M144" s="9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ht="15.75" customHeight="1">
      <c r="A145" s="37" t="s">
        <v>343</v>
      </c>
      <c r="B145" s="106" t="s">
        <v>270</v>
      </c>
      <c r="C145" s="107">
        <v>144595.0</v>
      </c>
      <c r="D145" s="107">
        <v>43020.0</v>
      </c>
      <c r="E145" s="235"/>
      <c r="F145" s="235"/>
      <c r="G145" s="107">
        <v>101575.0</v>
      </c>
      <c r="H145" s="236"/>
      <c r="I145" s="235">
        <f>SUM(D145:H145)</f>
        <v>144595</v>
      </c>
      <c r="J145" s="6"/>
      <c r="K145" s="237"/>
      <c r="L145" s="20"/>
      <c r="M145" s="20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ht="15.75" customHeight="1">
      <c r="A146" s="30"/>
      <c r="B146" s="24" t="s">
        <v>263</v>
      </c>
      <c r="C146" s="31">
        <f t="shared" ref="C146:I146" si="35">SUM(C145)</f>
        <v>144595</v>
      </c>
      <c r="D146" s="31">
        <f t="shared" si="35"/>
        <v>43020</v>
      </c>
      <c r="E146" s="31">
        <f t="shared" si="35"/>
        <v>0</v>
      </c>
      <c r="F146" s="31">
        <f t="shared" si="35"/>
        <v>0</v>
      </c>
      <c r="G146" s="31">
        <f t="shared" si="35"/>
        <v>101575</v>
      </c>
      <c r="H146" s="31">
        <f t="shared" si="35"/>
        <v>0</v>
      </c>
      <c r="I146" s="31">
        <f t="shared" si="35"/>
        <v>144595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ht="15.75" customHeight="1">
      <c r="A147" s="40"/>
      <c r="B147" s="41"/>
      <c r="C147" s="42"/>
      <c r="D147" s="20"/>
      <c r="E147" s="21"/>
      <c r="F147" s="22"/>
      <c r="G147" s="22"/>
      <c r="H147" s="22"/>
      <c r="I147" s="23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ht="15.75" customHeight="1">
      <c r="A148" s="24" t="s">
        <v>272</v>
      </c>
      <c r="B148" s="25" t="s">
        <v>273</v>
      </c>
      <c r="C148" s="26"/>
      <c r="D148" s="26"/>
      <c r="E148" s="26"/>
      <c r="F148" s="26"/>
      <c r="G148" s="26"/>
      <c r="H148" s="26"/>
      <c r="I148" s="23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ht="15.75" customHeight="1">
      <c r="A149" s="27">
        <v>629.0</v>
      </c>
      <c r="B149" s="28" t="s">
        <v>312</v>
      </c>
      <c r="C149" s="26"/>
      <c r="D149" s="26"/>
      <c r="E149" s="26"/>
      <c r="F149" s="26"/>
      <c r="G149" s="26"/>
      <c r="H149" s="26"/>
      <c r="I149" s="23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ht="15.75" customHeight="1">
      <c r="A150" s="37" t="s">
        <v>313</v>
      </c>
      <c r="B150" s="36" t="s">
        <v>239</v>
      </c>
      <c r="C150" s="153">
        <v>7000.0</v>
      </c>
      <c r="D150" s="153">
        <v>7000.0</v>
      </c>
      <c r="E150" s="20"/>
      <c r="F150" s="22"/>
      <c r="G150" s="22"/>
      <c r="H150" s="23"/>
      <c r="I150" s="29">
        <f>SUM(D150:H150)</f>
        <v>7000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ht="15.75" customHeight="1">
      <c r="A151" s="30"/>
      <c r="B151" s="24" t="s">
        <v>272</v>
      </c>
      <c r="C151" s="31">
        <f t="shared" ref="C151:I151" si="36">SUM(C150)</f>
        <v>7000</v>
      </c>
      <c r="D151" s="31">
        <f t="shared" si="36"/>
        <v>7000</v>
      </c>
      <c r="E151" s="31">
        <f t="shared" si="36"/>
        <v>0</v>
      </c>
      <c r="F151" s="31">
        <f t="shared" si="36"/>
        <v>0</v>
      </c>
      <c r="G151" s="31">
        <f t="shared" si="36"/>
        <v>0</v>
      </c>
      <c r="H151" s="31">
        <f t="shared" si="36"/>
        <v>0</v>
      </c>
      <c r="I151" s="31">
        <f t="shared" si="36"/>
        <v>7000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ht="15.75" customHeight="1">
      <c r="A152" s="40"/>
      <c r="B152" s="41"/>
      <c r="C152" s="42"/>
      <c r="D152" s="20"/>
      <c r="E152" s="21"/>
      <c r="F152" s="22"/>
      <c r="G152" s="22"/>
      <c r="H152" s="22"/>
      <c r="I152" s="23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ht="15.75" customHeight="1">
      <c r="A153" s="43" t="s">
        <v>277</v>
      </c>
      <c r="B153" s="44" t="s">
        <v>278</v>
      </c>
      <c r="C153" s="42"/>
      <c r="D153" s="20"/>
      <c r="E153" s="21"/>
      <c r="F153" s="22"/>
      <c r="G153" s="22"/>
      <c r="H153" s="22"/>
      <c r="I153" s="23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ht="15.75" customHeight="1">
      <c r="A154" s="43" t="s">
        <v>31</v>
      </c>
      <c r="B154" s="44" t="s">
        <v>14</v>
      </c>
      <c r="C154" s="42"/>
      <c r="D154" s="20"/>
      <c r="E154" s="21"/>
      <c r="F154" s="22"/>
      <c r="G154" s="22"/>
      <c r="H154" s="22"/>
      <c r="I154" s="23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ht="15.75" customHeight="1">
      <c r="A155" s="59" t="s">
        <v>351</v>
      </c>
      <c r="B155" s="19" t="s">
        <v>279</v>
      </c>
      <c r="C155" s="20">
        <v>700000.0</v>
      </c>
      <c r="D155" s="20">
        <v>432000.0</v>
      </c>
      <c r="E155" s="21"/>
      <c r="F155" s="22"/>
      <c r="G155" s="22"/>
      <c r="H155" s="20">
        <v>268000.0</v>
      </c>
      <c r="I155" s="29">
        <f>SUM(D155:H155)</f>
        <v>700000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ht="15.75" customHeight="1">
      <c r="A156" s="40"/>
      <c r="B156" s="45">
        <v>3373.0</v>
      </c>
      <c r="C156" s="46">
        <f t="shared" ref="C156:I156" si="37">SUM(C155)</f>
        <v>700000</v>
      </c>
      <c r="D156" s="46">
        <f t="shared" si="37"/>
        <v>432000</v>
      </c>
      <c r="E156" s="46">
        <f t="shared" si="37"/>
        <v>0</v>
      </c>
      <c r="F156" s="46">
        <f t="shared" si="37"/>
        <v>0</v>
      </c>
      <c r="G156" s="46">
        <f t="shared" si="37"/>
        <v>0</v>
      </c>
      <c r="H156" s="46">
        <f t="shared" si="37"/>
        <v>268000</v>
      </c>
      <c r="I156" s="46">
        <f t="shared" si="37"/>
        <v>700000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ht="15.75" customHeight="1">
      <c r="A157" s="18"/>
      <c r="B157" s="182"/>
      <c r="C157" s="22"/>
      <c r="D157" s="22"/>
      <c r="E157" s="22"/>
      <c r="F157" s="22"/>
      <c r="G157" s="22"/>
      <c r="H157" s="22"/>
      <c r="I157" s="23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ht="15.75" customHeight="1">
      <c r="A158" s="24" t="s">
        <v>281</v>
      </c>
      <c r="B158" s="25" t="s">
        <v>355</v>
      </c>
      <c r="C158" s="26"/>
      <c r="D158" s="26"/>
      <c r="E158" s="26"/>
      <c r="F158" s="26"/>
      <c r="G158" s="26"/>
      <c r="H158" s="26"/>
      <c r="I158" s="23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ht="15.75" customHeight="1">
      <c r="A159" s="27">
        <v>623.0</v>
      </c>
      <c r="B159" s="28" t="s">
        <v>123</v>
      </c>
      <c r="C159" s="26"/>
      <c r="D159" s="26"/>
      <c r="E159" s="26"/>
      <c r="F159" s="26"/>
      <c r="G159" s="26"/>
      <c r="H159" s="26"/>
      <c r="I159" s="23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ht="15.75" customHeight="1">
      <c r="A160" s="59" t="s">
        <v>356</v>
      </c>
      <c r="B160" s="19" t="s">
        <v>283</v>
      </c>
      <c r="C160" s="20">
        <v>14000.0</v>
      </c>
      <c r="D160" s="20">
        <v>14000.0</v>
      </c>
      <c r="E160" s="22"/>
      <c r="F160" s="22"/>
      <c r="G160" s="22"/>
      <c r="H160" s="23"/>
      <c r="I160" s="29">
        <f t="shared" ref="I160:I164" si="38">SUM(D160:H160)</f>
        <v>14000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ht="15.75" customHeight="1">
      <c r="A161" s="39"/>
      <c r="B161" s="19" t="s">
        <v>284</v>
      </c>
      <c r="C161" s="20">
        <v>15000.0</v>
      </c>
      <c r="D161" s="20">
        <v>15000.0</v>
      </c>
      <c r="E161" s="22"/>
      <c r="F161" s="22"/>
      <c r="G161" s="22"/>
      <c r="H161" s="23"/>
      <c r="I161" s="29">
        <f t="shared" si="38"/>
        <v>15000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ht="15.75" customHeight="1">
      <c r="A162" s="37" t="s">
        <v>359</v>
      </c>
      <c r="B162" s="19" t="s">
        <v>285</v>
      </c>
      <c r="C162" s="20">
        <v>24000.0</v>
      </c>
      <c r="D162" s="20">
        <v>24000.0</v>
      </c>
      <c r="E162" s="22"/>
      <c r="F162" s="22"/>
      <c r="G162" s="22"/>
      <c r="H162" s="23"/>
      <c r="I162" s="29">
        <f t="shared" si="38"/>
        <v>24000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ht="15.75" customHeight="1">
      <c r="A163" s="39"/>
      <c r="B163" s="19" t="s">
        <v>219</v>
      </c>
      <c r="C163" s="20">
        <v>12000.0</v>
      </c>
      <c r="D163" s="20">
        <v>12000.0</v>
      </c>
      <c r="E163" s="22"/>
      <c r="F163" s="22"/>
      <c r="G163" s="22"/>
      <c r="H163" s="23"/>
      <c r="I163" s="29">
        <f t="shared" si="38"/>
        <v>12000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ht="15.75" customHeight="1">
      <c r="A164" s="37" t="s">
        <v>363</v>
      </c>
      <c r="B164" s="19" t="s">
        <v>215</v>
      </c>
      <c r="C164" s="20">
        <v>9000.0</v>
      </c>
      <c r="D164" s="20">
        <v>9000.0</v>
      </c>
      <c r="E164" s="22"/>
      <c r="F164" s="22"/>
      <c r="G164" s="22"/>
      <c r="H164" s="23"/>
      <c r="I164" s="29">
        <f t="shared" si="38"/>
        <v>9000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ht="15.75" customHeight="1">
      <c r="A165" s="30"/>
      <c r="B165" s="24" t="s">
        <v>281</v>
      </c>
      <c r="C165" s="31">
        <f t="shared" ref="C165:I165" si="39">SUM(C160:C164)</f>
        <v>74000</v>
      </c>
      <c r="D165" s="31">
        <f t="shared" si="39"/>
        <v>74000</v>
      </c>
      <c r="E165" s="31">
        <f t="shared" si="39"/>
        <v>0</v>
      </c>
      <c r="F165" s="31">
        <f t="shared" si="39"/>
        <v>0</v>
      </c>
      <c r="G165" s="31">
        <f t="shared" si="39"/>
        <v>0</v>
      </c>
      <c r="H165" s="31">
        <f t="shared" si="39"/>
        <v>0</v>
      </c>
      <c r="I165" s="31">
        <f t="shared" si="39"/>
        <v>74000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ht="15.75" customHeight="1">
      <c r="A166" s="59"/>
      <c r="B166" s="176"/>
      <c r="C166" s="42"/>
      <c r="D166" s="20"/>
      <c r="E166" s="21"/>
      <c r="F166" s="22"/>
      <c r="G166" s="22"/>
      <c r="H166" s="22"/>
      <c r="I166" s="23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ht="15.75" customHeight="1">
      <c r="A167" s="43" t="s">
        <v>288</v>
      </c>
      <c r="B167" s="44" t="s">
        <v>289</v>
      </c>
      <c r="C167" s="42"/>
      <c r="D167" s="20"/>
      <c r="E167" s="21"/>
      <c r="F167" s="22"/>
      <c r="G167" s="22"/>
      <c r="H167" s="22"/>
      <c r="I167" s="23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ht="15.75" customHeight="1">
      <c r="A168" s="43" t="s">
        <v>99</v>
      </c>
      <c r="B168" s="44" t="s">
        <v>100</v>
      </c>
      <c r="C168" s="42"/>
      <c r="D168" s="20"/>
      <c r="E168" s="21"/>
      <c r="F168" s="22"/>
      <c r="G168" s="22"/>
      <c r="H168" s="22"/>
      <c r="I168" s="23"/>
      <c r="J168" s="6"/>
      <c r="K168" s="6"/>
      <c r="L168" s="99"/>
      <c r="M168" s="99"/>
      <c r="N168" s="99"/>
      <c r="O168" s="9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ht="15.75" customHeight="1">
      <c r="A169" s="30" t="s">
        <v>294</v>
      </c>
      <c r="B169" s="73" t="s">
        <v>295</v>
      </c>
      <c r="C169" s="153">
        <v>546193.2</v>
      </c>
      <c r="D169" s="153">
        <v>546193.2</v>
      </c>
      <c r="E169" s="21"/>
      <c r="F169" s="22"/>
      <c r="G169" s="22"/>
      <c r="H169" s="22"/>
      <c r="I169" s="22">
        <f t="shared" ref="I169:I178" si="40">SUM(D169:H169)</f>
        <v>546193.2</v>
      </c>
      <c r="J169" s="6"/>
      <c r="K169" s="6"/>
      <c r="L169" s="75"/>
      <c r="M169" s="99"/>
      <c r="N169" s="9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ht="15.75" customHeight="1">
      <c r="A170" s="59" t="s">
        <v>366</v>
      </c>
      <c r="B170" s="36" t="s">
        <v>296</v>
      </c>
      <c r="C170" s="153">
        <v>270000.0</v>
      </c>
      <c r="D170" s="153">
        <v>270000.0</v>
      </c>
      <c r="E170" s="21"/>
      <c r="F170" s="22"/>
      <c r="G170" s="22"/>
      <c r="H170" s="22"/>
      <c r="I170" s="29">
        <f t="shared" si="40"/>
        <v>270000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ht="15.75" customHeight="1">
      <c r="A171" s="40"/>
      <c r="B171" s="19" t="s">
        <v>298</v>
      </c>
      <c r="C171" s="20">
        <v>1189536.08</v>
      </c>
      <c r="D171" s="20">
        <v>1189536.08</v>
      </c>
      <c r="E171" s="21"/>
      <c r="F171" s="22"/>
      <c r="G171" s="22"/>
      <c r="H171" s="22"/>
      <c r="I171" s="29">
        <f t="shared" si="40"/>
        <v>1189536.08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ht="15.75" customHeight="1">
      <c r="A172" s="40"/>
      <c r="B172" s="19" t="s">
        <v>299</v>
      </c>
      <c r="C172" s="20">
        <v>295043.18</v>
      </c>
      <c r="D172" s="20">
        <v>295043.18</v>
      </c>
      <c r="E172" s="21"/>
      <c r="F172" s="22"/>
      <c r="G172" s="22"/>
      <c r="H172" s="22"/>
      <c r="I172" s="29">
        <f t="shared" si="40"/>
        <v>295043.18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ht="15.75" customHeight="1">
      <c r="A173" s="40"/>
      <c r="B173" s="19" t="s">
        <v>300</v>
      </c>
      <c r="C173" s="20">
        <v>42000.0</v>
      </c>
      <c r="D173" s="20">
        <v>42000.0</v>
      </c>
      <c r="E173" s="21"/>
      <c r="F173" s="22"/>
      <c r="G173" s="22"/>
      <c r="H173" s="22"/>
      <c r="I173" s="29">
        <f t="shared" si="40"/>
        <v>42000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ht="15.75" customHeight="1">
      <c r="A174" s="40"/>
      <c r="B174" s="19" t="s">
        <v>301</v>
      </c>
      <c r="C174" s="20">
        <v>65000.0</v>
      </c>
      <c r="D174" s="20">
        <v>65000.0</v>
      </c>
      <c r="E174" s="21"/>
      <c r="F174" s="22"/>
      <c r="G174" s="22"/>
      <c r="H174" s="22"/>
      <c r="I174" s="29">
        <f t="shared" si="40"/>
        <v>65000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ht="15.75" customHeight="1">
      <c r="A175" s="40"/>
      <c r="B175" s="19" t="s">
        <v>302</v>
      </c>
      <c r="C175" s="20">
        <v>120000.0</v>
      </c>
      <c r="D175" s="20">
        <v>120000.0</v>
      </c>
      <c r="E175" s="21"/>
      <c r="F175" s="22"/>
      <c r="G175" s="22"/>
      <c r="H175" s="22"/>
      <c r="I175" s="29">
        <f t="shared" si="40"/>
        <v>120000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ht="15.75" customHeight="1">
      <c r="A176" s="40"/>
      <c r="B176" s="19" t="s">
        <v>236</v>
      </c>
      <c r="C176" s="20">
        <v>25000.0</v>
      </c>
      <c r="D176" s="20">
        <v>25000.0</v>
      </c>
      <c r="E176" s="21"/>
      <c r="F176" s="22"/>
      <c r="G176" s="22"/>
      <c r="H176" s="22"/>
      <c r="I176" s="29">
        <f t="shared" si="40"/>
        <v>25000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ht="15.75" customHeight="1">
      <c r="A177" s="40"/>
      <c r="B177" s="158" t="s">
        <v>306</v>
      </c>
      <c r="C177" s="22">
        <v>90000.0</v>
      </c>
      <c r="D177" s="22">
        <v>90000.0</v>
      </c>
      <c r="E177" s="21"/>
      <c r="F177" s="22"/>
      <c r="G177" s="22"/>
      <c r="H177" s="22"/>
      <c r="I177" s="29">
        <f t="shared" si="40"/>
        <v>90000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ht="15.75" customHeight="1">
      <c r="A178" s="59" t="s">
        <v>373</v>
      </c>
      <c r="B178" s="19" t="s">
        <v>303</v>
      </c>
      <c r="C178" s="20">
        <v>31000.0</v>
      </c>
      <c r="D178" s="20">
        <v>31000.0</v>
      </c>
      <c r="E178" s="21"/>
      <c r="F178" s="22"/>
      <c r="G178" s="22"/>
      <c r="H178" s="22"/>
      <c r="I178" s="29">
        <f t="shared" si="40"/>
        <v>31000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ht="15.75" customHeight="1">
      <c r="A179" s="40"/>
      <c r="B179" s="45">
        <v>3420.0</v>
      </c>
      <c r="C179" s="46">
        <f t="shared" ref="C179:I179" si="41">SUM(C169:C178)</f>
        <v>2673772.46</v>
      </c>
      <c r="D179" s="46">
        <f t="shared" si="41"/>
        <v>2673772.46</v>
      </c>
      <c r="E179" s="46">
        <f t="shared" si="41"/>
        <v>0</v>
      </c>
      <c r="F179" s="46">
        <f t="shared" si="41"/>
        <v>0</v>
      </c>
      <c r="G179" s="46">
        <f t="shared" si="41"/>
        <v>0</v>
      </c>
      <c r="H179" s="46">
        <f t="shared" si="41"/>
        <v>0</v>
      </c>
      <c r="I179" s="46">
        <f t="shared" si="41"/>
        <v>2673772.46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ht="15.75" customHeight="1">
      <c r="A180" s="30"/>
      <c r="B180" s="24"/>
      <c r="C180" s="29"/>
      <c r="D180" s="29"/>
      <c r="E180" s="29"/>
      <c r="F180" s="29"/>
      <c r="G180" s="29"/>
      <c r="H180" s="29"/>
      <c r="I180" s="29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ht="15.75" customHeight="1">
      <c r="A181" s="257" t="s">
        <v>310</v>
      </c>
      <c r="B181" s="259" t="s">
        <v>384</v>
      </c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</row>
    <row r="182" ht="15.75" customHeight="1">
      <c r="A182" s="257">
        <v>609.0</v>
      </c>
      <c r="B182" s="260" t="s">
        <v>49</v>
      </c>
      <c r="C182" s="117"/>
      <c r="D182" s="117"/>
      <c r="E182" s="117"/>
      <c r="F182" s="117"/>
      <c r="G182" s="117"/>
      <c r="H182" s="117"/>
      <c r="I182" s="117"/>
      <c r="J182" s="55">
        <f>SUM(I183)</f>
        <v>71988.7</v>
      </c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 ht="15.75" customHeight="1">
      <c r="A183" s="261" t="s">
        <v>392</v>
      </c>
      <c r="B183" s="262" t="s">
        <v>59</v>
      </c>
      <c r="C183" s="263">
        <v>71988.7</v>
      </c>
      <c r="D183" s="55"/>
      <c r="E183" s="55"/>
      <c r="F183" s="55"/>
      <c r="G183" s="263">
        <f>C183</f>
        <v>71988.7</v>
      </c>
      <c r="H183" s="55"/>
      <c r="I183" s="263">
        <f>SUM(D183:H183)</f>
        <v>71988.7</v>
      </c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</row>
    <row r="184" ht="15.75" customHeight="1">
      <c r="A184" s="257">
        <v>619.0</v>
      </c>
      <c r="B184" s="264" t="s">
        <v>53</v>
      </c>
      <c r="C184" s="55"/>
      <c r="D184" s="55"/>
      <c r="E184" s="55"/>
      <c r="F184" s="55"/>
      <c r="G184" s="55"/>
      <c r="H184" s="55"/>
      <c r="I184" s="55"/>
      <c r="J184" s="55">
        <f>SUM(I185)</f>
        <v>422248.58</v>
      </c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t="15.75" customHeight="1">
      <c r="A185" s="261" t="s">
        <v>402</v>
      </c>
      <c r="B185" s="266" t="s">
        <v>63</v>
      </c>
      <c r="C185" s="263">
        <v>422248.58</v>
      </c>
      <c r="D185" s="263">
        <v>272248.58</v>
      </c>
      <c r="E185" s="55"/>
      <c r="F185" s="55"/>
      <c r="G185" s="263">
        <v>150000.0</v>
      </c>
      <c r="H185" s="55"/>
      <c r="I185" s="263">
        <f>SUM(D185:H185)</f>
        <v>422248.58</v>
      </c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 ht="15.75" customHeight="1">
      <c r="A186" s="257">
        <v>622.0</v>
      </c>
      <c r="B186" s="264" t="s">
        <v>100</v>
      </c>
      <c r="C186" s="55"/>
      <c r="D186" s="55"/>
      <c r="E186" s="55"/>
      <c r="F186" s="55"/>
      <c r="G186" s="55"/>
      <c r="H186" s="55"/>
      <c r="I186" s="55"/>
      <c r="J186" s="55">
        <f>SUM(I187)</f>
        <v>1168659.96</v>
      </c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</row>
    <row r="187" ht="15.75" customHeight="1">
      <c r="A187" s="261" t="s">
        <v>412</v>
      </c>
      <c r="B187" s="266" t="s">
        <v>413</v>
      </c>
      <c r="C187" s="263">
        <v>1168659.96</v>
      </c>
      <c r="D187" s="263">
        <v>251028.16</v>
      </c>
      <c r="E187" s="55"/>
      <c r="F187" s="55"/>
      <c r="G187" s="263">
        <v>917631.8</v>
      </c>
      <c r="H187" s="55"/>
      <c r="I187" s="263">
        <f>SUM(D187:H187)</f>
        <v>1168659.96</v>
      </c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</row>
    <row r="188" ht="15.75" customHeight="1">
      <c r="A188" s="257" t="s">
        <v>417</v>
      </c>
      <c r="B188" s="264" t="s">
        <v>395</v>
      </c>
      <c r="C188" s="117"/>
      <c r="D188" s="117"/>
      <c r="E188" s="117"/>
      <c r="F188" s="117"/>
      <c r="G188" s="117"/>
      <c r="H188" s="117"/>
      <c r="I188" s="117"/>
      <c r="J188" s="55">
        <f>SUM(I189)</f>
        <v>562000</v>
      </c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</row>
    <row r="189" ht="15.75" customHeight="1">
      <c r="A189" s="261" t="s">
        <v>420</v>
      </c>
      <c r="B189" s="266" t="s">
        <v>79</v>
      </c>
      <c r="C189" s="263">
        <v>562000.0</v>
      </c>
      <c r="D189" s="55"/>
      <c r="E189" s="55"/>
      <c r="F189" s="55"/>
      <c r="G189" s="263">
        <v>562000.0</v>
      </c>
      <c r="H189" s="55"/>
      <c r="I189" s="263">
        <f>SUM(D189:H189)</f>
        <v>562000</v>
      </c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</row>
    <row r="190" ht="15.75" customHeight="1">
      <c r="A190" s="257">
        <v>629.0</v>
      </c>
      <c r="B190" s="264" t="s">
        <v>14</v>
      </c>
      <c r="C190" s="55"/>
      <c r="D190" s="55"/>
      <c r="E190" s="55"/>
      <c r="F190" s="55"/>
      <c r="G190" s="55"/>
      <c r="H190" s="55"/>
      <c r="I190" s="55"/>
      <c r="J190" s="55">
        <f>SUM(I191:I192)</f>
        <v>240000</v>
      </c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</row>
    <row r="191" ht="15.75" customHeight="1">
      <c r="A191" s="261" t="s">
        <v>427</v>
      </c>
      <c r="B191" s="266" t="s">
        <v>74</v>
      </c>
      <c r="C191" s="263">
        <v>150000.0</v>
      </c>
      <c r="D191" s="55"/>
      <c r="E191" s="55"/>
      <c r="F191" s="55"/>
      <c r="G191" s="263">
        <v>150000.0</v>
      </c>
      <c r="H191" s="55"/>
      <c r="I191" s="263">
        <f t="shared" ref="I191:I192" si="42">SUM(D191:H191)</f>
        <v>150000</v>
      </c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</row>
    <row r="192" ht="15.75" customHeight="1">
      <c r="A192" s="261" t="s">
        <v>429</v>
      </c>
      <c r="B192" s="266" t="s">
        <v>81</v>
      </c>
      <c r="C192" s="263">
        <v>90000.0</v>
      </c>
      <c r="D192" s="55"/>
      <c r="E192" s="55"/>
      <c r="F192" s="55"/>
      <c r="G192" s="263">
        <v>90000.0</v>
      </c>
      <c r="H192" s="55"/>
      <c r="I192" s="263">
        <f t="shared" si="42"/>
        <v>90000</v>
      </c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</row>
    <row r="193" ht="15.75" customHeight="1">
      <c r="A193" s="257">
        <v>689.0</v>
      </c>
      <c r="B193" s="264" t="s">
        <v>314</v>
      </c>
      <c r="C193" s="55"/>
      <c r="D193" s="55"/>
      <c r="E193" s="55"/>
      <c r="F193" s="55"/>
      <c r="G193" s="55"/>
      <c r="H193" s="55"/>
      <c r="I193" s="55"/>
      <c r="J193" s="55">
        <f>SUM(I194)</f>
        <v>114000</v>
      </c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</row>
    <row r="194" ht="15.75" customHeight="1">
      <c r="A194" s="261" t="s">
        <v>420</v>
      </c>
      <c r="B194" s="266" t="s">
        <v>315</v>
      </c>
      <c r="C194" s="71">
        <v>114000.0</v>
      </c>
      <c r="D194" s="72"/>
      <c r="E194" s="72"/>
      <c r="F194" s="72"/>
      <c r="G194" s="71">
        <v>114000.0</v>
      </c>
      <c r="H194" s="72"/>
      <c r="I194" s="71">
        <f>SUM(D194:H194)</f>
        <v>114000</v>
      </c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</row>
    <row r="195" ht="15.75" customHeight="1">
      <c r="A195" s="270"/>
      <c r="B195" s="271" t="s">
        <v>310</v>
      </c>
      <c r="C195" s="272">
        <f t="shared" ref="C195:I195" si="43">SUM(C183:C194)</f>
        <v>2578897.24</v>
      </c>
      <c r="D195" s="272">
        <f t="shared" si="43"/>
        <v>523276.74</v>
      </c>
      <c r="E195" s="272">
        <f t="shared" si="43"/>
        <v>0</v>
      </c>
      <c r="F195" s="272">
        <f t="shared" si="43"/>
        <v>0</v>
      </c>
      <c r="G195" s="272">
        <f t="shared" si="43"/>
        <v>2055620.5</v>
      </c>
      <c r="H195" s="272">
        <f t="shared" si="43"/>
        <v>0</v>
      </c>
      <c r="I195" s="272">
        <f t="shared" si="43"/>
        <v>2578897.24</v>
      </c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</row>
    <row r="196" ht="15.75" customHeight="1">
      <c r="A196" s="59"/>
      <c r="B196" s="176"/>
      <c r="C196" s="42"/>
      <c r="D196" s="20"/>
      <c r="E196" s="21"/>
      <c r="F196" s="22"/>
      <c r="G196" s="22"/>
      <c r="H196" s="22"/>
      <c r="I196" s="23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ht="15.75" customHeight="1">
      <c r="A197" s="214" t="s">
        <v>316</v>
      </c>
      <c r="B197" s="215" t="s">
        <v>317</v>
      </c>
      <c r="C197" s="147"/>
      <c r="D197" s="147"/>
      <c r="E197" s="147"/>
      <c r="F197" s="147"/>
      <c r="G197" s="147"/>
      <c r="H197" s="147"/>
      <c r="I197" s="147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  <c r="AA197" s="216"/>
      <c r="AB197" s="216"/>
      <c r="AC197" s="216"/>
      <c r="AD197" s="216"/>
      <c r="AE197" s="216"/>
      <c r="AF197" s="216"/>
      <c r="AG197" s="216"/>
      <c r="AH197" s="216"/>
      <c r="AI197" s="216"/>
    </row>
    <row r="198" ht="15.75" customHeight="1">
      <c r="A198" s="214" t="s">
        <v>465</v>
      </c>
      <c r="B198" s="215" t="s">
        <v>49</v>
      </c>
      <c r="C198" s="218"/>
      <c r="D198" s="218"/>
      <c r="E198" s="147"/>
      <c r="F198" s="147"/>
      <c r="G198" s="218"/>
      <c r="H198" s="147"/>
      <c r="I198" s="147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  <c r="AA198" s="216"/>
      <c r="AB198" s="216"/>
      <c r="AC198" s="216"/>
      <c r="AD198" s="216"/>
      <c r="AE198" s="216"/>
      <c r="AF198" s="216"/>
      <c r="AG198" s="216"/>
      <c r="AH198" s="216"/>
      <c r="AI198" s="216"/>
    </row>
    <row r="199" ht="15.75" customHeight="1">
      <c r="A199" s="261" t="s">
        <v>467</v>
      </c>
      <c r="B199" s="220" t="s">
        <v>468</v>
      </c>
      <c r="C199" s="221">
        <v>200000.0</v>
      </c>
      <c r="D199" s="221">
        <v>200000.0</v>
      </c>
      <c r="E199" s="147"/>
      <c r="F199" s="147"/>
      <c r="G199" s="222"/>
      <c r="H199" s="147"/>
      <c r="I199" s="222">
        <f t="shared" ref="I199:I200" si="44">SUM(D199:H199)</f>
        <v>200000</v>
      </c>
      <c r="J199" s="216"/>
      <c r="K199" s="222"/>
      <c r="L199" s="222"/>
      <c r="M199" s="222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  <c r="AA199" s="216"/>
      <c r="AB199" s="216"/>
      <c r="AC199" s="216"/>
      <c r="AD199" s="216"/>
      <c r="AE199" s="216"/>
      <c r="AF199" s="216"/>
      <c r="AG199" s="216"/>
      <c r="AH199" s="216"/>
      <c r="AI199" s="216"/>
    </row>
    <row r="200" ht="15.75" customHeight="1">
      <c r="A200" s="273"/>
      <c r="B200" s="220" t="s">
        <v>320</v>
      </c>
      <c r="C200" s="223">
        <v>100000.0</v>
      </c>
      <c r="D200" s="223">
        <v>100000.0</v>
      </c>
      <c r="E200" s="224"/>
      <c r="F200" s="224"/>
      <c r="G200" s="225"/>
      <c r="H200" s="224"/>
      <c r="I200" s="222">
        <f t="shared" si="44"/>
        <v>100000</v>
      </c>
      <c r="J200" s="216"/>
      <c r="K200" s="222"/>
      <c r="L200" s="222"/>
      <c r="M200" s="222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  <c r="AA200" s="216"/>
      <c r="AB200" s="216"/>
      <c r="AC200" s="216"/>
      <c r="AD200" s="216"/>
      <c r="AE200" s="216"/>
      <c r="AF200" s="216"/>
      <c r="AG200" s="216"/>
      <c r="AH200" s="216"/>
      <c r="AI200" s="216"/>
    </row>
    <row r="201" ht="15.75" customHeight="1">
      <c r="A201" s="276"/>
      <c r="B201" s="227" t="s">
        <v>316</v>
      </c>
      <c r="C201" s="228">
        <f t="shared" ref="C201:I201" si="45">SUM(C199:C200)</f>
        <v>300000</v>
      </c>
      <c r="D201" s="228">
        <f t="shared" si="45"/>
        <v>300000</v>
      </c>
      <c r="E201" s="228">
        <f t="shared" si="45"/>
        <v>0</v>
      </c>
      <c r="F201" s="228">
        <f t="shared" si="45"/>
        <v>0</v>
      </c>
      <c r="G201" s="46">
        <f t="shared" si="45"/>
        <v>0</v>
      </c>
      <c r="H201" s="46">
        <f t="shared" si="45"/>
        <v>0</v>
      </c>
      <c r="I201" s="46">
        <f t="shared" si="45"/>
        <v>300000</v>
      </c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  <c r="AA201" s="216"/>
      <c r="AB201" s="216"/>
      <c r="AC201" s="216"/>
      <c r="AD201" s="216"/>
      <c r="AE201" s="216"/>
      <c r="AF201" s="216"/>
      <c r="AG201" s="216"/>
      <c r="AH201" s="216"/>
      <c r="AI201" s="216"/>
    </row>
    <row r="202" ht="15.75" customHeight="1">
      <c r="A202" s="59"/>
      <c r="B202" s="176"/>
      <c r="C202" s="42"/>
      <c r="D202" s="20"/>
      <c r="E202" s="21"/>
      <c r="F202" s="22"/>
      <c r="G202" s="22"/>
      <c r="H202" s="22"/>
      <c r="I202" s="23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ht="15.75" customHeight="1">
      <c r="A203" s="214" t="s">
        <v>321</v>
      </c>
      <c r="B203" s="215" t="s">
        <v>322</v>
      </c>
      <c r="C203" s="147"/>
      <c r="D203" s="147"/>
      <c r="E203" s="147"/>
      <c r="F203" s="147"/>
      <c r="G203" s="147"/>
      <c r="H203" s="147"/>
      <c r="I203" s="147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  <c r="AA203" s="216"/>
      <c r="AB203" s="216"/>
      <c r="AC203" s="216"/>
      <c r="AD203" s="216"/>
      <c r="AE203" s="216"/>
      <c r="AF203" s="216"/>
      <c r="AG203" s="216"/>
      <c r="AH203" s="216"/>
      <c r="AI203" s="216"/>
    </row>
    <row r="204" ht="15.75" customHeight="1">
      <c r="A204" s="214" t="s">
        <v>465</v>
      </c>
      <c r="B204" s="215" t="s">
        <v>49</v>
      </c>
      <c r="C204" s="218"/>
      <c r="D204" s="218"/>
      <c r="E204" s="147"/>
      <c r="F204" s="147"/>
      <c r="G204" s="218"/>
      <c r="H204" s="147"/>
      <c r="I204" s="147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  <c r="AA204" s="216"/>
      <c r="AB204" s="216"/>
      <c r="AC204" s="216"/>
      <c r="AD204" s="216"/>
      <c r="AE204" s="216"/>
      <c r="AF204" s="216"/>
      <c r="AG204" s="216"/>
      <c r="AH204" s="216"/>
      <c r="AI204" s="216"/>
    </row>
    <row r="205" ht="15.75" customHeight="1">
      <c r="A205" s="261" t="s">
        <v>478</v>
      </c>
      <c r="B205" s="220" t="s">
        <v>325</v>
      </c>
      <c r="C205" s="223">
        <v>100000.0</v>
      </c>
      <c r="D205" s="223">
        <v>100000.0</v>
      </c>
      <c r="E205" s="224"/>
      <c r="F205" s="224"/>
      <c r="G205" s="225"/>
      <c r="H205" s="224"/>
      <c r="I205" s="225">
        <f>SUM(D205:H205)</f>
        <v>100000</v>
      </c>
      <c r="J205" s="216"/>
      <c r="K205" s="222"/>
      <c r="L205" s="222"/>
      <c r="M205" s="222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  <c r="AA205" s="216"/>
      <c r="AB205" s="216"/>
      <c r="AC205" s="216"/>
      <c r="AD205" s="216"/>
      <c r="AE205" s="216"/>
      <c r="AF205" s="216"/>
      <c r="AG205" s="216"/>
      <c r="AH205" s="216"/>
      <c r="AI205" s="216"/>
    </row>
    <row r="206" ht="15.75" customHeight="1">
      <c r="A206" s="276"/>
      <c r="B206" s="227" t="s">
        <v>321</v>
      </c>
      <c r="C206" s="228">
        <f t="shared" ref="C206:I206" si="46">SUM(C205)</f>
        <v>100000</v>
      </c>
      <c r="D206" s="228">
        <f t="shared" si="46"/>
        <v>100000</v>
      </c>
      <c r="E206" s="228">
        <f t="shared" si="46"/>
        <v>0</v>
      </c>
      <c r="F206" s="228">
        <f t="shared" si="46"/>
        <v>0</v>
      </c>
      <c r="G206" s="228">
        <f t="shared" si="46"/>
        <v>0</v>
      </c>
      <c r="H206" s="228">
        <f t="shared" si="46"/>
        <v>0</v>
      </c>
      <c r="I206" s="228">
        <f t="shared" si="46"/>
        <v>100000</v>
      </c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  <c r="AA206" s="216"/>
      <c r="AB206" s="216"/>
      <c r="AC206" s="216"/>
      <c r="AD206" s="216"/>
      <c r="AE206" s="216"/>
      <c r="AF206" s="216"/>
      <c r="AG206" s="216"/>
      <c r="AH206" s="216"/>
      <c r="AI206" s="216"/>
    </row>
    <row r="207" ht="15.75" customHeight="1">
      <c r="A207" s="59"/>
      <c r="B207" s="176"/>
      <c r="C207" s="42"/>
      <c r="D207" s="20"/>
      <c r="E207" s="21"/>
      <c r="F207" s="22"/>
      <c r="G207" s="22"/>
      <c r="H207" s="22"/>
      <c r="I207" s="23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ht="15.75" customHeight="1">
      <c r="A208" s="43" t="s">
        <v>326</v>
      </c>
      <c r="B208" s="44" t="s">
        <v>327</v>
      </c>
      <c r="C208" s="42"/>
      <c r="D208" s="20"/>
      <c r="E208" s="21"/>
      <c r="F208" s="22"/>
      <c r="G208" s="22"/>
      <c r="H208" s="22"/>
      <c r="I208" s="23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ht="15.75" customHeight="1">
      <c r="A209" s="43" t="s">
        <v>88</v>
      </c>
      <c r="B209" s="44" t="s">
        <v>482</v>
      </c>
      <c r="C209" s="42"/>
      <c r="D209" s="20"/>
      <c r="E209" s="21"/>
      <c r="F209" s="22"/>
      <c r="G209" s="22"/>
      <c r="H209" s="22"/>
      <c r="I209" s="23"/>
      <c r="J209" s="21">
        <f>SUM(I210:I211)</f>
        <v>201200</v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ht="15.75" customHeight="1">
      <c r="A210" s="261" t="s">
        <v>483</v>
      </c>
      <c r="B210" s="19" t="s">
        <v>329</v>
      </c>
      <c r="C210" s="20">
        <v>200000.0</v>
      </c>
      <c r="D210" s="20">
        <f>200000-E210</f>
        <v>198061.56</v>
      </c>
      <c r="E210" s="229">
        <v>1938.44</v>
      </c>
      <c r="F210" s="22"/>
      <c r="G210" s="22"/>
      <c r="H210" s="22"/>
      <c r="I210" s="29">
        <f t="shared" ref="I210:I211" si="47">SUM(D210:H210)</f>
        <v>200000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ht="15.75" customHeight="1">
      <c r="A211" s="40"/>
      <c r="B211" s="19" t="s">
        <v>330</v>
      </c>
      <c r="C211" s="20">
        <v>1200.0</v>
      </c>
      <c r="D211" s="134">
        <v>0.0</v>
      </c>
      <c r="E211" s="229">
        <v>1200.0</v>
      </c>
      <c r="F211" s="22"/>
      <c r="G211" s="22"/>
      <c r="H211" s="22"/>
      <c r="I211" s="29">
        <f t="shared" si="47"/>
        <v>1200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ht="15.75" customHeight="1">
      <c r="A212" s="43" t="s">
        <v>31</v>
      </c>
      <c r="B212" s="28" t="s">
        <v>491</v>
      </c>
      <c r="C212" s="20"/>
      <c r="D212" s="20"/>
      <c r="E212" s="134"/>
      <c r="F212" s="22"/>
      <c r="G212" s="22"/>
      <c r="H212" s="22"/>
      <c r="I212" s="29"/>
      <c r="J212" s="14">
        <f>SUM(I213)</f>
        <v>40000</v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ht="15.75" customHeight="1">
      <c r="A213" s="261" t="s">
        <v>495</v>
      </c>
      <c r="B213" s="19" t="s">
        <v>332</v>
      </c>
      <c r="C213" s="20">
        <v>40000.0</v>
      </c>
      <c r="D213" s="20">
        <v>40000.0</v>
      </c>
      <c r="E213" s="21"/>
      <c r="F213" s="22"/>
      <c r="G213" s="22"/>
      <c r="H213" s="22"/>
      <c r="I213" s="29">
        <f>SUM(D213:H213)</f>
        <v>40000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ht="15.75" customHeight="1">
      <c r="A214" s="40"/>
      <c r="B214" s="45">
        <v>9200.0</v>
      </c>
      <c r="C214" s="46">
        <f t="shared" ref="C214:I214" si="48">SUM(C210:C213)</f>
        <v>241200</v>
      </c>
      <c r="D214" s="46">
        <f t="shared" si="48"/>
        <v>238061.56</v>
      </c>
      <c r="E214" s="46">
        <f t="shared" si="48"/>
        <v>3138.44</v>
      </c>
      <c r="F214" s="46">
        <f t="shared" si="48"/>
        <v>0</v>
      </c>
      <c r="G214" s="46">
        <f t="shared" si="48"/>
        <v>0</v>
      </c>
      <c r="H214" s="46">
        <f t="shared" si="48"/>
        <v>0</v>
      </c>
      <c r="I214" s="46">
        <f t="shared" si="48"/>
        <v>241200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ht="15.75" customHeight="1">
      <c r="A215" s="40"/>
      <c r="B215" s="41"/>
      <c r="C215" s="42"/>
      <c r="D215" s="20"/>
      <c r="E215" s="21"/>
      <c r="F215" s="22"/>
      <c r="G215" s="22"/>
      <c r="H215" s="22"/>
      <c r="I215" s="23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ht="15.75" customHeight="1">
      <c r="A216" s="257" t="s">
        <v>502</v>
      </c>
      <c r="B216" s="259" t="s">
        <v>503</v>
      </c>
      <c r="C216" s="55"/>
      <c r="D216" s="55"/>
      <c r="E216" s="55"/>
      <c r="F216" s="55"/>
      <c r="G216" s="55"/>
      <c r="H216" s="55"/>
      <c r="I216" s="55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</row>
    <row r="217" ht="15.75" customHeight="1">
      <c r="A217" s="257" t="s">
        <v>99</v>
      </c>
      <c r="B217" s="282" t="s">
        <v>100</v>
      </c>
      <c r="C217" s="55"/>
      <c r="D217" s="55"/>
      <c r="E217" s="55"/>
      <c r="F217" s="55"/>
      <c r="G217" s="55"/>
      <c r="H217" s="55"/>
      <c r="I217" s="55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</row>
    <row r="218" ht="15.75" customHeight="1">
      <c r="A218" s="261" t="s">
        <v>506</v>
      </c>
      <c r="B218" s="262" t="s">
        <v>507</v>
      </c>
      <c r="C218" s="284">
        <v>295000.0</v>
      </c>
      <c r="D218" s="284">
        <v>295000.0</v>
      </c>
      <c r="E218" s="285"/>
      <c r="F218" s="72"/>
      <c r="G218" s="72"/>
      <c r="H218" s="72"/>
      <c r="I218" s="71">
        <f>SUM(D218:H218)</f>
        <v>295000</v>
      </c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</row>
    <row r="219" ht="15.75" customHeight="1">
      <c r="A219" s="270"/>
      <c r="B219" s="286">
        <v>9290.0</v>
      </c>
      <c r="C219" s="287">
        <f t="shared" ref="C219:I219" si="49">SUM(C218)</f>
        <v>295000</v>
      </c>
      <c r="D219" s="287">
        <f t="shared" si="49"/>
        <v>295000</v>
      </c>
      <c r="E219" s="287">
        <f t="shared" si="49"/>
        <v>0</v>
      </c>
      <c r="F219" s="287">
        <f t="shared" si="49"/>
        <v>0</v>
      </c>
      <c r="G219" s="287">
        <f t="shared" si="49"/>
        <v>0</v>
      </c>
      <c r="H219" s="287">
        <f t="shared" si="49"/>
        <v>0</v>
      </c>
      <c r="I219" s="287">
        <f t="shared" si="49"/>
        <v>295000</v>
      </c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t="15.75" customHeight="1">
      <c r="A220" s="40"/>
      <c r="B220" s="41"/>
      <c r="C220" s="42"/>
      <c r="D220" s="20"/>
      <c r="E220" s="21"/>
      <c r="F220" s="22"/>
      <c r="G220" s="22"/>
      <c r="H220" s="22"/>
      <c r="I220" s="23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ht="15.75" customHeight="1">
      <c r="A221" s="40"/>
      <c r="B221" s="292" t="s">
        <v>335</v>
      </c>
      <c r="C221" s="232">
        <f t="shared" ref="C221:I221" si="50">SUM(C11,C16,C21,C31,C36,C54,C62,C75,C83,C88,C97,C102,C107,C112,C118,C126,C131,C141,C146,C151,C156,C165,C179,C195,C201,C206,C214,C219)</f>
        <v>12435470.48</v>
      </c>
      <c r="D221" s="232">
        <f t="shared" si="50"/>
        <v>8618380.98</v>
      </c>
      <c r="E221" s="232">
        <f t="shared" si="50"/>
        <v>188138.44</v>
      </c>
      <c r="F221" s="232">
        <f t="shared" si="50"/>
        <v>80240.4</v>
      </c>
      <c r="G221" s="232">
        <f t="shared" si="50"/>
        <v>2157195.5</v>
      </c>
      <c r="H221" s="232">
        <f t="shared" si="50"/>
        <v>1391515.16</v>
      </c>
      <c r="I221" s="232">
        <f t="shared" si="50"/>
        <v>12435470.48</v>
      </c>
      <c r="J221" s="6"/>
      <c r="K221" s="20" t="s">
        <v>337</v>
      </c>
      <c r="L221" s="234">
        <f>IFERROR(__xludf.DUMMYFUNCTION("IMPORTRANGE(""https://docs.google.com/spreadsheets/d/1QHciYMvliATvWbE-ZiCODSi4C7HCgtLrWiSYo1XuIdk"", ""2024!diff_ingreso_gasto"")"),188138.43999999762)</f>
        <v>188138.44</v>
      </c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ht="15.75" customHeight="1">
      <c r="A222" s="233"/>
      <c r="B222" s="41"/>
      <c r="C222" s="42"/>
      <c r="D222" s="20"/>
      <c r="E222" s="21"/>
      <c r="F222" s="23"/>
      <c r="G222" s="23"/>
      <c r="H222" s="23"/>
      <c r="I222" s="23"/>
      <c r="J222" s="6"/>
      <c r="K222" s="20" t="s">
        <v>339</v>
      </c>
      <c r="L222" s="21">
        <f>L221-E221</f>
        <v>-0.000000002386514097</v>
      </c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ht="15.75" customHeight="1">
      <c r="A223" s="233"/>
      <c r="B223" s="41"/>
      <c r="C223" s="42"/>
      <c r="D223" s="20"/>
      <c r="E223" s="21"/>
      <c r="F223" s="23"/>
      <c r="G223" s="23"/>
      <c r="H223" s="23"/>
      <c r="I223" s="23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ht="15.75" customHeight="1">
      <c r="A224" s="233"/>
      <c r="B224" s="41"/>
      <c r="C224" s="42"/>
      <c r="D224" s="20"/>
      <c r="E224" s="21"/>
      <c r="F224" s="23"/>
      <c r="G224" s="23"/>
      <c r="H224" s="23"/>
      <c r="I224" s="23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ht="15.75" customHeight="1">
      <c r="A225" s="233"/>
      <c r="B225" s="41"/>
      <c r="C225" s="42"/>
      <c r="F225" s="23"/>
      <c r="G225" s="23"/>
      <c r="H225" s="23"/>
      <c r="I225" s="23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ht="15.75" customHeight="1">
      <c r="A226" s="233"/>
      <c r="B226" s="41"/>
      <c r="C226" s="42"/>
      <c r="F226" s="23"/>
      <c r="G226" s="23"/>
      <c r="H226" s="23"/>
      <c r="I226" s="23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ht="15.75" customHeight="1">
      <c r="A227" s="233"/>
      <c r="B227" s="41"/>
      <c r="C227" s="42"/>
      <c r="D227" s="20"/>
      <c r="E227" s="21"/>
      <c r="F227" s="23"/>
      <c r="G227" s="23"/>
      <c r="H227" s="23"/>
      <c r="I227" s="23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ht="15.75" customHeight="1">
      <c r="A228" s="301"/>
      <c r="B228" s="302" t="s">
        <v>512</v>
      </c>
      <c r="C228" s="303" t="s">
        <v>10</v>
      </c>
      <c r="D228" s="304" t="s">
        <v>513</v>
      </c>
      <c r="E228" s="4"/>
      <c r="F228" s="4"/>
      <c r="G228" s="4"/>
      <c r="H228" s="4"/>
      <c r="I228" s="5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ht="15.75" customHeight="1">
      <c r="A229" s="301"/>
      <c r="B229" s="102"/>
      <c r="C229" s="306"/>
      <c r="D229" s="307" t="s">
        <v>517</v>
      </c>
      <c r="E229" s="308" t="s">
        <v>538</v>
      </c>
      <c r="F229" s="309"/>
      <c r="G229" s="310" t="s">
        <v>518</v>
      </c>
      <c r="H229" s="310" t="s">
        <v>539</v>
      </c>
      <c r="I229" s="310" t="s">
        <v>519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ht="15.75" customHeight="1">
      <c r="A230" s="301"/>
      <c r="B230" s="102"/>
      <c r="C230" s="311"/>
      <c r="D230" s="306"/>
      <c r="E230" s="312" t="s">
        <v>541</v>
      </c>
      <c r="F230" s="312" t="s">
        <v>543</v>
      </c>
      <c r="G230" s="311"/>
      <c r="H230" s="311"/>
      <c r="I230" s="311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ht="15.75" customHeight="1">
      <c r="A231" s="313" t="s">
        <v>43</v>
      </c>
      <c r="B231" s="314" t="s">
        <v>544</v>
      </c>
      <c r="C231" s="315">
        <v>6101734.0</v>
      </c>
      <c r="D231" s="311"/>
      <c r="E231" s="315">
        <v>0.0</v>
      </c>
      <c r="F231" s="315">
        <v>815333.4</v>
      </c>
      <c r="G231" s="315">
        <v>4699467.2</v>
      </c>
      <c r="H231" s="315">
        <v>586933.4</v>
      </c>
      <c r="I231" s="31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ht="15.75" customHeight="1">
      <c r="A232" s="313" t="s">
        <v>57</v>
      </c>
      <c r="B232" s="314" t="s">
        <v>58</v>
      </c>
      <c r="C232" s="315">
        <v>934407.9</v>
      </c>
      <c r="D232" s="311"/>
      <c r="E232" s="315">
        <v>0.0</v>
      </c>
      <c r="F232" s="315">
        <v>488703.95</v>
      </c>
      <c r="G232" s="315">
        <v>445703.95</v>
      </c>
      <c r="H232" s="315">
        <v>0.0</v>
      </c>
      <c r="I232" s="31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ht="15.75" customHeight="1">
      <c r="A233" s="317" t="s">
        <v>549</v>
      </c>
      <c r="B233" s="318" t="s">
        <v>68</v>
      </c>
      <c r="C233" s="315">
        <v>3011581.9</v>
      </c>
      <c r="D233" s="315">
        <v>252262.82</v>
      </c>
      <c r="E233" s="315">
        <v>2022916.09</v>
      </c>
      <c r="F233" s="315">
        <v>736402.99</v>
      </c>
      <c r="G233" s="316"/>
      <c r="H233" s="316"/>
      <c r="I233" s="31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ht="15.75" customHeight="1">
      <c r="A234" s="313" t="s">
        <v>153</v>
      </c>
      <c r="B234" s="318" t="s">
        <v>154</v>
      </c>
      <c r="C234" s="315">
        <v>53240.0</v>
      </c>
      <c r="D234" s="315">
        <v>5324.0</v>
      </c>
      <c r="E234" s="315">
        <v>15972.0</v>
      </c>
      <c r="F234" s="315">
        <v>23958.0</v>
      </c>
      <c r="G234" s="316"/>
      <c r="H234" s="316"/>
      <c r="I234" s="315">
        <v>7986.0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ht="15.75" customHeight="1">
      <c r="A235" s="319" t="s">
        <v>343</v>
      </c>
      <c r="B235" s="318" t="s">
        <v>270</v>
      </c>
      <c r="C235" s="315">
        <v>2385515.0</v>
      </c>
      <c r="D235" s="311"/>
      <c r="E235" s="315">
        <v>0.0</v>
      </c>
      <c r="F235" s="315">
        <v>144595.0</v>
      </c>
      <c r="G235" s="315">
        <v>2240920.0</v>
      </c>
      <c r="H235" s="316"/>
      <c r="I235" s="31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ht="15.75" customHeight="1">
      <c r="A236" s="317" t="s">
        <v>551</v>
      </c>
      <c r="B236" s="318" t="s">
        <v>295</v>
      </c>
      <c r="C236" s="315">
        <v>3554387.07</v>
      </c>
      <c r="D236" s="315">
        <v>1812313.27</v>
      </c>
      <c r="E236" s="315">
        <v>1195880.6</v>
      </c>
      <c r="F236" s="315">
        <v>546193.2</v>
      </c>
      <c r="G236" s="316"/>
      <c r="H236" s="316"/>
      <c r="I236" s="31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ht="15.75" customHeight="1">
      <c r="A237" s="320" t="s">
        <v>392</v>
      </c>
      <c r="B237" s="314" t="s">
        <v>59</v>
      </c>
      <c r="C237" s="315">
        <v>102841.0</v>
      </c>
      <c r="D237" s="316"/>
      <c r="E237" s="315">
        <v>0.0</v>
      </c>
      <c r="F237" s="315">
        <v>71988.7</v>
      </c>
      <c r="G237" s="315">
        <v>30852.3</v>
      </c>
      <c r="H237" s="316"/>
      <c r="I237" s="31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ht="15.75" customHeight="1">
      <c r="A238" s="320" t="s">
        <v>402</v>
      </c>
      <c r="B238" s="321" t="s">
        <v>63</v>
      </c>
      <c r="C238" s="315">
        <v>844497.16</v>
      </c>
      <c r="D238" s="311"/>
      <c r="E238" s="315">
        <v>0.0</v>
      </c>
      <c r="F238" s="315">
        <v>422248.58</v>
      </c>
      <c r="G238" s="315">
        <v>422248.58</v>
      </c>
      <c r="H238" s="316"/>
      <c r="I238" s="31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ht="15.75" customHeight="1">
      <c r="A239" s="320" t="s">
        <v>412</v>
      </c>
      <c r="B239" s="321" t="s">
        <v>413</v>
      </c>
      <c r="C239" s="315">
        <v>2158078.2</v>
      </c>
      <c r="D239" s="311"/>
      <c r="E239" s="315">
        <v>0.0</v>
      </c>
      <c r="F239" s="315">
        <v>1168659.96</v>
      </c>
      <c r="G239" s="315">
        <v>989418.24</v>
      </c>
      <c r="H239" s="316"/>
      <c r="I239" s="31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ht="15.75" customHeight="1">
      <c r="A240" s="320" t="s">
        <v>420</v>
      </c>
      <c r="B240" s="321" t="s">
        <v>79</v>
      </c>
      <c r="C240" s="315">
        <v>562000.0</v>
      </c>
      <c r="D240" s="311"/>
      <c r="E240" s="315">
        <v>0.0</v>
      </c>
      <c r="F240" s="315">
        <v>562000.0</v>
      </c>
      <c r="G240" s="315">
        <v>0.0</v>
      </c>
      <c r="H240" s="316"/>
      <c r="I240" s="31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ht="15.75" customHeight="1">
      <c r="A241" s="320" t="s">
        <v>427</v>
      </c>
      <c r="B241" s="321" t="s">
        <v>74</v>
      </c>
      <c r="C241" s="315">
        <v>332420.5</v>
      </c>
      <c r="D241" s="311"/>
      <c r="E241" s="315">
        <v>0.0</v>
      </c>
      <c r="F241" s="315">
        <v>150000.0</v>
      </c>
      <c r="G241" s="315">
        <v>182420.5</v>
      </c>
      <c r="H241" s="316"/>
      <c r="I241" s="31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ht="15.75" customHeight="1">
      <c r="A242" s="320" t="s">
        <v>429</v>
      </c>
      <c r="B242" s="321" t="s">
        <v>81</v>
      </c>
      <c r="C242" s="315">
        <v>180000.0</v>
      </c>
      <c r="D242" s="311"/>
      <c r="E242" s="315">
        <v>0.0</v>
      </c>
      <c r="F242" s="315">
        <v>90000.0</v>
      </c>
      <c r="G242" s="315">
        <v>90000.0</v>
      </c>
      <c r="H242" s="316"/>
      <c r="I242" s="31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ht="15.75" customHeight="1">
      <c r="A243" s="320" t="s">
        <v>554</v>
      </c>
      <c r="B243" s="321" t="s">
        <v>315</v>
      </c>
      <c r="C243" s="315">
        <v>152420.5</v>
      </c>
      <c r="D243" s="311"/>
      <c r="E243" s="315">
        <v>0.0</v>
      </c>
      <c r="F243" s="315">
        <v>114000.0</v>
      </c>
      <c r="G243" s="315">
        <v>38420.5</v>
      </c>
      <c r="H243" s="316"/>
      <c r="I243" s="31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ht="15.75" customHeight="1">
      <c r="A244" s="320" t="s">
        <v>555</v>
      </c>
      <c r="B244" s="321" t="s">
        <v>556</v>
      </c>
      <c r="C244" s="315">
        <v>426206.0</v>
      </c>
      <c r="D244" s="311"/>
      <c r="E244" s="315">
        <v>0.0</v>
      </c>
      <c r="F244" s="315">
        <v>140370.79</v>
      </c>
      <c r="G244" s="315">
        <v>143231.91</v>
      </c>
      <c r="H244" s="315">
        <v>142603.3</v>
      </c>
      <c r="I244" s="31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ht="15.75" customHeight="1">
      <c r="A245" s="301"/>
      <c r="B245" s="102"/>
      <c r="C245" s="324"/>
      <c r="D245" s="311"/>
      <c r="E245" s="311"/>
      <c r="F245" s="311"/>
      <c r="G245" s="311"/>
      <c r="H245" s="311"/>
      <c r="I245" s="311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ht="15.75" customHeight="1">
      <c r="A246" s="317" t="s">
        <v>549</v>
      </c>
      <c r="B246" s="325" t="s">
        <v>557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ht="15.75" customHeight="1">
      <c r="A247" s="317" t="s">
        <v>551</v>
      </c>
      <c r="B247" s="326" t="s">
        <v>558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</sheetData>
  <mergeCells count="5">
    <mergeCell ref="A1:I1"/>
    <mergeCell ref="D228:I228"/>
    <mergeCell ref="E229:F229"/>
    <mergeCell ref="B246:I246"/>
    <mergeCell ref="B247:I247"/>
  </mergeCells>
  <printOptions/>
  <pageMargins bottom="0.75" footer="0.0" header="0.0" left="0.7" right="0.7" top="0.75"/>
  <pageSetup fitToHeight="0" paperSize="9"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>
        <v>70000.0</v>
      </c>
    </row>
    <row r="2">
      <c r="A2" s="1">
        <v>236400.0</v>
      </c>
    </row>
    <row r="3">
      <c r="A3" s="2">
        <v>60000.0</v>
      </c>
    </row>
    <row r="4">
      <c r="A4" s="1">
        <v>15000.0</v>
      </c>
    </row>
    <row r="5">
      <c r="A5" s="1">
        <v>60000.0</v>
      </c>
      <c r="C5" s="7">
        <f>SUM(A1:A10)</f>
        <v>2367521.33</v>
      </c>
    </row>
    <row r="6">
      <c r="A6" s="1">
        <v>150000.0</v>
      </c>
    </row>
    <row r="7">
      <c r="A7" s="1">
        <v>500000.0</v>
      </c>
    </row>
    <row r="8">
      <c r="A8" s="1">
        <v>670582.47</v>
      </c>
      <c r="E8" s="11" t="s">
        <v>1</v>
      </c>
      <c r="F8" s="14">
        <f>'2024'!D221</f>
        <v>8618380.98</v>
      </c>
    </row>
    <row r="9">
      <c r="A9" s="1">
        <v>265538.86</v>
      </c>
      <c r="G9" s="16"/>
    </row>
    <row r="10">
      <c r="A10" s="1">
        <v>340000.0</v>
      </c>
    </row>
    <row r="11">
      <c r="E11" s="11" t="s">
        <v>8</v>
      </c>
      <c r="F11" s="14">
        <f>F8-C5</f>
        <v>6250859.65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14"/>
    <col customWidth="1" min="2" max="2" width="80.29"/>
    <col customWidth="1" min="3" max="3" width="14.86"/>
    <col customWidth="1" min="4" max="4" width="13.86"/>
    <col customWidth="1" min="5" max="5" width="14.29"/>
    <col customWidth="1" min="6" max="6" width="14.43"/>
    <col customWidth="1" min="7" max="7" width="14.29"/>
    <col customWidth="1" min="8" max="8" width="13.86"/>
    <col customWidth="1" min="9" max="9" width="14.86"/>
    <col customWidth="1" min="10" max="10" width="10.0"/>
    <col customWidth="1" min="11" max="11" width="14.86"/>
    <col customWidth="1" min="12" max="12" width="10.0"/>
    <col customWidth="1" min="13" max="13" width="13.14"/>
    <col customWidth="1" min="14" max="35" width="10.0"/>
  </cols>
  <sheetData>
    <row r="1" ht="15.75" customHeight="1">
      <c r="A1" s="3" t="s">
        <v>0</v>
      </c>
      <c r="B1" s="4"/>
      <c r="C1" s="4"/>
      <c r="D1" s="4"/>
      <c r="E1" s="4"/>
      <c r="F1" s="4"/>
      <c r="G1" s="4"/>
      <c r="H1" s="4"/>
      <c r="I1" s="5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15.75" customHeight="1">
      <c r="A2" s="8"/>
      <c r="B2" s="9"/>
      <c r="C2" s="10"/>
      <c r="D2" s="10"/>
      <c r="E2" s="10"/>
      <c r="F2" s="10"/>
      <c r="G2" s="10"/>
      <c r="H2" s="10"/>
      <c r="I2" s="12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ht="49.5" customHeight="1">
      <c r="A3" s="13" t="s">
        <v>2</v>
      </c>
      <c r="B3" s="13" t="s">
        <v>3</v>
      </c>
      <c r="C3" s="15" t="s">
        <v>4</v>
      </c>
      <c r="D3" s="15" t="s">
        <v>1</v>
      </c>
      <c r="E3" s="15" t="s">
        <v>5</v>
      </c>
      <c r="F3" s="17" t="s">
        <v>11</v>
      </c>
      <c r="G3" s="17" t="s">
        <v>7</v>
      </c>
      <c r="H3" s="15" t="s">
        <v>9</v>
      </c>
      <c r="I3" s="15" t="s">
        <v>10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ht="15.75" customHeight="1">
      <c r="A4" s="18"/>
      <c r="B4" s="19"/>
      <c r="C4" s="20"/>
      <c r="D4" s="20"/>
      <c r="E4" s="21"/>
      <c r="F4" s="22"/>
      <c r="G4" s="22"/>
      <c r="H4" s="22"/>
      <c r="I4" s="23" t="str">
        <f>C4</f>
        <v/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ht="15.75" customHeight="1">
      <c r="A5" s="24" t="s">
        <v>12</v>
      </c>
      <c r="B5" s="25" t="s">
        <v>13</v>
      </c>
      <c r="C5" s="26"/>
      <c r="D5" s="26"/>
      <c r="E5" s="26"/>
      <c r="F5" s="26"/>
      <c r="G5" s="26"/>
      <c r="H5" s="26"/>
      <c r="I5" s="23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ht="15.75" customHeight="1">
      <c r="A6" s="27">
        <v>623.0</v>
      </c>
      <c r="B6" s="28" t="s">
        <v>16</v>
      </c>
      <c r="C6" s="26"/>
      <c r="D6" s="26"/>
      <c r="E6" s="26"/>
      <c r="F6" s="26"/>
      <c r="G6" s="26"/>
      <c r="H6" s="26"/>
      <c r="I6" s="23"/>
      <c r="J6" s="21">
        <f>SUM(I7:I8)</f>
        <v>34000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ht="15.75" customHeight="1">
      <c r="A7" s="37" t="s">
        <v>20</v>
      </c>
      <c r="B7" s="19" t="s">
        <v>21</v>
      </c>
      <c r="C7" s="20">
        <v>16000.0</v>
      </c>
      <c r="D7" s="20">
        <v>16000.0</v>
      </c>
      <c r="E7" s="22"/>
      <c r="F7" s="22"/>
      <c r="G7" s="22"/>
      <c r="H7" s="23"/>
      <c r="I7" s="29">
        <f t="shared" ref="I7:I8" si="1">SUM(D7:H7)</f>
        <v>16000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ht="15.75" customHeight="1">
      <c r="A8" s="39"/>
      <c r="B8" s="19" t="s">
        <v>15</v>
      </c>
      <c r="C8" s="20">
        <v>18000.0</v>
      </c>
      <c r="D8" s="20">
        <v>18000.0</v>
      </c>
      <c r="E8" s="22"/>
      <c r="F8" s="22"/>
      <c r="G8" s="22"/>
      <c r="H8" s="23"/>
      <c r="I8" s="29">
        <f t="shared" si="1"/>
        <v>18000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ht="15.75" customHeight="1">
      <c r="A9" s="27">
        <v>641.0</v>
      </c>
      <c r="B9" s="28" t="s">
        <v>24</v>
      </c>
      <c r="C9" s="26"/>
      <c r="D9" s="26"/>
      <c r="E9" s="26"/>
      <c r="F9" s="26"/>
      <c r="G9" s="26"/>
      <c r="H9" s="26"/>
      <c r="I9" s="23"/>
      <c r="J9" s="21">
        <f>SUM(I10)</f>
        <v>33000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ht="15.75" customHeight="1">
      <c r="A10" s="37" t="s">
        <v>28</v>
      </c>
      <c r="B10" s="19" t="s">
        <v>29</v>
      </c>
      <c r="C10" s="20">
        <v>33000.0</v>
      </c>
      <c r="D10" s="20">
        <v>33000.0</v>
      </c>
      <c r="E10" s="22"/>
      <c r="F10" s="22"/>
      <c r="G10" s="22"/>
      <c r="H10" s="23"/>
      <c r="I10" s="29">
        <f>SUM(D10:H10)</f>
        <v>33000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ht="15.75" customHeight="1">
      <c r="A11" s="30"/>
      <c r="B11" s="24" t="s">
        <v>12</v>
      </c>
      <c r="C11" s="31">
        <f t="shared" ref="C11:I11" si="2">SUM(C7:C10)</f>
        <v>67000</v>
      </c>
      <c r="D11" s="31">
        <f t="shared" si="2"/>
        <v>67000</v>
      </c>
      <c r="E11" s="31">
        <f t="shared" si="2"/>
        <v>0</v>
      </c>
      <c r="F11" s="31">
        <f t="shared" si="2"/>
        <v>0</v>
      </c>
      <c r="G11" s="31">
        <f t="shared" si="2"/>
        <v>0</v>
      </c>
      <c r="H11" s="31">
        <f t="shared" si="2"/>
        <v>0</v>
      </c>
      <c r="I11" s="31">
        <f t="shared" si="2"/>
        <v>67000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>
      <c r="A12" s="47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>
      <c r="A13" s="52" t="s">
        <v>36</v>
      </c>
      <c r="B13" s="54" t="s">
        <v>39</v>
      </c>
      <c r="C13" s="55"/>
      <c r="D13" s="55"/>
      <c r="E13" s="55"/>
      <c r="F13" s="55"/>
      <c r="G13" s="55"/>
      <c r="H13" s="55"/>
      <c r="I13" s="55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</row>
    <row r="14">
      <c r="A14" s="62">
        <v>609.0</v>
      </c>
      <c r="B14" s="54" t="s">
        <v>49</v>
      </c>
      <c r="C14" s="55"/>
      <c r="D14" s="55"/>
      <c r="E14" s="55"/>
      <c r="F14" s="55"/>
      <c r="G14" s="55"/>
      <c r="H14" s="55"/>
      <c r="I14" s="55"/>
      <c r="J14" s="68">
        <f>SUM(I15)</f>
        <v>25000</v>
      </c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</row>
    <row r="15">
      <c r="A15" s="69" t="s">
        <v>50</v>
      </c>
      <c r="B15" s="70" t="s">
        <v>51</v>
      </c>
      <c r="C15" s="71">
        <v>25000.0</v>
      </c>
      <c r="D15" s="71">
        <v>25000.0</v>
      </c>
      <c r="E15" s="72"/>
      <c r="F15" s="72"/>
      <c r="G15" s="72"/>
      <c r="H15" s="72"/>
      <c r="I15" s="74">
        <f>SUM(D15:H15)</f>
        <v>25000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</row>
    <row r="16">
      <c r="A16" s="77"/>
      <c r="B16" s="79">
        <v>1330.0</v>
      </c>
      <c r="C16" s="82">
        <f t="shared" ref="C16:I16" si="3">SUM(C15)</f>
        <v>25000</v>
      </c>
      <c r="D16" s="82">
        <f t="shared" si="3"/>
        <v>25000</v>
      </c>
      <c r="E16" s="82">
        <f t="shared" si="3"/>
        <v>0</v>
      </c>
      <c r="F16" s="82">
        <f t="shared" si="3"/>
        <v>0</v>
      </c>
      <c r="G16" s="82">
        <f t="shared" si="3"/>
        <v>0</v>
      </c>
      <c r="H16" s="82">
        <f t="shared" si="3"/>
        <v>0</v>
      </c>
      <c r="I16" s="82">
        <f t="shared" si="3"/>
        <v>25000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7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 ht="15.75" customHeight="1">
      <c r="A18" s="33">
        <v>1340.0</v>
      </c>
      <c r="B18" s="34" t="s">
        <v>17</v>
      </c>
      <c r="C18" s="26"/>
      <c r="D18" s="26"/>
      <c r="E18" s="26"/>
      <c r="F18" s="26"/>
      <c r="G18" s="26"/>
      <c r="H18" s="26"/>
      <c r="I18" s="23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ht="15.75" customHeight="1">
      <c r="A19" s="27">
        <v>609.0</v>
      </c>
      <c r="B19" s="28" t="s">
        <v>60</v>
      </c>
      <c r="C19" s="26"/>
      <c r="D19" s="26"/>
      <c r="E19" s="26"/>
      <c r="F19" s="26"/>
      <c r="G19" s="26"/>
      <c r="H19" s="26"/>
      <c r="I19" s="23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ht="15.75" customHeight="1">
      <c r="A20" s="88" t="s">
        <v>64</v>
      </c>
      <c r="B20" s="36" t="s">
        <v>19</v>
      </c>
      <c r="C20" s="38">
        <v>70000.0</v>
      </c>
      <c r="D20" s="38">
        <v>70000.0</v>
      </c>
      <c r="E20" s="22"/>
      <c r="F20" s="22"/>
      <c r="G20" s="22"/>
      <c r="H20" s="23"/>
      <c r="I20" s="29">
        <f>SUM(D20:H20)</f>
        <v>70000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ht="15.75" customHeight="1">
      <c r="A21" s="30"/>
      <c r="B21" s="33">
        <v>1340.0</v>
      </c>
      <c r="C21" s="31">
        <f t="shared" ref="C21:I21" si="4">SUM(C20)</f>
        <v>70000</v>
      </c>
      <c r="D21" s="31">
        <f t="shared" si="4"/>
        <v>70000</v>
      </c>
      <c r="E21" s="31">
        <f t="shared" si="4"/>
        <v>0</v>
      </c>
      <c r="F21" s="31">
        <f t="shared" si="4"/>
        <v>0</v>
      </c>
      <c r="G21" s="31">
        <f t="shared" si="4"/>
        <v>0</v>
      </c>
      <c r="H21" s="31">
        <f t="shared" si="4"/>
        <v>0</v>
      </c>
      <c r="I21" s="31">
        <f t="shared" si="4"/>
        <v>70000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ht="15.75" customHeight="1">
      <c r="A22" s="40"/>
      <c r="B22" s="41"/>
      <c r="C22" s="42"/>
      <c r="D22" s="20"/>
      <c r="E22" s="21"/>
      <c r="F22" s="22"/>
      <c r="G22" s="22"/>
      <c r="H22" s="22"/>
      <c r="I22" s="2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ht="15.75" customHeight="1">
      <c r="A23" s="43" t="s">
        <v>22</v>
      </c>
      <c r="B23" s="44" t="s">
        <v>23</v>
      </c>
      <c r="C23" s="42"/>
      <c r="D23" s="20"/>
      <c r="E23" s="21"/>
      <c r="F23" s="22"/>
      <c r="G23" s="22"/>
      <c r="H23" s="22"/>
      <c r="I23" s="23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ht="15.75" customHeight="1">
      <c r="A24" s="43" t="s">
        <v>88</v>
      </c>
      <c r="B24" s="44" t="s">
        <v>89</v>
      </c>
      <c r="C24" s="42"/>
      <c r="D24" s="42"/>
      <c r="E24" s="21"/>
      <c r="F24" s="22"/>
      <c r="G24" s="22"/>
      <c r="H24" s="22"/>
      <c r="I24" s="42"/>
      <c r="J24" s="21">
        <f>SUM(I25:I28)</f>
        <v>11080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ht="15.75" customHeight="1">
      <c r="A25" s="59" t="s">
        <v>92</v>
      </c>
      <c r="B25" s="19" t="s">
        <v>32</v>
      </c>
      <c r="C25" s="20">
        <v>1740.0</v>
      </c>
      <c r="D25" s="20">
        <v>1740.0</v>
      </c>
      <c r="E25" s="117"/>
      <c r="F25" s="22"/>
      <c r="G25" s="22"/>
      <c r="H25" s="22"/>
      <c r="I25" s="29">
        <f t="shared" ref="I25:I28" si="5">SUM(D25:H25)</f>
        <v>1740</v>
      </c>
      <c r="J25" s="11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ht="15.75" customHeight="1">
      <c r="A26" s="40"/>
      <c r="B26" s="19" t="s">
        <v>33</v>
      </c>
      <c r="C26" s="20">
        <v>840.0</v>
      </c>
      <c r="D26" s="20">
        <v>840.0</v>
      </c>
      <c r="E26" s="117"/>
      <c r="F26" s="21"/>
      <c r="G26" s="21"/>
      <c r="H26" s="21"/>
      <c r="I26" s="29">
        <f t="shared" si="5"/>
        <v>840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ht="15.75" customHeight="1">
      <c r="A27" s="40"/>
      <c r="B27" s="19" t="s">
        <v>34</v>
      </c>
      <c r="C27" s="20">
        <v>5000.0</v>
      </c>
      <c r="D27" s="20">
        <v>5000.0</v>
      </c>
      <c r="E27" s="117"/>
      <c r="F27" s="22"/>
      <c r="G27" s="22"/>
      <c r="H27" s="22"/>
      <c r="I27" s="29">
        <f t="shared" si="5"/>
        <v>5000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ht="15.75" customHeight="1">
      <c r="A28" s="40"/>
      <c r="B28" s="19" t="s">
        <v>35</v>
      </c>
      <c r="C28" s="20">
        <v>3500.0</v>
      </c>
      <c r="D28" s="20">
        <v>3500.0</v>
      </c>
      <c r="E28" s="117"/>
      <c r="F28" s="22"/>
      <c r="G28" s="22"/>
      <c r="H28" s="22"/>
      <c r="I28" s="29">
        <f t="shared" si="5"/>
        <v>3500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ht="15.75" customHeight="1">
      <c r="A29" s="43" t="s">
        <v>99</v>
      </c>
      <c r="B29" s="44" t="s">
        <v>26</v>
      </c>
      <c r="C29" s="42"/>
      <c r="D29" s="20"/>
      <c r="E29" s="21"/>
      <c r="F29" s="22"/>
      <c r="G29" s="22"/>
      <c r="H29" s="22"/>
      <c r="I29" s="23"/>
      <c r="J29" s="21">
        <f>SUM(I30)</f>
        <v>25000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ht="15.75" customHeight="1">
      <c r="A30" s="59" t="s">
        <v>110</v>
      </c>
      <c r="B30" s="19" t="s">
        <v>30</v>
      </c>
      <c r="C30" s="20">
        <v>25000.0</v>
      </c>
      <c r="D30" s="20">
        <v>25000.0</v>
      </c>
      <c r="E30" s="21"/>
      <c r="F30" s="22"/>
      <c r="G30" s="22"/>
      <c r="H30" s="22"/>
      <c r="I30" s="29">
        <f>SUM(D30:H30)</f>
        <v>25000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ht="15.75" customHeight="1">
      <c r="A31" s="40"/>
      <c r="B31" s="45">
        <v>1510.0</v>
      </c>
      <c r="C31" s="46">
        <f t="shared" ref="C31:I31" si="6">SUM(C25:C30)</f>
        <v>36080</v>
      </c>
      <c r="D31" s="46">
        <f t="shared" si="6"/>
        <v>36080</v>
      </c>
      <c r="E31" s="46">
        <f t="shared" si="6"/>
        <v>0</v>
      </c>
      <c r="F31" s="46">
        <f t="shared" si="6"/>
        <v>0</v>
      </c>
      <c r="G31" s="46">
        <f t="shared" si="6"/>
        <v>0</v>
      </c>
      <c r="H31" s="46">
        <f t="shared" si="6"/>
        <v>0</v>
      </c>
      <c r="I31" s="46">
        <f t="shared" si="6"/>
        <v>36080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ht="15.75" customHeight="1">
      <c r="A32" s="40"/>
      <c r="B32" s="49"/>
      <c r="C32" s="51"/>
      <c r="D32" s="51"/>
      <c r="E32" s="51"/>
      <c r="F32" s="51"/>
      <c r="G32" s="51"/>
      <c r="H32" s="51"/>
      <c r="I32" s="51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ht="15.75" customHeight="1">
      <c r="A33" s="43" t="s">
        <v>37</v>
      </c>
      <c r="B33" s="44" t="s">
        <v>38</v>
      </c>
      <c r="C33" s="42"/>
      <c r="D33" s="20"/>
      <c r="E33" s="21"/>
      <c r="F33" s="22"/>
      <c r="G33" s="22"/>
      <c r="H33" s="22"/>
      <c r="I33" s="23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ht="15.75" customHeight="1">
      <c r="A34" s="43" t="s">
        <v>127</v>
      </c>
      <c r="B34" s="44" t="s">
        <v>128</v>
      </c>
      <c r="C34" s="42"/>
      <c r="D34" s="20"/>
      <c r="E34" s="21"/>
      <c r="F34" s="143" t="s">
        <v>129</v>
      </c>
      <c r="G34" s="22"/>
      <c r="H34" s="22"/>
      <c r="I34" s="23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ht="15.75" customHeight="1">
      <c r="A35" s="144" t="s">
        <v>43</v>
      </c>
      <c r="B35" s="145" t="s">
        <v>46</v>
      </c>
      <c r="C35" s="146">
        <v>815333.4</v>
      </c>
      <c r="D35" s="146">
        <v>187772.57</v>
      </c>
      <c r="E35" s="147"/>
      <c r="F35" s="146">
        <v>74240.4</v>
      </c>
      <c r="G35" s="146"/>
      <c r="H35" s="146">
        <v>553320.43</v>
      </c>
      <c r="I35" s="29">
        <f>SUM(D35:H35)</f>
        <v>815333.4</v>
      </c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</row>
    <row r="36" ht="15.75" customHeight="1">
      <c r="A36" s="40"/>
      <c r="B36" s="45">
        <v>1522.0</v>
      </c>
      <c r="C36" s="46">
        <f t="shared" ref="C36:I36" si="7">SUM(C35)</f>
        <v>815333.4</v>
      </c>
      <c r="D36" s="46">
        <f t="shared" si="7"/>
        <v>187772.57</v>
      </c>
      <c r="E36" s="46">
        <f t="shared" si="7"/>
        <v>0</v>
      </c>
      <c r="F36" s="46">
        <f t="shared" si="7"/>
        <v>74240.4</v>
      </c>
      <c r="G36" s="46">
        <f t="shared" si="7"/>
        <v>0</v>
      </c>
      <c r="H36" s="46">
        <f t="shared" si="7"/>
        <v>553320.43</v>
      </c>
      <c r="I36" s="46">
        <f t="shared" si="7"/>
        <v>815333.4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ht="15.75" customHeight="1">
      <c r="A37" s="30"/>
      <c r="B37" s="73"/>
      <c r="C37" s="22"/>
      <c r="D37" s="22"/>
      <c r="E37" s="22"/>
      <c r="F37" s="22"/>
      <c r="G37" s="22"/>
      <c r="H37" s="23"/>
      <c r="I37" s="23"/>
      <c r="J37" s="6"/>
      <c r="K37" s="6"/>
      <c r="L37" s="75"/>
      <c r="M37" s="75"/>
      <c r="N37" s="7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ht="15.75" customHeight="1">
      <c r="A38" s="33">
        <v>1530.0</v>
      </c>
      <c r="B38" s="34" t="s">
        <v>52</v>
      </c>
      <c r="C38" s="22"/>
      <c r="D38" s="22"/>
      <c r="E38" s="22"/>
      <c r="F38" s="22"/>
      <c r="G38" s="22"/>
      <c r="H38" s="23"/>
      <c r="I38" s="23"/>
      <c r="J38" s="6"/>
      <c r="K38" s="6"/>
      <c r="L38" s="75"/>
      <c r="M38" s="75"/>
      <c r="N38" s="7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ht="15.75" customHeight="1">
      <c r="A39" s="33">
        <v>619.0</v>
      </c>
      <c r="B39" s="35" t="s">
        <v>53</v>
      </c>
      <c r="C39" s="85"/>
      <c r="D39" s="85"/>
      <c r="E39" s="85"/>
      <c r="F39" s="152" t="s">
        <v>146</v>
      </c>
      <c r="G39" s="85"/>
      <c r="H39" s="85"/>
      <c r="I39" s="23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ht="15.75" customHeight="1">
      <c r="A40" s="88" t="s">
        <v>57</v>
      </c>
      <c r="B40" s="99" t="s">
        <v>58</v>
      </c>
      <c r="C40" s="133">
        <v>488703.95</v>
      </c>
      <c r="D40" s="133">
        <v>186509.22</v>
      </c>
      <c r="E40" s="32"/>
      <c r="F40" s="22"/>
      <c r="G40" s="20"/>
      <c r="H40" s="153">
        <v>302194.73</v>
      </c>
      <c r="I40" s="22">
        <f t="shared" ref="I40:I41" si="8">SUM(D40:H40)</f>
        <v>488703.95</v>
      </c>
      <c r="J40" s="6"/>
      <c r="K40" s="6"/>
      <c r="L40" s="99"/>
      <c r="M40" s="99"/>
      <c r="N40" s="9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ht="15.75" customHeight="1">
      <c r="A41" s="88" t="s">
        <v>67</v>
      </c>
      <c r="B41" s="19" t="s">
        <v>68</v>
      </c>
      <c r="C41" s="20">
        <v>736402.98</v>
      </c>
      <c r="D41" s="20">
        <v>736402.98</v>
      </c>
      <c r="E41" s="32"/>
      <c r="F41" s="22"/>
      <c r="G41" s="22"/>
      <c r="H41" s="23"/>
      <c r="I41" s="22">
        <f t="shared" si="8"/>
        <v>736402.98</v>
      </c>
      <c r="J41" s="6"/>
      <c r="K41" s="6"/>
      <c r="L41" s="32"/>
      <c r="M41" s="32"/>
      <c r="N41" s="7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ht="15.75" customHeight="1">
      <c r="A42" s="88" t="s">
        <v>153</v>
      </c>
      <c r="B42" s="19" t="s">
        <v>154</v>
      </c>
      <c r="C42" s="20">
        <v>23958.0</v>
      </c>
      <c r="D42" s="20">
        <v>23958.0</v>
      </c>
      <c r="E42" s="32"/>
      <c r="F42" s="22"/>
      <c r="G42" s="22"/>
      <c r="H42" s="23"/>
      <c r="I42" s="20">
        <v>23958.0</v>
      </c>
      <c r="J42" s="6"/>
      <c r="K42" s="6"/>
      <c r="L42" s="32"/>
      <c r="M42" s="32"/>
      <c r="N42" s="7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ht="15.75" customHeight="1">
      <c r="A43" s="88" t="s">
        <v>159</v>
      </c>
      <c r="B43" s="101" t="s">
        <v>62</v>
      </c>
      <c r="C43" s="103">
        <v>123000.0</v>
      </c>
      <c r="D43" s="103">
        <v>123000.0</v>
      </c>
      <c r="E43" s="32"/>
      <c r="F43" s="22"/>
      <c r="G43" s="22"/>
      <c r="H43" s="23"/>
      <c r="I43" s="22">
        <f t="shared" ref="I43:I53" si="9">SUM(D43:H43)</f>
        <v>123000</v>
      </c>
      <c r="J43" s="6"/>
      <c r="K43" s="6"/>
      <c r="L43" s="99"/>
      <c r="M43" s="99"/>
      <c r="N43" s="9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ht="15.75" customHeight="1">
      <c r="A44" s="30"/>
      <c r="B44" s="106" t="s">
        <v>75</v>
      </c>
      <c r="C44" s="107">
        <v>242400.0</v>
      </c>
      <c r="D44" s="107">
        <v>236400.0</v>
      </c>
      <c r="E44" s="22"/>
      <c r="F44" s="20">
        <v>6000.0</v>
      </c>
      <c r="G44" s="22"/>
      <c r="H44" s="23"/>
      <c r="I44" s="29">
        <f t="shared" si="9"/>
        <v>242400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ht="15.75" customHeight="1">
      <c r="A45" s="30"/>
      <c r="B45" s="36" t="s">
        <v>82</v>
      </c>
      <c r="C45" s="38">
        <v>60000.0</v>
      </c>
      <c r="D45" s="38">
        <v>60000.0</v>
      </c>
      <c r="E45" s="22"/>
      <c r="F45" s="22"/>
      <c r="G45" s="22"/>
      <c r="H45" s="23"/>
      <c r="I45" s="29">
        <f t="shared" si="9"/>
        <v>60000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ht="15.75" customHeight="1">
      <c r="A46" s="30"/>
      <c r="B46" s="36" t="s">
        <v>84</v>
      </c>
      <c r="C46" s="38">
        <v>40000.0</v>
      </c>
      <c r="D46" s="38">
        <v>40000.0</v>
      </c>
      <c r="E46" s="22"/>
      <c r="F46" s="22"/>
      <c r="G46" s="22"/>
      <c r="H46" s="23"/>
      <c r="I46" s="29">
        <f t="shared" si="9"/>
        <v>40000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ht="15.75" customHeight="1">
      <c r="A47" s="30"/>
      <c r="B47" s="36" t="s">
        <v>86</v>
      </c>
      <c r="C47" s="38">
        <v>15000.0</v>
      </c>
      <c r="D47" s="38">
        <v>15000.0</v>
      </c>
      <c r="E47" s="22"/>
      <c r="F47" s="22"/>
      <c r="G47" s="22"/>
      <c r="H47" s="23"/>
      <c r="I47" s="29">
        <f t="shared" si="9"/>
        <v>15000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ht="15.75" customHeight="1">
      <c r="A48" s="30"/>
      <c r="B48" s="36" t="s">
        <v>87</v>
      </c>
      <c r="C48" s="38">
        <v>25000.0</v>
      </c>
      <c r="D48" s="38">
        <v>25000.0</v>
      </c>
      <c r="E48" s="22"/>
      <c r="F48" s="22"/>
      <c r="G48" s="22"/>
      <c r="H48" s="23"/>
      <c r="I48" s="29">
        <f t="shared" si="9"/>
        <v>25000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ht="15.75" customHeight="1">
      <c r="A49" s="30"/>
      <c r="B49" s="36" t="s">
        <v>180</v>
      </c>
      <c r="C49" s="38">
        <v>22937.45</v>
      </c>
      <c r="D49" s="38">
        <v>22937.45</v>
      </c>
      <c r="E49" s="22"/>
      <c r="F49" s="22"/>
      <c r="G49" s="22"/>
      <c r="H49" s="23"/>
      <c r="I49" s="29">
        <f t="shared" si="9"/>
        <v>22937.45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ht="15.75" customHeight="1">
      <c r="A50" s="30"/>
      <c r="B50" s="36" t="s">
        <v>184</v>
      </c>
      <c r="C50" s="38">
        <v>100000.0</v>
      </c>
      <c r="D50" s="38">
        <v>100000.0</v>
      </c>
      <c r="E50" s="22"/>
      <c r="F50" s="22"/>
      <c r="G50" s="22"/>
      <c r="H50" s="23"/>
      <c r="I50" s="29">
        <f t="shared" si="9"/>
        <v>100000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ht="15.75" customHeight="1">
      <c r="A51" s="30"/>
      <c r="B51" s="36" t="s">
        <v>186</v>
      </c>
      <c r="C51" s="38">
        <v>100000.0</v>
      </c>
      <c r="D51" s="38">
        <v>100000.0</v>
      </c>
      <c r="E51" s="22"/>
      <c r="F51" s="22"/>
      <c r="G51" s="22"/>
      <c r="H51" s="23"/>
      <c r="I51" s="29">
        <f t="shared" si="9"/>
        <v>100000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ht="15.75" customHeight="1">
      <c r="A52" s="59" t="s">
        <v>189</v>
      </c>
      <c r="B52" s="19" t="s">
        <v>190</v>
      </c>
      <c r="C52" s="20">
        <v>100000.0</v>
      </c>
      <c r="D52" s="20">
        <v>100000.0</v>
      </c>
      <c r="E52" s="21"/>
      <c r="F52" s="22"/>
      <c r="G52" s="22"/>
      <c r="H52" s="22"/>
      <c r="I52" s="29">
        <f t="shared" si="9"/>
        <v>100000</v>
      </c>
      <c r="J52" s="117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ht="15.75" customHeight="1">
      <c r="A53" s="43"/>
      <c r="B53" s="19" t="s">
        <v>195</v>
      </c>
      <c r="C53" s="20">
        <v>150000.0</v>
      </c>
      <c r="D53" s="20">
        <v>150000.0</v>
      </c>
      <c r="E53" s="21"/>
      <c r="F53" s="22"/>
      <c r="G53" s="22"/>
      <c r="H53" s="22"/>
      <c r="I53" s="29">
        <f t="shared" si="9"/>
        <v>150000</v>
      </c>
      <c r="J53" s="117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ht="15.75" customHeight="1">
      <c r="A54" s="30"/>
      <c r="B54" s="33">
        <v>1530.0</v>
      </c>
      <c r="C54" s="31">
        <f t="shared" ref="C54:I54" si="10">SUM(C40:C53)</f>
        <v>2227402.38</v>
      </c>
      <c r="D54" s="31">
        <f t="shared" si="10"/>
        <v>1919207.65</v>
      </c>
      <c r="E54" s="31">
        <f t="shared" si="10"/>
        <v>0</v>
      </c>
      <c r="F54" s="31">
        <f t="shared" si="10"/>
        <v>6000</v>
      </c>
      <c r="G54" s="31">
        <f t="shared" si="10"/>
        <v>0</v>
      </c>
      <c r="H54" s="31">
        <f t="shared" si="10"/>
        <v>302194.73</v>
      </c>
      <c r="I54" s="31">
        <f t="shared" si="10"/>
        <v>2227402.38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ht="15.75" customHeight="1">
      <c r="A55" s="120"/>
      <c r="B55" s="99"/>
      <c r="C55" s="21"/>
      <c r="D55" s="21"/>
      <c r="E55" s="21"/>
      <c r="F55" s="21"/>
      <c r="G55" s="21"/>
      <c r="H55" s="21"/>
      <c r="I55" s="122"/>
      <c r="J55" s="123"/>
      <c r="K55" s="123"/>
      <c r="L55" s="123"/>
      <c r="M55" s="123"/>
      <c r="N55" s="123"/>
      <c r="O55" s="123"/>
      <c r="P55" s="123"/>
      <c r="Q55" s="123"/>
      <c r="R55" s="123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ht="15.75" customHeight="1">
      <c r="A56" s="126" t="s">
        <v>208</v>
      </c>
      <c r="B56" s="127" t="s">
        <v>209</v>
      </c>
      <c r="C56" s="21"/>
      <c r="D56" s="21"/>
      <c r="E56" s="21"/>
      <c r="F56" s="21"/>
      <c r="G56" s="21"/>
      <c r="H56" s="21"/>
      <c r="I56" s="122"/>
      <c r="J56" s="123"/>
      <c r="K56" s="123"/>
      <c r="L56" s="123"/>
      <c r="M56" s="123"/>
      <c r="N56" s="123"/>
      <c r="O56" s="123"/>
      <c r="P56" s="123"/>
      <c r="Q56" s="123"/>
      <c r="R56" s="123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ht="15.75" customHeight="1">
      <c r="A57" s="126" t="s">
        <v>25</v>
      </c>
      <c r="B57" s="127" t="s">
        <v>53</v>
      </c>
      <c r="C57" s="21"/>
      <c r="D57" s="21"/>
      <c r="E57" s="21"/>
      <c r="F57" s="21"/>
      <c r="G57" s="21"/>
      <c r="H57" s="21"/>
      <c r="I57" s="122"/>
      <c r="J57" s="123"/>
      <c r="K57" s="123"/>
      <c r="L57" s="123"/>
      <c r="M57" s="123"/>
      <c r="N57" s="123"/>
      <c r="O57" s="123"/>
      <c r="P57" s="123"/>
      <c r="Q57" s="123"/>
      <c r="R57" s="123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ht="15.75" customHeight="1">
      <c r="A58" s="120" t="s">
        <v>217</v>
      </c>
      <c r="B58" s="131" t="s">
        <v>103</v>
      </c>
      <c r="C58" s="103">
        <v>40000.0</v>
      </c>
      <c r="D58" s="133">
        <f t="shared" ref="D58:D61" si="11">C58</f>
        <v>40000</v>
      </c>
      <c r="E58" s="103"/>
      <c r="F58" s="134"/>
      <c r="G58" s="134"/>
      <c r="H58" s="134"/>
      <c r="I58" s="29">
        <f t="shared" ref="I58:I61" si="12">SUM(D58:H58)</f>
        <v>40000</v>
      </c>
      <c r="J58" s="123"/>
      <c r="K58" s="123"/>
      <c r="L58" s="123"/>
      <c r="M58" s="123"/>
      <c r="N58" s="123"/>
      <c r="O58" s="123"/>
      <c r="P58" s="123"/>
      <c r="Q58" s="123"/>
      <c r="R58" s="123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ht="15.75" customHeight="1">
      <c r="A59" s="120"/>
      <c r="B59" s="135" t="s">
        <v>108</v>
      </c>
      <c r="C59" s="103">
        <v>40000.0</v>
      </c>
      <c r="D59" s="133">
        <f t="shared" si="11"/>
        <v>40000</v>
      </c>
      <c r="E59" s="103"/>
      <c r="F59" s="134"/>
      <c r="G59" s="134"/>
      <c r="H59" s="134"/>
      <c r="I59" s="29">
        <f t="shared" si="12"/>
        <v>40000</v>
      </c>
      <c r="J59" s="123"/>
      <c r="K59" s="123"/>
      <c r="L59" s="123"/>
      <c r="M59" s="123"/>
      <c r="N59" s="123"/>
      <c r="O59" s="123"/>
      <c r="P59" s="123"/>
      <c r="Q59" s="123"/>
      <c r="R59" s="123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ht="15.75" customHeight="1">
      <c r="A60" s="120"/>
      <c r="B60" s="135" t="s">
        <v>111</v>
      </c>
      <c r="C60" s="103">
        <v>40000.0</v>
      </c>
      <c r="D60" s="133">
        <f t="shared" si="11"/>
        <v>40000</v>
      </c>
      <c r="E60" s="103"/>
      <c r="F60" s="134"/>
      <c r="G60" s="134"/>
      <c r="H60" s="134"/>
      <c r="I60" s="29">
        <f t="shared" si="12"/>
        <v>40000</v>
      </c>
      <c r="J60" s="123"/>
      <c r="K60" s="123"/>
      <c r="L60" s="123"/>
      <c r="M60" s="123"/>
      <c r="N60" s="123"/>
      <c r="O60" s="123"/>
      <c r="P60" s="123"/>
      <c r="Q60" s="123"/>
      <c r="R60" s="123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ht="15.75" customHeight="1">
      <c r="A61" s="120"/>
      <c r="B61" s="131" t="s">
        <v>113</v>
      </c>
      <c r="C61" s="103">
        <v>5000.0</v>
      </c>
      <c r="D61" s="133">
        <f t="shared" si="11"/>
        <v>5000</v>
      </c>
      <c r="E61" s="103"/>
      <c r="F61" s="134"/>
      <c r="G61" s="134"/>
      <c r="H61" s="134"/>
      <c r="I61" s="29">
        <f t="shared" si="12"/>
        <v>5000</v>
      </c>
      <c r="J61" s="123"/>
      <c r="K61" s="123"/>
      <c r="L61" s="123"/>
      <c r="M61" s="123"/>
      <c r="N61" s="123"/>
      <c r="O61" s="123"/>
      <c r="P61" s="123"/>
      <c r="Q61" s="123"/>
      <c r="R61" s="123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ht="15.75" customHeight="1">
      <c r="A62" s="30"/>
      <c r="B62" s="27">
        <v>1600.0</v>
      </c>
      <c r="C62" s="31">
        <f t="shared" ref="C62:I62" si="13">SUM(C58:C61)</f>
        <v>125000</v>
      </c>
      <c r="D62" s="31">
        <f t="shared" si="13"/>
        <v>125000</v>
      </c>
      <c r="E62" s="31">
        <f t="shared" si="13"/>
        <v>0</v>
      </c>
      <c r="F62" s="31">
        <f t="shared" si="13"/>
        <v>0</v>
      </c>
      <c r="G62" s="31">
        <f t="shared" si="13"/>
        <v>0</v>
      </c>
      <c r="H62" s="31">
        <f t="shared" si="13"/>
        <v>0</v>
      </c>
      <c r="I62" s="31">
        <f t="shared" si="13"/>
        <v>125000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ht="15.75" customHeight="1">
      <c r="A63" s="120"/>
      <c r="B63" s="99"/>
      <c r="C63" s="21"/>
      <c r="D63" s="21"/>
      <c r="E63" s="21"/>
      <c r="F63" s="21"/>
      <c r="G63" s="21"/>
      <c r="H63" s="21"/>
      <c r="I63" s="122"/>
      <c r="J63" s="123"/>
      <c r="K63" s="123"/>
      <c r="L63" s="123"/>
      <c r="M63" s="123"/>
      <c r="N63" s="123"/>
      <c r="O63" s="123"/>
      <c r="P63" s="123"/>
      <c r="Q63" s="123"/>
      <c r="R63" s="123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ht="15.75" customHeight="1">
      <c r="A64" s="126" t="s">
        <v>97</v>
      </c>
      <c r="B64" s="127" t="s">
        <v>98</v>
      </c>
      <c r="C64" s="21"/>
      <c r="D64" s="21"/>
      <c r="E64" s="21"/>
      <c r="F64" s="21"/>
      <c r="G64" s="21"/>
      <c r="H64" s="21"/>
      <c r="I64" s="122"/>
      <c r="J64" s="123"/>
      <c r="K64" s="123"/>
      <c r="L64" s="123"/>
      <c r="M64" s="123"/>
      <c r="N64" s="123"/>
      <c r="O64" s="123"/>
      <c r="P64" s="123"/>
      <c r="Q64" s="123"/>
      <c r="R64" s="123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ht="15.75" customHeight="1">
      <c r="A65" s="126" t="s">
        <v>25</v>
      </c>
      <c r="B65" s="127" t="s">
        <v>53</v>
      </c>
      <c r="C65" s="21"/>
      <c r="D65" s="21"/>
      <c r="E65" s="21"/>
      <c r="F65" s="21"/>
      <c r="G65" s="21"/>
      <c r="H65" s="21"/>
      <c r="I65" s="122"/>
      <c r="J65" s="122">
        <f>SUM(I66:I68)</f>
        <v>164790</v>
      </c>
      <c r="K65" s="123"/>
      <c r="L65" s="123"/>
      <c r="M65" s="123"/>
      <c r="N65" s="123"/>
      <c r="O65" s="123"/>
      <c r="P65" s="123"/>
      <c r="Q65" s="123"/>
      <c r="R65" s="123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ht="15.75" customHeight="1">
      <c r="A66" s="120" t="s">
        <v>243</v>
      </c>
      <c r="B66" s="99" t="s">
        <v>115</v>
      </c>
      <c r="C66" s="133">
        <v>120000.0</v>
      </c>
      <c r="D66" s="133">
        <f t="shared" ref="D66:D68" si="14">C66</f>
        <v>120000</v>
      </c>
      <c r="E66" s="103"/>
      <c r="F66" s="134"/>
      <c r="G66" s="134"/>
      <c r="H66" s="21"/>
      <c r="I66" s="29">
        <f t="shared" ref="I66:I68" si="15">SUM(D66:H66)</f>
        <v>120000</v>
      </c>
      <c r="J66" s="123"/>
      <c r="K66" s="123"/>
      <c r="L66" s="123"/>
      <c r="M66" s="123"/>
      <c r="N66" s="123"/>
      <c r="O66" s="123"/>
      <c r="P66" s="123"/>
      <c r="Q66" s="123"/>
      <c r="R66" s="123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ht="15.75" customHeight="1">
      <c r="A67" s="120" t="s">
        <v>244</v>
      </c>
      <c r="B67" s="135" t="s">
        <v>133</v>
      </c>
      <c r="C67" s="103">
        <v>30000.0</v>
      </c>
      <c r="D67" s="133">
        <f t="shared" si="14"/>
        <v>30000</v>
      </c>
      <c r="E67" s="103"/>
      <c r="F67" s="134"/>
      <c r="G67" s="134"/>
      <c r="H67" s="134"/>
      <c r="I67" s="29">
        <f t="shared" si="15"/>
        <v>30000</v>
      </c>
      <c r="J67" s="123"/>
      <c r="K67" s="123"/>
      <c r="L67" s="123"/>
      <c r="M67" s="123"/>
      <c r="N67" s="123"/>
      <c r="O67" s="123"/>
      <c r="P67" s="123"/>
      <c r="Q67" s="123"/>
      <c r="R67" s="123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ht="15.75" customHeight="1">
      <c r="A68" s="120"/>
      <c r="B68" s="135" t="s">
        <v>247</v>
      </c>
      <c r="C68" s="103">
        <f>4000+5000+5790</f>
        <v>14790</v>
      </c>
      <c r="D68" s="133">
        <f t="shared" si="14"/>
        <v>14790</v>
      </c>
      <c r="E68" s="103"/>
      <c r="F68" s="134"/>
      <c r="G68" s="134"/>
      <c r="H68" s="134"/>
      <c r="I68" s="29">
        <f t="shared" si="15"/>
        <v>14790</v>
      </c>
      <c r="J68" s="172" t="s">
        <v>136</v>
      </c>
      <c r="K68" s="123"/>
      <c r="L68" s="123"/>
      <c r="M68" s="123"/>
      <c r="N68" s="123"/>
      <c r="O68" s="123"/>
      <c r="P68" s="123"/>
      <c r="Q68" s="123"/>
      <c r="R68" s="123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ht="15.75" customHeight="1">
      <c r="A69" s="126" t="s">
        <v>121</v>
      </c>
      <c r="B69" s="28" t="s">
        <v>123</v>
      </c>
      <c r="C69" s="103"/>
      <c r="D69" s="133"/>
      <c r="E69" s="103"/>
      <c r="F69" s="134"/>
      <c r="G69" s="134"/>
      <c r="H69" s="134"/>
      <c r="I69" s="103"/>
      <c r="J69" s="122">
        <f>SUM(I70:I74)</f>
        <v>47200</v>
      </c>
      <c r="K69" s="123"/>
      <c r="L69" s="123"/>
      <c r="M69" s="123"/>
      <c r="N69" s="123"/>
      <c r="O69" s="123"/>
      <c r="P69" s="123"/>
      <c r="Q69" s="123"/>
      <c r="R69" s="123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ht="15.75" customHeight="1">
      <c r="A70" s="120" t="s">
        <v>249</v>
      </c>
      <c r="B70" s="131" t="s">
        <v>122</v>
      </c>
      <c r="C70" s="103">
        <v>1200.0</v>
      </c>
      <c r="D70" s="133">
        <v>1200.0</v>
      </c>
      <c r="E70" s="117"/>
      <c r="F70" s="134"/>
      <c r="G70" s="134"/>
      <c r="H70" s="134"/>
      <c r="I70" s="29">
        <f t="shared" ref="I70:I74" si="16">SUM(D70:H70)</f>
        <v>1200</v>
      </c>
      <c r="J70" s="123"/>
      <c r="K70" s="123"/>
      <c r="L70" s="123"/>
      <c r="M70" s="123"/>
      <c r="N70" s="123"/>
      <c r="O70" s="123"/>
      <c r="P70" s="123"/>
      <c r="Q70" s="123"/>
      <c r="R70" s="123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ht="15.75" customHeight="1">
      <c r="A71" s="120"/>
      <c r="B71" s="131" t="s">
        <v>124</v>
      </c>
      <c r="C71" s="103">
        <v>12000.0</v>
      </c>
      <c r="D71" s="133">
        <f t="shared" ref="D71:D72" si="17">C71</f>
        <v>12000</v>
      </c>
      <c r="E71" s="133"/>
      <c r="F71" s="134"/>
      <c r="G71" s="134"/>
      <c r="H71" s="134"/>
      <c r="I71" s="29">
        <f t="shared" si="16"/>
        <v>12000</v>
      </c>
      <c r="J71" s="123"/>
      <c r="K71" s="123"/>
      <c r="L71" s="123"/>
      <c r="M71" s="123"/>
      <c r="N71" s="123"/>
      <c r="O71" s="123"/>
      <c r="P71" s="123"/>
      <c r="Q71" s="123"/>
      <c r="R71" s="123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ht="15.75" customHeight="1">
      <c r="A72" s="120"/>
      <c r="B72" s="131" t="s">
        <v>125</v>
      </c>
      <c r="C72" s="103">
        <v>25000.0</v>
      </c>
      <c r="D72" s="133">
        <f t="shared" si="17"/>
        <v>25000</v>
      </c>
      <c r="E72" s="103"/>
      <c r="F72" s="134"/>
      <c r="G72" s="134"/>
      <c r="H72" s="134"/>
      <c r="I72" s="29">
        <f t="shared" si="16"/>
        <v>25000</v>
      </c>
      <c r="J72" s="123"/>
      <c r="K72" s="123"/>
      <c r="L72" s="123"/>
      <c r="M72" s="123"/>
      <c r="N72" s="123"/>
      <c r="O72" s="123"/>
      <c r="P72" s="123"/>
      <c r="Q72" s="123"/>
      <c r="R72" s="123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ht="15.75" customHeight="1">
      <c r="A73" s="120"/>
      <c r="B73" s="131" t="s">
        <v>126</v>
      </c>
      <c r="C73" s="103">
        <v>6000.0</v>
      </c>
      <c r="D73" s="133">
        <v>6000.0</v>
      </c>
      <c r="E73" s="117"/>
      <c r="F73" s="134"/>
      <c r="G73" s="134"/>
      <c r="H73" s="134"/>
      <c r="I73" s="29">
        <f t="shared" si="16"/>
        <v>6000</v>
      </c>
      <c r="J73" s="123"/>
      <c r="K73" s="123"/>
      <c r="L73" s="123"/>
      <c r="M73" s="123"/>
      <c r="N73" s="123"/>
      <c r="O73" s="123"/>
      <c r="P73" s="123"/>
      <c r="Q73" s="123"/>
      <c r="R73" s="123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ht="15.75" customHeight="1">
      <c r="A74" s="120"/>
      <c r="B74" s="131" t="s">
        <v>130</v>
      </c>
      <c r="C74" s="103">
        <v>3000.0</v>
      </c>
      <c r="D74" s="133">
        <v>3000.0</v>
      </c>
      <c r="E74" s="117"/>
      <c r="F74" s="134"/>
      <c r="G74" s="134"/>
      <c r="H74" s="134"/>
      <c r="I74" s="29">
        <f t="shared" si="16"/>
        <v>3000</v>
      </c>
      <c r="J74" s="123"/>
      <c r="K74" s="123"/>
      <c r="L74" s="123"/>
      <c r="M74" s="123"/>
      <c r="N74" s="123"/>
      <c r="O74" s="123"/>
      <c r="P74" s="123"/>
      <c r="Q74" s="123"/>
      <c r="R74" s="123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ht="15.75" customHeight="1">
      <c r="A75" s="120"/>
      <c r="B75" s="45">
        <v>1610.0</v>
      </c>
      <c r="C75" s="46">
        <f t="shared" ref="C75:I75" si="18">SUM(C66:C74)</f>
        <v>211990</v>
      </c>
      <c r="D75" s="46">
        <f t="shared" si="18"/>
        <v>211990</v>
      </c>
      <c r="E75" s="46">
        <f t="shared" si="18"/>
        <v>0</v>
      </c>
      <c r="F75" s="46">
        <f t="shared" si="18"/>
        <v>0</v>
      </c>
      <c r="G75" s="46">
        <f t="shared" si="18"/>
        <v>0</v>
      </c>
      <c r="H75" s="46">
        <f t="shared" si="18"/>
        <v>0</v>
      </c>
      <c r="I75" s="46">
        <f t="shared" si="18"/>
        <v>211990</v>
      </c>
      <c r="J75" s="123"/>
      <c r="K75" s="123"/>
      <c r="L75" s="123"/>
      <c r="M75" s="123"/>
      <c r="N75" s="123"/>
      <c r="O75" s="123"/>
      <c r="P75" s="123"/>
      <c r="Q75" s="123"/>
      <c r="R75" s="123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ht="15.75" customHeight="1">
      <c r="A76" s="18"/>
      <c r="B76" s="19"/>
      <c r="C76" s="20"/>
      <c r="D76" s="20"/>
      <c r="E76" s="21"/>
      <c r="F76" s="22"/>
      <c r="G76" s="22"/>
      <c r="H76" s="22"/>
      <c r="I76" s="23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ht="15.75" customHeight="1">
      <c r="A77" s="33"/>
      <c r="B77" s="34"/>
      <c r="C77" s="23"/>
      <c r="D77" s="23"/>
      <c r="E77" s="122"/>
      <c r="F77" s="23"/>
      <c r="G77" s="23"/>
      <c r="H77" s="23"/>
      <c r="I77" s="23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ht="15.75" customHeight="1">
      <c r="A78" s="33">
        <v>1640.0</v>
      </c>
      <c r="B78" s="34" t="s">
        <v>158</v>
      </c>
      <c r="C78" s="23"/>
      <c r="D78" s="23"/>
      <c r="E78" s="122"/>
      <c r="F78" s="23"/>
      <c r="G78" s="23"/>
      <c r="H78" s="23"/>
      <c r="I78" s="23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ht="15.75" customHeight="1">
      <c r="A79" s="27">
        <v>609.0</v>
      </c>
      <c r="B79" s="28" t="s">
        <v>49</v>
      </c>
      <c r="C79" s="12"/>
      <c r="D79" s="22"/>
      <c r="E79" s="23"/>
      <c r="F79" s="22"/>
      <c r="G79" s="22"/>
      <c r="H79" s="23"/>
      <c r="I79" s="23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ht="15.75" customHeight="1">
      <c r="A80" s="88" t="s">
        <v>262</v>
      </c>
      <c r="B80" s="19" t="s">
        <v>163</v>
      </c>
      <c r="C80" s="20">
        <v>170000.0</v>
      </c>
      <c r="D80" s="20">
        <v>170000.0</v>
      </c>
      <c r="E80" s="22"/>
      <c r="F80" s="22"/>
      <c r="G80" s="22"/>
      <c r="H80" s="23"/>
      <c r="I80" s="29">
        <f>SUM(D80:H80)</f>
        <v>170000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ht="15.75" customHeight="1">
      <c r="A81" s="33">
        <v>622.0</v>
      </c>
      <c r="B81" s="35" t="s">
        <v>100</v>
      </c>
      <c r="C81" s="12"/>
      <c r="D81" s="22"/>
      <c r="E81" s="23"/>
      <c r="F81" s="22"/>
      <c r="G81" s="22"/>
      <c r="H81" s="23"/>
      <c r="I81" s="23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ht="15.75" customHeight="1">
      <c r="A82" s="88" t="s">
        <v>265</v>
      </c>
      <c r="B82" s="19" t="s">
        <v>166</v>
      </c>
      <c r="C82" s="20">
        <v>12000.0</v>
      </c>
      <c r="D82" s="20">
        <v>12000.0</v>
      </c>
      <c r="E82" s="22"/>
      <c r="F82" s="22"/>
      <c r="G82" s="22"/>
      <c r="H82" s="23"/>
      <c r="I82" s="29">
        <f>SUM(D82:H82)</f>
        <v>12000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ht="15.75" customHeight="1">
      <c r="A83" s="30"/>
      <c r="B83" s="33">
        <v>1640.0</v>
      </c>
      <c r="C83" s="31">
        <f t="shared" ref="C83:I83" si="19">SUM(C80:C82)</f>
        <v>182000</v>
      </c>
      <c r="D83" s="31">
        <f t="shared" si="19"/>
        <v>182000</v>
      </c>
      <c r="E83" s="31">
        <f t="shared" si="19"/>
        <v>0</v>
      </c>
      <c r="F83" s="31">
        <f t="shared" si="19"/>
        <v>0</v>
      </c>
      <c r="G83" s="31">
        <f t="shared" si="19"/>
        <v>0</v>
      </c>
      <c r="H83" s="31">
        <f t="shared" si="19"/>
        <v>0</v>
      </c>
      <c r="I83" s="31">
        <f t="shared" si="19"/>
        <v>182000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ht="15.75" customHeight="1">
      <c r="A84" s="126"/>
      <c r="B84" s="127"/>
      <c r="C84" s="133"/>
      <c r="D84" s="133"/>
      <c r="E84" s="103"/>
      <c r="F84" s="134"/>
      <c r="G84" s="134"/>
      <c r="H84" s="134"/>
      <c r="I84" s="103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ht="15.75" customHeight="1">
      <c r="A85" s="24" t="s">
        <v>170</v>
      </c>
      <c r="B85" s="25" t="s">
        <v>271</v>
      </c>
      <c r="C85" s="26"/>
      <c r="D85" s="26"/>
      <c r="E85" s="26"/>
      <c r="F85" s="26"/>
      <c r="G85" s="26"/>
      <c r="H85" s="26"/>
      <c r="I85" s="23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ht="15.75" customHeight="1">
      <c r="A86" s="27">
        <v>609.0</v>
      </c>
      <c r="B86" s="28" t="s">
        <v>49</v>
      </c>
      <c r="C86" s="26"/>
      <c r="D86" s="26"/>
      <c r="E86" s="26"/>
      <c r="F86" s="26"/>
      <c r="G86" s="26"/>
      <c r="H86" s="26"/>
      <c r="I86" s="23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ht="15.75" customHeight="1">
      <c r="A87" s="37"/>
      <c r="B87" s="19" t="s">
        <v>274</v>
      </c>
      <c r="C87" s="20">
        <v>30000.0</v>
      </c>
      <c r="D87" s="20">
        <v>30000.0</v>
      </c>
      <c r="E87" s="22"/>
      <c r="F87" s="22"/>
      <c r="G87" s="22"/>
      <c r="H87" s="23"/>
      <c r="I87" s="29">
        <f>SUM(D87:H87)</f>
        <v>30000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ht="15.75" customHeight="1">
      <c r="A88" s="30"/>
      <c r="B88" s="24" t="s">
        <v>170</v>
      </c>
      <c r="C88" s="31">
        <f t="shared" ref="C88:I88" si="20">SUM(C87)</f>
        <v>30000</v>
      </c>
      <c r="D88" s="31">
        <f t="shared" si="20"/>
        <v>30000</v>
      </c>
      <c r="E88" s="31">
        <f t="shared" si="20"/>
        <v>0</v>
      </c>
      <c r="F88" s="31">
        <f t="shared" si="20"/>
        <v>0</v>
      </c>
      <c r="G88" s="31">
        <f t="shared" si="20"/>
        <v>0</v>
      </c>
      <c r="H88" s="31">
        <f t="shared" si="20"/>
        <v>0</v>
      </c>
      <c r="I88" s="31">
        <f t="shared" si="20"/>
        <v>30000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ht="15.75" customHeight="1">
      <c r="A89" s="126"/>
      <c r="B89" s="127"/>
      <c r="C89" s="133"/>
      <c r="D89" s="133"/>
      <c r="E89" s="103"/>
      <c r="F89" s="134"/>
      <c r="G89" s="134"/>
      <c r="H89" s="134"/>
      <c r="I89" s="103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ht="15.75" customHeight="1">
      <c r="A90" s="126" t="s">
        <v>201</v>
      </c>
      <c r="B90" s="127" t="s">
        <v>202</v>
      </c>
      <c r="C90" s="133"/>
      <c r="D90" s="133"/>
      <c r="E90" s="103"/>
      <c r="F90" s="134"/>
      <c r="G90" s="134"/>
      <c r="H90" s="134"/>
      <c r="I90" s="103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ht="15.75" customHeight="1">
      <c r="A91" s="126" t="s">
        <v>25</v>
      </c>
      <c r="B91" s="127" t="s">
        <v>26</v>
      </c>
      <c r="C91" s="21"/>
      <c r="D91" s="21"/>
      <c r="E91" s="21"/>
      <c r="F91" s="21"/>
      <c r="G91" s="21"/>
      <c r="H91" s="21"/>
      <c r="I91" s="21"/>
      <c r="J91" s="21">
        <f>SUM(I92:I96)</f>
        <v>620000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ht="15.75" customHeight="1">
      <c r="A92" s="59" t="s">
        <v>280</v>
      </c>
      <c r="B92" s="135" t="s">
        <v>205</v>
      </c>
      <c r="C92" s="166">
        <v>200000.0</v>
      </c>
      <c r="D92" s="166">
        <v>200000.0</v>
      </c>
      <c r="E92" s="21"/>
      <c r="F92" s="22"/>
      <c r="G92" s="22"/>
      <c r="H92" s="22"/>
      <c r="I92" s="29">
        <f t="shared" ref="I92:I96" si="21">SUM(D92:H92)</f>
        <v>200000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ht="15.75" customHeight="1">
      <c r="A93" s="59" t="s">
        <v>282</v>
      </c>
      <c r="B93" s="131" t="s">
        <v>107</v>
      </c>
      <c r="C93" s="166">
        <v>10000.0</v>
      </c>
      <c r="D93" s="166">
        <v>10000.0</v>
      </c>
      <c r="E93" s="21"/>
      <c r="F93" s="22"/>
      <c r="G93" s="22"/>
      <c r="H93" s="22"/>
      <c r="I93" s="29">
        <f t="shared" si="21"/>
        <v>10000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ht="15.75" customHeight="1">
      <c r="A94" s="59"/>
      <c r="B94" s="36" t="s">
        <v>112</v>
      </c>
      <c r="C94" s="38">
        <v>35000.0</v>
      </c>
      <c r="D94" s="38">
        <v>35000.0</v>
      </c>
      <c r="E94" s="21"/>
      <c r="F94" s="22"/>
      <c r="G94" s="22"/>
      <c r="H94" s="22"/>
      <c r="I94" s="29">
        <f t="shared" si="21"/>
        <v>35000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ht="15.75" customHeight="1">
      <c r="A95" s="59"/>
      <c r="B95" s="36" t="s">
        <v>114</v>
      </c>
      <c r="C95" s="38">
        <v>60000.0</v>
      </c>
      <c r="D95" s="38">
        <v>60000.0</v>
      </c>
      <c r="E95" s="21"/>
      <c r="F95" s="22"/>
      <c r="G95" s="22"/>
      <c r="H95" s="22"/>
      <c r="I95" s="29">
        <f t="shared" si="21"/>
        <v>60000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ht="15.75" customHeight="1">
      <c r="A96" s="59" t="s">
        <v>286</v>
      </c>
      <c r="B96" s="19" t="s">
        <v>287</v>
      </c>
      <c r="C96" s="20">
        <v>315000.0</v>
      </c>
      <c r="D96" s="20">
        <v>47000.0</v>
      </c>
      <c r="E96" s="21"/>
      <c r="F96" s="22"/>
      <c r="G96" s="22"/>
      <c r="H96" s="20">
        <v>268000.0</v>
      </c>
      <c r="I96" s="29">
        <f t="shared" si="21"/>
        <v>315000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ht="15.75" customHeight="1">
      <c r="A97" s="40"/>
      <c r="B97" s="45">
        <v>1710.0</v>
      </c>
      <c r="C97" s="46">
        <f t="shared" ref="C97:I97" si="22">SUM(C92:C96)</f>
        <v>620000</v>
      </c>
      <c r="D97" s="46">
        <f t="shared" si="22"/>
        <v>352000</v>
      </c>
      <c r="E97" s="46">
        <f t="shared" si="22"/>
        <v>0</v>
      </c>
      <c r="F97" s="46">
        <f t="shared" si="22"/>
        <v>0</v>
      </c>
      <c r="G97" s="46">
        <f t="shared" si="22"/>
        <v>0</v>
      </c>
      <c r="H97" s="46">
        <f t="shared" si="22"/>
        <v>268000</v>
      </c>
      <c r="I97" s="46">
        <f t="shared" si="22"/>
        <v>620000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ht="15.75" customHeight="1">
      <c r="A98" s="18"/>
      <c r="B98" s="19"/>
      <c r="C98" s="20"/>
      <c r="D98" s="20"/>
      <c r="E98" s="21"/>
      <c r="F98" s="22"/>
      <c r="G98" s="22"/>
      <c r="H98" s="22"/>
      <c r="I98" s="23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ht="15.75" customHeight="1">
      <c r="A99" s="24" t="s">
        <v>224</v>
      </c>
      <c r="B99" s="25" t="s">
        <v>225</v>
      </c>
      <c r="C99" s="26"/>
      <c r="D99" s="26"/>
      <c r="E99" s="26"/>
      <c r="F99" s="26"/>
      <c r="G99" s="26"/>
      <c r="H99" s="26"/>
      <c r="I99" s="23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ht="15.75" customHeight="1">
      <c r="A100" s="27">
        <v>632.0</v>
      </c>
      <c r="B100" s="28" t="s">
        <v>100</v>
      </c>
      <c r="C100" s="26"/>
      <c r="D100" s="26"/>
      <c r="E100" s="26"/>
      <c r="F100" s="26"/>
      <c r="G100" s="26"/>
      <c r="H100" s="26"/>
      <c r="I100" s="23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ht="15.75" customHeight="1">
      <c r="A101" s="37" t="s">
        <v>297</v>
      </c>
      <c r="B101" s="19" t="s">
        <v>229</v>
      </c>
      <c r="C101" s="20">
        <v>18000.0</v>
      </c>
      <c r="D101" s="20">
        <v>18000.0</v>
      </c>
      <c r="E101" s="22"/>
      <c r="F101" s="22"/>
      <c r="G101" s="22"/>
      <c r="H101" s="23"/>
      <c r="I101" s="29">
        <f>SUM(D101:H101)</f>
        <v>18000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ht="15.75" customHeight="1">
      <c r="A102" s="30"/>
      <c r="B102" s="24" t="s">
        <v>224</v>
      </c>
      <c r="C102" s="31">
        <f t="shared" ref="C102:I102" si="23">SUM(C101)</f>
        <v>18000</v>
      </c>
      <c r="D102" s="31">
        <f t="shared" si="23"/>
        <v>18000</v>
      </c>
      <c r="E102" s="31">
        <f t="shared" si="23"/>
        <v>0</v>
      </c>
      <c r="F102" s="31">
        <f t="shared" si="23"/>
        <v>0</v>
      </c>
      <c r="G102" s="31">
        <f t="shared" si="23"/>
        <v>0</v>
      </c>
      <c r="H102" s="31">
        <f t="shared" si="23"/>
        <v>0</v>
      </c>
      <c r="I102" s="31">
        <f t="shared" si="23"/>
        <v>18000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ht="15.75" customHeight="1">
      <c r="A103" s="40"/>
      <c r="B103" s="41"/>
      <c r="C103" s="42"/>
      <c r="D103" s="20"/>
      <c r="E103" s="21"/>
      <c r="F103" s="22"/>
      <c r="G103" s="22"/>
      <c r="H103" s="22"/>
      <c r="I103" s="23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ht="15.75" customHeight="1">
      <c r="A104" s="24" t="s">
        <v>304</v>
      </c>
      <c r="B104" s="25" t="s">
        <v>305</v>
      </c>
      <c r="C104" s="26"/>
      <c r="D104" s="26"/>
      <c r="E104" s="26"/>
      <c r="F104" s="26"/>
      <c r="G104" s="26"/>
      <c r="H104" s="26"/>
      <c r="I104" s="23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ht="15.75" customHeight="1">
      <c r="A105" s="27">
        <v>609.0</v>
      </c>
      <c r="B105" s="28" t="s">
        <v>49</v>
      </c>
      <c r="C105" s="26"/>
      <c r="D105" s="26"/>
      <c r="E105" s="26"/>
      <c r="F105" s="26"/>
      <c r="G105" s="26"/>
      <c r="H105" s="26"/>
      <c r="I105" s="23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ht="15.75" customHeight="1">
      <c r="A106" s="37" t="s">
        <v>309</v>
      </c>
      <c r="B106" s="19" t="s">
        <v>152</v>
      </c>
      <c r="C106" s="20">
        <v>150000.0</v>
      </c>
      <c r="D106" s="20">
        <v>150000.0</v>
      </c>
      <c r="E106" s="22"/>
      <c r="F106" s="22"/>
      <c r="G106" s="22"/>
      <c r="H106" s="23"/>
      <c r="I106" s="29">
        <f>SUM(D106:H106)</f>
        <v>150000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ht="15.75" customHeight="1">
      <c r="A107" s="30"/>
      <c r="B107" s="24" t="s">
        <v>304</v>
      </c>
      <c r="C107" s="31">
        <f t="shared" ref="C107:I107" si="24">SUM(C106)</f>
        <v>150000</v>
      </c>
      <c r="D107" s="31">
        <f t="shared" si="24"/>
        <v>150000</v>
      </c>
      <c r="E107" s="31">
        <f t="shared" si="24"/>
        <v>0</v>
      </c>
      <c r="F107" s="31">
        <f t="shared" si="24"/>
        <v>0</v>
      </c>
      <c r="G107" s="31">
        <f t="shared" si="24"/>
        <v>0</v>
      </c>
      <c r="H107" s="31">
        <f t="shared" si="24"/>
        <v>0</v>
      </c>
      <c r="I107" s="31">
        <f t="shared" si="24"/>
        <v>150000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ht="15.75" customHeight="1">
      <c r="A108" s="24"/>
      <c r="B108" s="25"/>
      <c r="C108" s="26"/>
      <c r="D108" s="26"/>
      <c r="E108" s="26"/>
      <c r="F108" s="26"/>
      <c r="G108" s="26"/>
      <c r="H108" s="26"/>
      <c r="I108" s="23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ht="15.75" customHeight="1">
      <c r="A109" s="24" t="s">
        <v>234</v>
      </c>
      <c r="B109" s="25" t="s">
        <v>235</v>
      </c>
      <c r="C109" s="26"/>
      <c r="D109" s="26"/>
      <c r="E109" s="26"/>
      <c r="F109" s="26"/>
      <c r="G109" s="26"/>
      <c r="H109" s="26"/>
      <c r="I109" s="23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ht="15.75" customHeight="1">
      <c r="A110" s="27">
        <v>629.0</v>
      </c>
      <c r="B110" s="28" t="s">
        <v>312</v>
      </c>
      <c r="C110" s="26"/>
      <c r="D110" s="26"/>
      <c r="E110" s="26"/>
      <c r="F110" s="26"/>
      <c r="G110" s="26"/>
      <c r="H110" s="26"/>
      <c r="I110" s="23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ht="15.75" customHeight="1">
      <c r="A111" s="37" t="s">
        <v>313</v>
      </c>
      <c r="B111" s="36" t="s">
        <v>239</v>
      </c>
      <c r="C111" s="153">
        <v>6000.0</v>
      </c>
      <c r="D111" s="20">
        <v>6000.0</v>
      </c>
      <c r="E111" s="117"/>
      <c r="F111" s="22"/>
      <c r="G111" s="22"/>
      <c r="H111" s="23"/>
      <c r="I111" s="29">
        <f>SUM(D111:H111)</f>
        <v>6000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ht="15.75" customHeight="1">
      <c r="A112" s="30"/>
      <c r="B112" s="27">
        <v>3261.0</v>
      </c>
      <c r="C112" s="31">
        <f t="shared" ref="C112:I112" si="25">SUM(C111)</f>
        <v>6000</v>
      </c>
      <c r="D112" s="31">
        <f t="shared" si="25"/>
        <v>6000</v>
      </c>
      <c r="E112" s="31">
        <f t="shared" si="25"/>
        <v>0</v>
      </c>
      <c r="F112" s="31">
        <f t="shared" si="25"/>
        <v>0</v>
      </c>
      <c r="G112" s="31">
        <f t="shared" si="25"/>
        <v>0</v>
      </c>
      <c r="H112" s="31">
        <f t="shared" si="25"/>
        <v>0</v>
      </c>
      <c r="I112" s="31">
        <f t="shared" si="25"/>
        <v>6000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ht="15.75" customHeight="1">
      <c r="A113" s="40"/>
      <c r="B113" s="41"/>
      <c r="C113" s="42"/>
      <c r="D113" s="20"/>
      <c r="E113" s="21"/>
      <c r="F113" s="22"/>
      <c r="G113" s="22"/>
      <c r="H113" s="22"/>
      <c r="I113" s="23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ht="15.75" customHeight="1">
      <c r="A114" s="24" t="s">
        <v>240</v>
      </c>
      <c r="B114" s="25" t="s">
        <v>241</v>
      </c>
      <c r="C114" s="26"/>
      <c r="D114" s="26"/>
      <c r="E114" s="26"/>
      <c r="F114" s="26"/>
      <c r="G114" s="26"/>
      <c r="H114" s="26"/>
      <c r="I114" s="23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ht="15.75" customHeight="1">
      <c r="A115" s="27">
        <v>629.0</v>
      </c>
      <c r="B115" s="28" t="s">
        <v>312</v>
      </c>
      <c r="C115" s="26"/>
      <c r="D115" s="26"/>
      <c r="E115" s="26"/>
      <c r="F115" s="26"/>
      <c r="G115" s="26"/>
      <c r="H115" s="26"/>
      <c r="I115" s="23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ht="15.75" customHeight="1">
      <c r="A116" s="37" t="s">
        <v>313</v>
      </c>
      <c r="B116" s="36" t="s">
        <v>242</v>
      </c>
      <c r="C116" s="38">
        <v>5000.0</v>
      </c>
      <c r="D116" s="20">
        <v>5000.0</v>
      </c>
      <c r="E116" s="117"/>
      <c r="F116" s="22"/>
      <c r="G116" s="22"/>
      <c r="H116" s="23"/>
      <c r="I116" s="29">
        <f t="shared" ref="I116:I117" si="26">SUM(D116:H116)</f>
        <v>5000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ht="15.75" customHeight="1">
      <c r="A117" s="39"/>
      <c r="B117" s="36" t="s">
        <v>239</v>
      </c>
      <c r="C117" s="153">
        <v>6000.0</v>
      </c>
      <c r="D117" s="153">
        <v>6000.0</v>
      </c>
      <c r="E117" s="20"/>
      <c r="F117" s="22"/>
      <c r="G117" s="22"/>
      <c r="H117" s="23"/>
      <c r="I117" s="29">
        <f t="shared" si="26"/>
        <v>6000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ht="15.75" customHeight="1">
      <c r="A118" s="30"/>
      <c r="B118" s="27">
        <v>3262.0</v>
      </c>
      <c r="C118" s="31">
        <f t="shared" ref="C118:E118" si="27">SUM(C116:C117)</f>
        <v>11000</v>
      </c>
      <c r="D118" s="31">
        <f t="shared" si="27"/>
        <v>11000</v>
      </c>
      <c r="E118" s="31">
        <f t="shared" si="27"/>
        <v>0</v>
      </c>
      <c r="F118" s="31">
        <f t="shared" ref="F118:H118" si="28">SUM(F116)</f>
        <v>0</v>
      </c>
      <c r="G118" s="31">
        <f t="shared" si="28"/>
        <v>0</v>
      </c>
      <c r="H118" s="31">
        <f t="shared" si="28"/>
        <v>0</v>
      </c>
      <c r="I118" s="31">
        <f>SUM(I116:I117)</f>
        <v>11000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ht="15.75" customHeight="1">
      <c r="A119" s="40"/>
      <c r="B119" s="41"/>
      <c r="C119" s="42"/>
      <c r="D119" s="20"/>
      <c r="E119" s="21"/>
      <c r="F119" s="22"/>
      <c r="G119" s="22"/>
      <c r="H119" s="22"/>
      <c r="I119" s="23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ht="15.75" customHeight="1">
      <c r="A120" s="24" t="s">
        <v>245</v>
      </c>
      <c r="B120" s="25" t="s">
        <v>246</v>
      </c>
      <c r="C120" s="26"/>
      <c r="D120" s="26"/>
      <c r="E120" s="26"/>
      <c r="F120" s="26"/>
      <c r="G120" s="26"/>
      <c r="H120" s="26"/>
      <c r="I120" s="23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ht="15.75" customHeight="1">
      <c r="A121" s="49">
        <v>626.0</v>
      </c>
      <c r="B121" s="127" t="s">
        <v>248</v>
      </c>
      <c r="C121" s="26"/>
      <c r="D121" s="26"/>
      <c r="E121" s="26"/>
      <c r="F121" s="26"/>
      <c r="G121" s="26"/>
      <c r="H121" s="26"/>
      <c r="I121" s="23"/>
      <c r="J121" s="21">
        <f>SUM(I122:I123)</f>
        <v>9700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ht="15.75" customHeight="1">
      <c r="A122" s="37" t="s">
        <v>324</v>
      </c>
      <c r="B122" s="173" t="s">
        <v>173</v>
      </c>
      <c r="C122" s="23">
        <v>8500.0</v>
      </c>
      <c r="D122" s="23">
        <v>8500.0</v>
      </c>
      <c r="E122" s="117"/>
      <c r="F122" s="22"/>
      <c r="G122" s="22"/>
      <c r="H122" s="23"/>
      <c r="I122" s="29">
        <f t="shared" ref="I122:I123" si="29">SUM(D122:H122)</f>
        <v>8500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ht="15.75" customHeight="1">
      <c r="A123" s="39"/>
      <c r="B123" s="173" t="s">
        <v>175</v>
      </c>
      <c r="C123" s="23">
        <v>1200.0</v>
      </c>
      <c r="D123" s="20">
        <v>1200.0</v>
      </c>
      <c r="E123" s="117"/>
      <c r="F123" s="22"/>
      <c r="G123" s="22"/>
      <c r="H123" s="23"/>
      <c r="I123" s="29">
        <f t="shared" si="29"/>
        <v>1200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ht="15.75" customHeight="1">
      <c r="A124" s="27">
        <v>635.0</v>
      </c>
      <c r="B124" s="28" t="s">
        <v>222</v>
      </c>
      <c r="C124" s="21"/>
      <c r="D124" s="21"/>
      <c r="E124" s="22"/>
      <c r="F124" s="22"/>
      <c r="G124" s="22"/>
      <c r="H124" s="23"/>
      <c r="I124" s="29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ht="15.75" customHeight="1">
      <c r="A125" s="37" t="s">
        <v>328</v>
      </c>
      <c r="B125" s="173" t="s">
        <v>174</v>
      </c>
      <c r="C125" s="23">
        <v>14000.0</v>
      </c>
      <c r="D125" s="153">
        <v>14000.0</v>
      </c>
      <c r="E125" s="20"/>
      <c r="F125" s="22"/>
      <c r="G125" s="22"/>
      <c r="H125" s="23"/>
      <c r="I125" s="29">
        <f>SUM(D125:H125)</f>
        <v>14000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ht="15.75" customHeight="1">
      <c r="A126" s="30"/>
      <c r="B126" s="24" t="s">
        <v>245</v>
      </c>
      <c r="C126" s="31">
        <f t="shared" ref="C126:I126" si="30">SUM(C122:C125)</f>
        <v>23700</v>
      </c>
      <c r="D126" s="31">
        <f t="shared" si="30"/>
        <v>23700</v>
      </c>
      <c r="E126" s="31">
        <f t="shared" si="30"/>
        <v>0</v>
      </c>
      <c r="F126" s="31">
        <f t="shared" si="30"/>
        <v>0</v>
      </c>
      <c r="G126" s="31">
        <f t="shared" si="30"/>
        <v>0</v>
      </c>
      <c r="H126" s="31">
        <f t="shared" si="30"/>
        <v>0</v>
      </c>
      <c r="I126" s="31">
        <f t="shared" si="30"/>
        <v>23700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ht="15.75" customHeight="1">
      <c r="A127" s="39"/>
      <c r="B127" s="6"/>
      <c r="C127" s="21"/>
      <c r="D127" s="21"/>
      <c r="E127" s="21"/>
      <c r="F127" s="22"/>
      <c r="G127" s="22"/>
      <c r="H127" s="22"/>
      <c r="I127" s="23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ht="15.75" customHeight="1">
      <c r="A128" s="24" t="s">
        <v>251</v>
      </c>
      <c r="B128" s="25" t="s">
        <v>252</v>
      </c>
      <c r="C128" s="26"/>
      <c r="D128" s="26"/>
      <c r="E128" s="26"/>
      <c r="F128" s="26"/>
      <c r="G128" s="26"/>
      <c r="H128" s="26"/>
      <c r="I128" s="23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ht="15.75" customHeight="1">
      <c r="A129" s="27">
        <v>650.0</v>
      </c>
      <c r="B129" s="28" t="s">
        <v>128</v>
      </c>
      <c r="C129" s="26"/>
      <c r="D129" s="26"/>
      <c r="E129" s="26"/>
      <c r="F129" s="26"/>
      <c r="G129" s="26"/>
      <c r="H129" s="26"/>
      <c r="I129" s="23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ht="15.75" customHeight="1">
      <c r="A130" s="37" t="s">
        <v>334</v>
      </c>
      <c r="B130" s="19" t="s">
        <v>253</v>
      </c>
      <c r="C130" s="20">
        <v>40000.0</v>
      </c>
      <c r="D130" s="20">
        <v>40000.0</v>
      </c>
      <c r="E130" s="22"/>
      <c r="F130" s="22"/>
      <c r="G130" s="22"/>
      <c r="H130" s="23"/>
      <c r="I130" s="29">
        <f>SUM(D130:H130)</f>
        <v>40000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ht="15.75" customHeight="1">
      <c r="A131" s="30"/>
      <c r="B131" s="27">
        <v>3330.0</v>
      </c>
      <c r="C131" s="31">
        <f t="shared" ref="C131:I131" si="31">SUM(C130)</f>
        <v>40000</v>
      </c>
      <c r="D131" s="31">
        <f t="shared" si="31"/>
        <v>40000</v>
      </c>
      <c r="E131" s="31">
        <f t="shared" si="31"/>
        <v>0</v>
      </c>
      <c r="F131" s="31">
        <f t="shared" si="31"/>
        <v>0</v>
      </c>
      <c r="G131" s="31">
        <f t="shared" si="31"/>
        <v>0</v>
      </c>
      <c r="H131" s="31">
        <f t="shared" si="31"/>
        <v>0</v>
      </c>
      <c r="I131" s="31">
        <f t="shared" si="31"/>
        <v>40000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ht="15.75" customHeight="1">
      <c r="A132" s="18"/>
      <c r="B132" s="19"/>
      <c r="C132" s="20"/>
      <c r="D132" s="20"/>
      <c r="E132" s="21"/>
      <c r="F132" s="22"/>
      <c r="G132" s="22"/>
      <c r="H132" s="22"/>
      <c r="I132" s="23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ht="15.75" customHeight="1">
      <c r="A133" s="24" t="s">
        <v>254</v>
      </c>
      <c r="B133" s="25" t="s">
        <v>255</v>
      </c>
      <c r="C133" s="26"/>
      <c r="D133" s="26"/>
      <c r="E133" s="26"/>
      <c r="F133" s="26"/>
      <c r="G133" s="26"/>
      <c r="H133" s="26"/>
      <c r="I133" s="23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ht="15.75" customHeight="1">
      <c r="A134" s="27">
        <v>623.0</v>
      </c>
      <c r="B134" s="28" t="s">
        <v>123</v>
      </c>
      <c r="C134" s="26"/>
      <c r="D134" s="26"/>
      <c r="E134" s="26"/>
      <c r="F134" s="26"/>
      <c r="G134" s="26"/>
      <c r="H134" s="26"/>
      <c r="I134" s="29"/>
      <c r="J134" s="21">
        <f>SUM(I135:I138)</f>
        <v>12500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ht="15.75" customHeight="1">
      <c r="A135" s="37" t="s">
        <v>336</v>
      </c>
      <c r="B135" s="19" t="s">
        <v>256</v>
      </c>
      <c r="C135" s="20">
        <v>6000.0</v>
      </c>
      <c r="D135" s="20">
        <v>6000.0</v>
      </c>
      <c r="E135" s="117"/>
      <c r="F135" s="22"/>
      <c r="G135" s="22"/>
      <c r="H135" s="23"/>
      <c r="I135" s="29">
        <f t="shared" ref="I135:I138" si="32">SUM(D135:H135)</f>
        <v>6000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ht="15.75" customHeight="1">
      <c r="A136" s="39"/>
      <c r="B136" s="19" t="s">
        <v>257</v>
      </c>
      <c r="C136" s="20">
        <v>2000.0</v>
      </c>
      <c r="D136" s="20">
        <v>2000.0</v>
      </c>
      <c r="E136" s="20"/>
      <c r="F136" s="22"/>
      <c r="G136" s="22"/>
      <c r="H136" s="23"/>
      <c r="I136" s="29">
        <f t="shared" si="32"/>
        <v>2000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ht="15.75" customHeight="1">
      <c r="A137" s="39"/>
      <c r="B137" s="19" t="s">
        <v>258</v>
      </c>
      <c r="C137" s="20">
        <v>1500.0</v>
      </c>
      <c r="D137" s="20">
        <v>1500.0</v>
      </c>
      <c r="E137" s="117"/>
      <c r="F137" s="22"/>
      <c r="G137" s="22"/>
      <c r="H137" s="23"/>
      <c r="I137" s="29">
        <f t="shared" si="32"/>
        <v>1500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ht="15.75" customHeight="1">
      <c r="A138" s="39"/>
      <c r="B138" s="19" t="s">
        <v>260</v>
      </c>
      <c r="C138" s="20">
        <v>3000.0</v>
      </c>
      <c r="D138" s="20">
        <v>3000.0</v>
      </c>
      <c r="E138" s="20"/>
      <c r="F138" s="22"/>
      <c r="G138" s="22"/>
      <c r="H138" s="23"/>
      <c r="I138" s="29">
        <f t="shared" si="32"/>
        <v>3000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ht="15.75" customHeight="1">
      <c r="A139" s="126" t="s">
        <v>99</v>
      </c>
      <c r="B139" s="130" t="s">
        <v>100</v>
      </c>
      <c r="C139" s="20"/>
      <c r="D139" s="20"/>
      <c r="E139" s="22"/>
      <c r="F139" s="22"/>
      <c r="G139" s="22"/>
      <c r="H139" s="23"/>
      <c r="I139" s="29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ht="15.75" customHeight="1">
      <c r="A140" s="59" t="s">
        <v>338</v>
      </c>
      <c r="B140" s="176" t="s">
        <v>261</v>
      </c>
      <c r="C140" s="177">
        <v>650000.0</v>
      </c>
      <c r="D140" s="20">
        <f>C140</f>
        <v>650000</v>
      </c>
      <c r="E140" s="22"/>
      <c r="F140" s="22"/>
      <c r="G140" s="22"/>
      <c r="H140" s="23"/>
      <c r="I140" s="29">
        <f>SUM(D140:H140)</f>
        <v>650000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ht="15.75" customHeight="1">
      <c r="A141" s="30"/>
      <c r="B141" s="24" t="s">
        <v>254</v>
      </c>
      <c r="C141" s="31">
        <f t="shared" ref="C141:I141" si="33">SUM(C135:C140)</f>
        <v>662500</v>
      </c>
      <c r="D141" s="31">
        <f t="shared" si="33"/>
        <v>662500</v>
      </c>
      <c r="E141" s="31">
        <f t="shared" si="33"/>
        <v>0</v>
      </c>
      <c r="F141" s="31">
        <f t="shared" si="33"/>
        <v>0</v>
      </c>
      <c r="G141" s="31">
        <f t="shared" si="33"/>
        <v>0</v>
      </c>
      <c r="H141" s="31">
        <f t="shared" si="33"/>
        <v>0</v>
      </c>
      <c r="I141" s="31">
        <f t="shared" si="33"/>
        <v>662500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ht="15.75" customHeight="1">
      <c r="A142" s="40"/>
      <c r="B142" s="41"/>
      <c r="C142" s="42"/>
      <c r="D142" s="20"/>
      <c r="E142" s="21"/>
      <c r="F142" s="22"/>
      <c r="G142" s="22"/>
      <c r="H142" s="22"/>
      <c r="I142" s="23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ht="15.75" customHeight="1">
      <c r="A143" s="24" t="s">
        <v>263</v>
      </c>
      <c r="B143" s="25" t="s">
        <v>264</v>
      </c>
      <c r="C143" s="26"/>
      <c r="D143" s="26"/>
      <c r="E143" s="26"/>
      <c r="F143" s="26"/>
      <c r="G143" s="26"/>
      <c r="H143" s="26"/>
      <c r="I143" s="23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ht="19.5" customHeight="1">
      <c r="A144" s="27">
        <v>632.0</v>
      </c>
      <c r="B144" s="28" t="s">
        <v>100</v>
      </c>
      <c r="C144" s="32"/>
      <c r="D144" s="32"/>
      <c r="E144" s="178"/>
      <c r="F144" s="178"/>
      <c r="G144" s="32"/>
      <c r="H144" s="178"/>
      <c r="I144" s="178"/>
      <c r="J144" s="99"/>
      <c r="K144" s="99"/>
      <c r="L144" s="99"/>
      <c r="M144" s="9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ht="15.75" customHeight="1">
      <c r="A145" s="37" t="s">
        <v>343</v>
      </c>
      <c r="B145" s="106" t="s">
        <v>270</v>
      </c>
      <c r="C145" s="107">
        <v>144595.0</v>
      </c>
      <c r="D145" s="107">
        <v>43020.0</v>
      </c>
      <c r="E145" s="235"/>
      <c r="F145" s="235"/>
      <c r="G145" s="107">
        <v>101575.0</v>
      </c>
      <c r="H145" s="236"/>
      <c r="I145" s="235">
        <f>SUM(D145:H145)</f>
        <v>144595</v>
      </c>
      <c r="J145" s="6"/>
      <c r="K145" s="237"/>
      <c r="L145" s="20"/>
      <c r="M145" s="20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ht="15.75" customHeight="1">
      <c r="A146" s="30"/>
      <c r="B146" s="24" t="s">
        <v>263</v>
      </c>
      <c r="C146" s="31">
        <f t="shared" ref="C146:I146" si="34">SUM(C145)</f>
        <v>144595</v>
      </c>
      <c r="D146" s="31">
        <f t="shared" si="34"/>
        <v>43020</v>
      </c>
      <c r="E146" s="31">
        <f t="shared" si="34"/>
        <v>0</v>
      </c>
      <c r="F146" s="31">
        <f t="shared" si="34"/>
        <v>0</v>
      </c>
      <c r="G146" s="31">
        <f t="shared" si="34"/>
        <v>101575</v>
      </c>
      <c r="H146" s="31">
        <f t="shared" si="34"/>
        <v>0</v>
      </c>
      <c r="I146" s="31">
        <f t="shared" si="34"/>
        <v>144595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ht="15.75" customHeight="1">
      <c r="A147" s="40"/>
      <c r="B147" s="41"/>
      <c r="C147" s="42"/>
      <c r="D147" s="20"/>
      <c r="E147" s="21"/>
      <c r="F147" s="22"/>
      <c r="G147" s="22"/>
      <c r="H147" s="22"/>
      <c r="I147" s="23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ht="15.75" customHeight="1">
      <c r="A148" s="24" t="s">
        <v>272</v>
      </c>
      <c r="B148" s="25" t="s">
        <v>273</v>
      </c>
      <c r="C148" s="26"/>
      <c r="D148" s="26"/>
      <c r="E148" s="26"/>
      <c r="F148" s="26"/>
      <c r="G148" s="26"/>
      <c r="H148" s="26"/>
      <c r="I148" s="23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ht="15.75" customHeight="1">
      <c r="A149" s="27">
        <v>629.0</v>
      </c>
      <c r="B149" s="28" t="s">
        <v>312</v>
      </c>
      <c r="C149" s="26"/>
      <c r="D149" s="26"/>
      <c r="E149" s="26"/>
      <c r="F149" s="26"/>
      <c r="G149" s="26"/>
      <c r="H149" s="26"/>
      <c r="I149" s="23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ht="15.75" customHeight="1">
      <c r="A150" s="37" t="s">
        <v>313</v>
      </c>
      <c r="B150" s="36" t="s">
        <v>239</v>
      </c>
      <c r="C150" s="153">
        <v>7000.0</v>
      </c>
      <c r="D150" s="153">
        <v>7000.0</v>
      </c>
      <c r="E150" s="20"/>
      <c r="F150" s="22"/>
      <c r="G150" s="22"/>
      <c r="H150" s="23"/>
      <c r="I150" s="29">
        <f>SUM(D150:H150)</f>
        <v>7000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ht="15.75" customHeight="1">
      <c r="A151" s="30"/>
      <c r="B151" s="24" t="s">
        <v>272</v>
      </c>
      <c r="C151" s="31">
        <f t="shared" ref="C151:I151" si="35">SUM(C150)</f>
        <v>7000</v>
      </c>
      <c r="D151" s="31">
        <f t="shared" si="35"/>
        <v>7000</v>
      </c>
      <c r="E151" s="31">
        <f t="shared" si="35"/>
        <v>0</v>
      </c>
      <c r="F151" s="31">
        <f t="shared" si="35"/>
        <v>0</v>
      </c>
      <c r="G151" s="31">
        <f t="shared" si="35"/>
        <v>0</v>
      </c>
      <c r="H151" s="31">
        <f t="shared" si="35"/>
        <v>0</v>
      </c>
      <c r="I151" s="31">
        <f t="shared" si="35"/>
        <v>7000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ht="15.75" customHeight="1">
      <c r="A152" s="40"/>
      <c r="B152" s="41"/>
      <c r="C152" s="42"/>
      <c r="D152" s="20"/>
      <c r="E152" s="21"/>
      <c r="F152" s="22"/>
      <c r="G152" s="22"/>
      <c r="H152" s="22"/>
      <c r="I152" s="23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ht="15.75" customHeight="1">
      <c r="A153" s="43" t="s">
        <v>277</v>
      </c>
      <c r="B153" s="44" t="s">
        <v>278</v>
      </c>
      <c r="C153" s="42"/>
      <c r="D153" s="20"/>
      <c r="E153" s="21"/>
      <c r="F153" s="22"/>
      <c r="G153" s="22"/>
      <c r="H153" s="22"/>
      <c r="I153" s="23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ht="15.75" customHeight="1">
      <c r="A154" s="43" t="s">
        <v>31</v>
      </c>
      <c r="B154" s="44" t="s">
        <v>14</v>
      </c>
      <c r="C154" s="42"/>
      <c r="D154" s="20"/>
      <c r="E154" s="21"/>
      <c r="F154" s="22"/>
      <c r="G154" s="22"/>
      <c r="H154" s="22"/>
      <c r="I154" s="23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ht="15.75" customHeight="1">
      <c r="A155" s="59" t="s">
        <v>351</v>
      </c>
      <c r="B155" s="19" t="s">
        <v>279</v>
      </c>
      <c r="C155" s="20">
        <v>700000.0</v>
      </c>
      <c r="D155" s="20">
        <v>432000.0</v>
      </c>
      <c r="E155" s="21"/>
      <c r="F155" s="22"/>
      <c r="G155" s="22"/>
      <c r="H155" s="20">
        <v>268000.0</v>
      </c>
      <c r="I155" s="29">
        <f>SUM(D155:H155)</f>
        <v>700000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ht="15.75" customHeight="1">
      <c r="A156" s="40"/>
      <c r="B156" s="45">
        <v>3373.0</v>
      </c>
      <c r="C156" s="46">
        <f t="shared" ref="C156:I156" si="36">SUM(C155)</f>
        <v>700000</v>
      </c>
      <c r="D156" s="46">
        <f t="shared" si="36"/>
        <v>432000</v>
      </c>
      <c r="E156" s="46">
        <f t="shared" si="36"/>
        <v>0</v>
      </c>
      <c r="F156" s="46">
        <f t="shared" si="36"/>
        <v>0</v>
      </c>
      <c r="G156" s="46">
        <f t="shared" si="36"/>
        <v>0</v>
      </c>
      <c r="H156" s="46">
        <f t="shared" si="36"/>
        <v>268000</v>
      </c>
      <c r="I156" s="46">
        <f t="shared" si="36"/>
        <v>700000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ht="15.75" customHeight="1">
      <c r="A157" s="18"/>
      <c r="B157" s="182"/>
      <c r="C157" s="22"/>
      <c r="D157" s="22"/>
      <c r="E157" s="22"/>
      <c r="F157" s="22"/>
      <c r="G157" s="22"/>
      <c r="H157" s="22"/>
      <c r="I157" s="23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ht="15.75" customHeight="1">
      <c r="A158" s="24" t="s">
        <v>281</v>
      </c>
      <c r="B158" s="25" t="s">
        <v>355</v>
      </c>
      <c r="C158" s="26"/>
      <c r="D158" s="26"/>
      <c r="E158" s="26"/>
      <c r="F158" s="26"/>
      <c r="G158" s="26"/>
      <c r="H158" s="26"/>
      <c r="I158" s="23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ht="15.75" customHeight="1">
      <c r="A159" s="27">
        <v>623.0</v>
      </c>
      <c r="B159" s="28" t="s">
        <v>123</v>
      </c>
      <c r="C159" s="26"/>
      <c r="D159" s="26"/>
      <c r="E159" s="26"/>
      <c r="F159" s="26"/>
      <c r="G159" s="26"/>
      <c r="H159" s="26"/>
      <c r="I159" s="23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ht="15.75" customHeight="1">
      <c r="A160" s="59" t="s">
        <v>356</v>
      </c>
      <c r="B160" s="19" t="s">
        <v>283</v>
      </c>
      <c r="C160" s="20">
        <v>14000.0</v>
      </c>
      <c r="D160" s="20">
        <v>14000.0</v>
      </c>
      <c r="E160" s="22"/>
      <c r="F160" s="22"/>
      <c r="G160" s="22"/>
      <c r="H160" s="23"/>
      <c r="I160" s="29">
        <f t="shared" ref="I160:I164" si="37">SUM(D160:H160)</f>
        <v>14000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ht="15.75" customHeight="1">
      <c r="A161" s="39"/>
      <c r="B161" s="19" t="s">
        <v>284</v>
      </c>
      <c r="C161" s="20">
        <v>15000.0</v>
      </c>
      <c r="D161" s="20">
        <v>15000.0</v>
      </c>
      <c r="E161" s="22"/>
      <c r="F161" s="22"/>
      <c r="G161" s="22"/>
      <c r="H161" s="23"/>
      <c r="I161" s="29">
        <f t="shared" si="37"/>
        <v>15000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ht="15.75" customHeight="1">
      <c r="A162" s="37" t="s">
        <v>359</v>
      </c>
      <c r="B162" s="19" t="s">
        <v>285</v>
      </c>
      <c r="C162" s="20">
        <v>24000.0</v>
      </c>
      <c r="D162" s="20">
        <v>24000.0</v>
      </c>
      <c r="E162" s="22"/>
      <c r="F162" s="22"/>
      <c r="G162" s="22"/>
      <c r="H162" s="23"/>
      <c r="I162" s="29">
        <f t="shared" si="37"/>
        <v>24000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ht="15.75" customHeight="1">
      <c r="A163" s="39"/>
      <c r="B163" s="19" t="s">
        <v>219</v>
      </c>
      <c r="C163" s="20">
        <v>12000.0</v>
      </c>
      <c r="D163" s="20">
        <v>12000.0</v>
      </c>
      <c r="E163" s="22"/>
      <c r="F163" s="22"/>
      <c r="G163" s="22"/>
      <c r="H163" s="23"/>
      <c r="I163" s="29">
        <f t="shared" si="37"/>
        <v>12000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ht="15.75" customHeight="1">
      <c r="A164" s="37" t="s">
        <v>363</v>
      </c>
      <c r="B164" s="19" t="s">
        <v>215</v>
      </c>
      <c r="C164" s="20">
        <v>9000.0</v>
      </c>
      <c r="D164" s="20">
        <v>9000.0</v>
      </c>
      <c r="E164" s="22"/>
      <c r="F164" s="22"/>
      <c r="G164" s="22"/>
      <c r="H164" s="23"/>
      <c r="I164" s="29">
        <f t="shared" si="37"/>
        <v>9000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ht="15.75" customHeight="1">
      <c r="A165" s="30"/>
      <c r="B165" s="24" t="s">
        <v>281</v>
      </c>
      <c r="C165" s="31">
        <f t="shared" ref="C165:I165" si="38">SUM(C160:C164)</f>
        <v>74000</v>
      </c>
      <c r="D165" s="31">
        <f t="shared" si="38"/>
        <v>74000</v>
      </c>
      <c r="E165" s="31">
        <f t="shared" si="38"/>
        <v>0</v>
      </c>
      <c r="F165" s="31">
        <f t="shared" si="38"/>
        <v>0</v>
      </c>
      <c r="G165" s="31">
        <f t="shared" si="38"/>
        <v>0</v>
      </c>
      <c r="H165" s="31">
        <f t="shared" si="38"/>
        <v>0</v>
      </c>
      <c r="I165" s="31">
        <f t="shared" si="38"/>
        <v>74000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ht="15.75" customHeight="1">
      <c r="A166" s="59"/>
      <c r="B166" s="176"/>
      <c r="C166" s="42"/>
      <c r="D166" s="20"/>
      <c r="E166" s="21"/>
      <c r="F166" s="22"/>
      <c r="G166" s="22"/>
      <c r="H166" s="22"/>
      <c r="I166" s="23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ht="15.75" customHeight="1">
      <c r="A167" s="43" t="s">
        <v>288</v>
      </c>
      <c r="B167" s="44" t="s">
        <v>289</v>
      </c>
      <c r="C167" s="42"/>
      <c r="D167" s="20"/>
      <c r="E167" s="21"/>
      <c r="F167" s="22"/>
      <c r="G167" s="22"/>
      <c r="H167" s="22"/>
      <c r="I167" s="23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ht="15.75" customHeight="1">
      <c r="A168" s="43" t="s">
        <v>99</v>
      </c>
      <c r="B168" s="44" t="s">
        <v>100</v>
      </c>
      <c r="C168" s="42"/>
      <c r="D168" s="20"/>
      <c r="E168" s="21"/>
      <c r="F168" s="22"/>
      <c r="G168" s="22"/>
      <c r="H168" s="22"/>
      <c r="I168" s="23"/>
      <c r="J168" s="6"/>
      <c r="K168" s="6"/>
      <c r="L168" s="99"/>
      <c r="M168" s="99"/>
      <c r="N168" s="99"/>
      <c r="O168" s="9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ht="15.75" customHeight="1">
      <c r="A169" s="30" t="s">
        <v>294</v>
      </c>
      <c r="B169" s="73" t="s">
        <v>295</v>
      </c>
      <c r="C169" s="153">
        <v>546193.2</v>
      </c>
      <c r="D169" s="153">
        <v>546193.2</v>
      </c>
      <c r="E169" s="21"/>
      <c r="F169" s="22"/>
      <c r="G169" s="22"/>
      <c r="H169" s="22"/>
      <c r="I169" s="22">
        <f t="shared" ref="I169:I178" si="39">SUM(D169:H169)</f>
        <v>546193.2</v>
      </c>
      <c r="J169" s="6"/>
      <c r="K169" s="6"/>
      <c r="L169" s="75"/>
      <c r="M169" s="99"/>
      <c r="N169" s="9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ht="15.75" customHeight="1">
      <c r="A170" s="59" t="s">
        <v>366</v>
      </c>
      <c r="B170" s="36" t="s">
        <v>296</v>
      </c>
      <c r="C170" s="153">
        <v>270000.0</v>
      </c>
      <c r="D170" s="153">
        <v>270000.0</v>
      </c>
      <c r="E170" s="21"/>
      <c r="F170" s="22"/>
      <c r="G170" s="22"/>
      <c r="H170" s="22"/>
      <c r="I170" s="29">
        <f t="shared" si="39"/>
        <v>270000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ht="15.75" customHeight="1">
      <c r="A171" s="40"/>
      <c r="B171" s="19" t="s">
        <v>298</v>
      </c>
      <c r="C171" s="20">
        <v>1189536.08</v>
      </c>
      <c r="D171" s="20">
        <v>1189536.08</v>
      </c>
      <c r="E171" s="21"/>
      <c r="F171" s="22"/>
      <c r="G171" s="22"/>
      <c r="H171" s="22"/>
      <c r="I171" s="29">
        <f t="shared" si="39"/>
        <v>1189536.08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ht="15.75" customHeight="1">
      <c r="A172" s="40"/>
      <c r="B172" s="19" t="s">
        <v>299</v>
      </c>
      <c r="C172" s="20">
        <v>295043.18</v>
      </c>
      <c r="D172" s="20">
        <v>295043.18</v>
      </c>
      <c r="E172" s="21"/>
      <c r="F172" s="22"/>
      <c r="G172" s="22"/>
      <c r="H172" s="22"/>
      <c r="I172" s="29">
        <f t="shared" si="39"/>
        <v>295043.18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ht="15.75" customHeight="1">
      <c r="A173" s="40"/>
      <c r="B173" s="19" t="s">
        <v>300</v>
      </c>
      <c r="C173" s="20">
        <v>42000.0</v>
      </c>
      <c r="D173" s="20">
        <v>42000.0</v>
      </c>
      <c r="E173" s="21"/>
      <c r="F173" s="22"/>
      <c r="G173" s="22"/>
      <c r="H173" s="22"/>
      <c r="I173" s="29">
        <f t="shared" si="39"/>
        <v>42000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ht="15.75" customHeight="1">
      <c r="A174" s="40"/>
      <c r="B174" s="19" t="s">
        <v>301</v>
      </c>
      <c r="C174" s="20">
        <v>65000.0</v>
      </c>
      <c r="D174" s="20">
        <v>65000.0</v>
      </c>
      <c r="E174" s="21"/>
      <c r="F174" s="22"/>
      <c r="G174" s="22"/>
      <c r="H174" s="22"/>
      <c r="I174" s="29">
        <f t="shared" si="39"/>
        <v>65000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ht="15.75" customHeight="1">
      <c r="A175" s="40"/>
      <c r="B175" s="19" t="s">
        <v>302</v>
      </c>
      <c r="C175" s="20">
        <v>120000.0</v>
      </c>
      <c r="D175" s="20">
        <v>120000.0</v>
      </c>
      <c r="E175" s="21"/>
      <c r="F175" s="22"/>
      <c r="G175" s="22"/>
      <c r="H175" s="22"/>
      <c r="I175" s="29">
        <f t="shared" si="39"/>
        <v>120000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ht="15.75" customHeight="1">
      <c r="A176" s="40"/>
      <c r="B176" s="19" t="s">
        <v>236</v>
      </c>
      <c r="C176" s="20">
        <v>25000.0</v>
      </c>
      <c r="D176" s="20">
        <v>25000.0</v>
      </c>
      <c r="E176" s="21"/>
      <c r="F176" s="22"/>
      <c r="G176" s="22"/>
      <c r="H176" s="22"/>
      <c r="I176" s="29">
        <f t="shared" si="39"/>
        <v>25000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ht="15.75" customHeight="1">
      <c r="A177" s="40"/>
      <c r="B177" s="158" t="s">
        <v>306</v>
      </c>
      <c r="C177" s="22">
        <v>90000.0</v>
      </c>
      <c r="D177" s="22">
        <v>90000.0</v>
      </c>
      <c r="E177" s="21"/>
      <c r="F177" s="22"/>
      <c r="G177" s="22"/>
      <c r="H177" s="22"/>
      <c r="I177" s="29">
        <f t="shared" si="39"/>
        <v>90000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ht="15.75" customHeight="1">
      <c r="A178" s="59" t="s">
        <v>373</v>
      </c>
      <c r="B178" s="19" t="s">
        <v>303</v>
      </c>
      <c r="C178" s="20">
        <v>31000.0</v>
      </c>
      <c r="D178" s="20">
        <v>31000.0</v>
      </c>
      <c r="E178" s="21"/>
      <c r="F178" s="22"/>
      <c r="G178" s="22"/>
      <c r="H178" s="22"/>
      <c r="I178" s="29">
        <f t="shared" si="39"/>
        <v>31000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ht="15.75" customHeight="1">
      <c r="A179" s="40"/>
      <c r="B179" s="45">
        <v>3420.0</v>
      </c>
      <c r="C179" s="46">
        <f t="shared" ref="C179:I179" si="40">SUM(C169:C178)</f>
        <v>2673772.46</v>
      </c>
      <c r="D179" s="46">
        <f t="shared" si="40"/>
        <v>2673772.46</v>
      </c>
      <c r="E179" s="46">
        <f t="shared" si="40"/>
        <v>0</v>
      </c>
      <c r="F179" s="46">
        <f t="shared" si="40"/>
        <v>0</v>
      </c>
      <c r="G179" s="46">
        <f t="shared" si="40"/>
        <v>0</v>
      </c>
      <c r="H179" s="46">
        <f t="shared" si="40"/>
        <v>0</v>
      </c>
      <c r="I179" s="46">
        <f t="shared" si="40"/>
        <v>2673772.46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ht="15.75" customHeight="1">
      <c r="A180" s="30"/>
      <c r="B180" s="24"/>
      <c r="C180" s="29"/>
      <c r="D180" s="29"/>
      <c r="E180" s="29"/>
      <c r="F180" s="29"/>
      <c r="G180" s="29"/>
      <c r="H180" s="29"/>
      <c r="I180" s="29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ht="15.75" customHeight="1">
      <c r="A181" s="257" t="s">
        <v>310</v>
      </c>
      <c r="B181" s="259" t="s">
        <v>384</v>
      </c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</row>
    <row r="182" ht="15.75" customHeight="1">
      <c r="A182" s="257">
        <v>609.0</v>
      </c>
      <c r="B182" s="260" t="s">
        <v>49</v>
      </c>
      <c r="C182" s="117"/>
      <c r="D182" s="117"/>
      <c r="E182" s="117"/>
      <c r="F182" s="117"/>
      <c r="G182" s="117"/>
      <c r="H182" s="117"/>
      <c r="I182" s="117"/>
      <c r="J182" s="55">
        <f>SUM(I183)</f>
        <v>71988.7</v>
      </c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 ht="15.75" customHeight="1">
      <c r="A183" s="261" t="s">
        <v>392</v>
      </c>
      <c r="B183" s="262" t="s">
        <v>59</v>
      </c>
      <c r="C183" s="263">
        <v>71988.7</v>
      </c>
      <c r="D183" s="55"/>
      <c r="E183" s="55"/>
      <c r="F183" s="55"/>
      <c r="G183" s="263">
        <f>C183</f>
        <v>71988.7</v>
      </c>
      <c r="H183" s="55"/>
      <c r="I183" s="263">
        <f>SUM(D183:H183)</f>
        <v>71988.7</v>
      </c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</row>
    <row r="184" ht="15.75" customHeight="1">
      <c r="A184" s="257">
        <v>619.0</v>
      </c>
      <c r="B184" s="264" t="s">
        <v>53</v>
      </c>
      <c r="C184" s="55"/>
      <c r="D184" s="55"/>
      <c r="E184" s="55"/>
      <c r="F184" s="55"/>
      <c r="G184" s="55"/>
      <c r="H184" s="55"/>
      <c r="I184" s="55"/>
      <c r="J184" s="55">
        <f>SUM(I185)</f>
        <v>422248.58</v>
      </c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t="15.75" customHeight="1">
      <c r="A185" s="261" t="s">
        <v>402</v>
      </c>
      <c r="B185" s="266" t="s">
        <v>63</v>
      </c>
      <c r="C185" s="263">
        <v>422248.58</v>
      </c>
      <c r="D185" s="263">
        <v>272248.58</v>
      </c>
      <c r="E185" s="55"/>
      <c r="F185" s="55"/>
      <c r="G185" s="263">
        <v>150000.0</v>
      </c>
      <c r="H185" s="55"/>
      <c r="I185" s="263">
        <f>SUM(D185:H185)</f>
        <v>422248.58</v>
      </c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 ht="15.75" customHeight="1">
      <c r="A186" s="257">
        <v>622.0</v>
      </c>
      <c r="B186" s="264" t="s">
        <v>100</v>
      </c>
      <c r="C186" s="55"/>
      <c r="D186" s="55"/>
      <c r="E186" s="55"/>
      <c r="F186" s="55"/>
      <c r="G186" s="55"/>
      <c r="H186" s="55"/>
      <c r="I186" s="55"/>
      <c r="J186" s="55">
        <f>SUM(I187)</f>
        <v>1168659.96</v>
      </c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</row>
    <row r="187" ht="15.75" customHeight="1">
      <c r="A187" s="261" t="s">
        <v>412</v>
      </c>
      <c r="B187" s="266" t="s">
        <v>413</v>
      </c>
      <c r="C187" s="263">
        <v>1168659.96</v>
      </c>
      <c r="D187" s="263">
        <v>251028.16</v>
      </c>
      <c r="E187" s="55"/>
      <c r="F187" s="55"/>
      <c r="G187" s="263">
        <v>917631.8</v>
      </c>
      <c r="H187" s="55"/>
      <c r="I187" s="263">
        <f>SUM(D187:H187)</f>
        <v>1168659.96</v>
      </c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</row>
    <row r="188" ht="15.75" customHeight="1">
      <c r="A188" s="257" t="s">
        <v>417</v>
      </c>
      <c r="B188" s="264" t="s">
        <v>395</v>
      </c>
      <c r="C188" s="117"/>
      <c r="D188" s="117"/>
      <c r="E188" s="117"/>
      <c r="F188" s="117"/>
      <c r="G188" s="117"/>
      <c r="H188" s="117"/>
      <c r="I188" s="117"/>
      <c r="J188" s="55">
        <f>SUM(I189)</f>
        <v>562000</v>
      </c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</row>
    <row r="189" ht="15.75" customHeight="1">
      <c r="A189" s="261" t="s">
        <v>420</v>
      </c>
      <c r="B189" s="266" t="s">
        <v>79</v>
      </c>
      <c r="C189" s="263">
        <v>562000.0</v>
      </c>
      <c r="D189" s="55"/>
      <c r="E189" s="55"/>
      <c r="F189" s="55"/>
      <c r="G189" s="263">
        <v>562000.0</v>
      </c>
      <c r="H189" s="55"/>
      <c r="I189" s="263">
        <f>SUM(D189:H189)</f>
        <v>562000</v>
      </c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</row>
    <row r="190" ht="15.75" customHeight="1">
      <c r="A190" s="257">
        <v>629.0</v>
      </c>
      <c r="B190" s="264" t="s">
        <v>14</v>
      </c>
      <c r="C190" s="55"/>
      <c r="D190" s="55"/>
      <c r="E190" s="55"/>
      <c r="F190" s="55"/>
      <c r="G190" s="55"/>
      <c r="H190" s="55"/>
      <c r="I190" s="55"/>
      <c r="J190" s="55">
        <f>SUM(I191:I192)</f>
        <v>240000</v>
      </c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</row>
    <row r="191" ht="15.75" customHeight="1">
      <c r="A191" s="261" t="s">
        <v>427</v>
      </c>
      <c r="B191" s="266" t="s">
        <v>74</v>
      </c>
      <c r="C191" s="263">
        <v>150000.0</v>
      </c>
      <c r="D191" s="55"/>
      <c r="E191" s="55"/>
      <c r="F191" s="55"/>
      <c r="G191" s="263">
        <v>150000.0</v>
      </c>
      <c r="H191" s="55"/>
      <c r="I191" s="263">
        <f t="shared" ref="I191:I192" si="41">SUM(D191:H191)</f>
        <v>150000</v>
      </c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</row>
    <row r="192" ht="15.75" customHeight="1">
      <c r="A192" s="261" t="s">
        <v>429</v>
      </c>
      <c r="B192" s="266" t="s">
        <v>81</v>
      </c>
      <c r="C192" s="263">
        <v>90000.0</v>
      </c>
      <c r="D192" s="55"/>
      <c r="E192" s="55"/>
      <c r="F192" s="55"/>
      <c r="G192" s="263">
        <v>90000.0</v>
      </c>
      <c r="H192" s="55"/>
      <c r="I192" s="263">
        <f t="shared" si="41"/>
        <v>90000</v>
      </c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</row>
    <row r="193" ht="15.75" customHeight="1">
      <c r="A193" s="257">
        <v>689.0</v>
      </c>
      <c r="B193" s="264" t="s">
        <v>314</v>
      </c>
      <c r="C193" s="55"/>
      <c r="D193" s="55"/>
      <c r="E193" s="55"/>
      <c r="F193" s="55"/>
      <c r="G193" s="55"/>
      <c r="H193" s="55"/>
      <c r="I193" s="55"/>
      <c r="J193" s="55">
        <f>SUM(I194)</f>
        <v>114000</v>
      </c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</row>
    <row r="194" ht="15.75" customHeight="1">
      <c r="A194" s="261" t="s">
        <v>420</v>
      </c>
      <c r="B194" s="266" t="s">
        <v>315</v>
      </c>
      <c r="C194" s="71">
        <v>114000.0</v>
      </c>
      <c r="D194" s="72"/>
      <c r="E194" s="72"/>
      <c r="F194" s="72"/>
      <c r="G194" s="71">
        <v>114000.0</v>
      </c>
      <c r="H194" s="72"/>
      <c r="I194" s="71">
        <f>SUM(D194:H194)</f>
        <v>114000</v>
      </c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</row>
    <row r="195" ht="15.75" customHeight="1">
      <c r="A195" s="270"/>
      <c r="B195" s="271" t="s">
        <v>310</v>
      </c>
      <c r="C195" s="272">
        <f t="shared" ref="C195:I195" si="42">SUM(C183:C194)</f>
        <v>2578897.24</v>
      </c>
      <c r="D195" s="272">
        <f t="shared" si="42"/>
        <v>523276.74</v>
      </c>
      <c r="E195" s="272">
        <f t="shared" si="42"/>
        <v>0</v>
      </c>
      <c r="F195" s="272">
        <f t="shared" si="42"/>
        <v>0</v>
      </c>
      <c r="G195" s="272">
        <f t="shared" si="42"/>
        <v>2055620.5</v>
      </c>
      <c r="H195" s="272">
        <f t="shared" si="42"/>
        <v>0</v>
      </c>
      <c r="I195" s="272">
        <f t="shared" si="42"/>
        <v>2578897.24</v>
      </c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</row>
    <row r="196" ht="15.75" customHeight="1">
      <c r="A196" s="59"/>
      <c r="B196" s="176"/>
      <c r="C196" s="42"/>
      <c r="D196" s="20"/>
      <c r="E196" s="21"/>
      <c r="F196" s="22"/>
      <c r="G196" s="22"/>
      <c r="H196" s="22"/>
      <c r="I196" s="23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ht="15.75" customHeight="1">
      <c r="A197" s="214" t="s">
        <v>316</v>
      </c>
      <c r="B197" s="215" t="s">
        <v>317</v>
      </c>
      <c r="C197" s="147"/>
      <c r="D197" s="147"/>
      <c r="E197" s="147"/>
      <c r="F197" s="147"/>
      <c r="G197" s="147"/>
      <c r="H197" s="147"/>
      <c r="I197" s="147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  <c r="AA197" s="216"/>
      <c r="AB197" s="216"/>
      <c r="AC197" s="216"/>
      <c r="AD197" s="216"/>
      <c r="AE197" s="216"/>
      <c r="AF197" s="216"/>
      <c r="AG197" s="216"/>
      <c r="AH197" s="216"/>
      <c r="AI197" s="216"/>
    </row>
    <row r="198" ht="15.75" customHeight="1">
      <c r="A198" s="214" t="s">
        <v>465</v>
      </c>
      <c r="B198" s="215" t="s">
        <v>49</v>
      </c>
      <c r="C198" s="218"/>
      <c r="D198" s="218"/>
      <c r="E198" s="147"/>
      <c r="F198" s="147"/>
      <c r="G198" s="218"/>
      <c r="H198" s="147"/>
      <c r="I198" s="147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  <c r="AA198" s="216"/>
      <c r="AB198" s="216"/>
      <c r="AC198" s="216"/>
      <c r="AD198" s="216"/>
      <c r="AE198" s="216"/>
      <c r="AF198" s="216"/>
      <c r="AG198" s="216"/>
      <c r="AH198" s="216"/>
      <c r="AI198" s="216"/>
    </row>
    <row r="199" ht="15.75" customHeight="1">
      <c r="A199" s="261" t="s">
        <v>467</v>
      </c>
      <c r="B199" s="220" t="s">
        <v>468</v>
      </c>
      <c r="C199" s="221">
        <v>200000.0</v>
      </c>
      <c r="D199" s="221">
        <v>200000.0</v>
      </c>
      <c r="E199" s="147"/>
      <c r="F199" s="147"/>
      <c r="G199" s="222"/>
      <c r="H199" s="147"/>
      <c r="I199" s="222">
        <f t="shared" ref="I199:I200" si="43">SUM(D199:H199)</f>
        <v>200000</v>
      </c>
      <c r="J199" s="216"/>
      <c r="K199" s="222"/>
      <c r="L199" s="222"/>
      <c r="M199" s="222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  <c r="AA199" s="216"/>
      <c r="AB199" s="216"/>
      <c r="AC199" s="216"/>
      <c r="AD199" s="216"/>
      <c r="AE199" s="216"/>
      <c r="AF199" s="216"/>
      <c r="AG199" s="216"/>
      <c r="AH199" s="216"/>
      <c r="AI199" s="216"/>
    </row>
    <row r="200" ht="15.75" customHeight="1">
      <c r="A200" s="273"/>
      <c r="B200" s="220" t="s">
        <v>320</v>
      </c>
      <c r="C200" s="223">
        <v>100000.0</v>
      </c>
      <c r="D200" s="223">
        <v>100000.0</v>
      </c>
      <c r="E200" s="224"/>
      <c r="F200" s="224"/>
      <c r="G200" s="225"/>
      <c r="H200" s="224"/>
      <c r="I200" s="222">
        <f t="shared" si="43"/>
        <v>100000</v>
      </c>
      <c r="J200" s="216"/>
      <c r="K200" s="222"/>
      <c r="L200" s="222"/>
      <c r="M200" s="222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  <c r="AA200" s="216"/>
      <c r="AB200" s="216"/>
      <c r="AC200" s="216"/>
      <c r="AD200" s="216"/>
      <c r="AE200" s="216"/>
      <c r="AF200" s="216"/>
      <c r="AG200" s="216"/>
      <c r="AH200" s="216"/>
      <c r="AI200" s="216"/>
    </row>
    <row r="201" ht="15.75" customHeight="1">
      <c r="A201" s="276"/>
      <c r="B201" s="227" t="s">
        <v>316</v>
      </c>
      <c r="C201" s="228">
        <f t="shared" ref="C201:I201" si="44">SUM(C199:C200)</f>
        <v>300000</v>
      </c>
      <c r="D201" s="228">
        <f t="shared" si="44"/>
        <v>300000</v>
      </c>
      <c r="E201" s="228">
        <f t="shared" si="44"/>
        <v>0</v>
      </c>
      <c r="F201" s="228">
        <f t="shared" si="44"/>
        <v>0</v>
      </c>
      <c r="G201" s="46">
        <f t="shared" si="44"/>
        <v>0</v>
      </c>
      <c r="H201" s="46">
        <f t="shared" si="44"/>
        <v>0</v>
      </c>
      <c r="I201" s="46">
        <f t="shared" si="44"/>
        <v>300000</v>
      </c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  <c r="AA201" s="216"/>
      <c r="AB201" s="216"/>
      <c r="AC201" s="216"/>
      <c r="AD201" s="216"/>
      <c r="AE201" s="216"/>
      <c r="AF201" s="216"/>
      <c r="AG201" s="216"/>
      <c r="AH201" s="216"/>
      <c r="AI201" s="216"/>
    </row>
    <row r="202" ht="15.75" customHeight="1">
      <c r="A202" s="59"/>
      <c r="B202" s="176"/>
      <c r="C202" s="42"/>
      <c r="D202" s="20"/>
      <c r="E202" s="21"/>
      <c r="F202" s="22"/>
      <c r="G202" s="22"/>
      <c r="H202" s="22"/>
      <c r="I202" s="23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ht="15.75" customHeight="1">
      <c r="A203" s="214" t="s">
        <v>321</v>
      </c>
      <c r="B203" s="215" t="s">
        <v>322</v>
      </c>
      <c r="C203" s="147"/>
      <c r="D203" s="147"/>
      <c r="E203" s="147"/>
      <c r="F203" s="147"/>
      <c r="G203" s="147"/>
      <c r="H203" s="147"/>
      <c r="I203" s="147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  <c r="AA203" s="216"/>
      <c r="AB203" s="216"/>
      <c r="AC203" s="216"/>
      <c r="AD203" s="216"/>
      <c r="AE203" s="216"/>
      <c r="AF203" s="216"/>
      <c r="AG203" s="216"/>
      <c r="AH203" s="216"/>
      <c r="AI203" s="216"/>
    </row>
    <row r="204" ht="15.75" customHeight="1">
      <c r="A204" s="214" t="s">
        <v>465</v>
      </c>
      <c r="B204" s="215" t="s">
        <v>49</v>
      </c>
      <c r="C204" s="218"/>
      <c r="D204" s="218"/>
      <c r="E204" s="147"/>
      <c r="F204" s="147"/>
      <c r="G204" s="218"/>
      <c r="H204" s="147"/>
      <c r="I204" s="147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  <c r="AA204" s="216"/>
      <c r="AB204" s="216"/>
      <c r="AC204" s="216"/>
      <c r="AD204" s="216"/>
      <c r="AE204" s="216"/>
      <c r="AF204" s="216"/>
      <c r="AG204" s="216"/>
      <c r="AH204" s="216"/>
      <c r="AI204" s="216"/>
    </row>
    <row r="205" ht="15.75" customHeight="1">
      <c r="A205" s="261" t="s">
        <v>478</v>
      </c>
      <c r="B205" s="220" t="s">
        <v>325</v>
      </c>
      <c r="C205" s="223">
        <v>100000.0</v>
      </c>
      <c r="D205" s="223">
        <v>100000.0</v>
      </c>
      <c r="E205" s="224"/>
      <c r="F205" s="224"/>
      <c r="G205" s="225"/>
      <c r="H205" s="224"/>
      <c r="I205" s="225">
        <f>SUM(D205:H205)</f>
        <v>100000</v>
      </c>
      <c r="J205" s="216"/>
      <c r="K205" s="222"/>
      <c r="L205" s="222"/>
      <c r="M205" s="222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  <c r="AA205" s="216"/>
      <c r="AB205" s="216"/>
      <c r="AC205" s="216"/>
      <c r="AD205" s="216"/>
      <c r="AE205" s="216"/>
      <c r="AF205" s="216"/>
      <c r="AG205" s="216"/>
      <c r="AH205" s="216"/>
      <c r="AI205" s="216"/>
    </row>
    <row r="206" ht="15.75" customHeight="1">
      <c r="A206" s="276"/>
      <c r="B206" s="227" t="s">
        <v>321</v>
      </c>
      <c r="C206" s="228">
        <f t="shared" ref="C206:I206" si="45">SUM(C205)</f>
        <v>100000</v>
      </c>
      <c r="D206" s="228">
        <f t="shared" si="45"/>
        <v>100000</v>
      </c>
      <c r="E206" s="228">
        <f t="shared" si="45"/>
        <v>0</v>
      </c>
      <c r="F206" s="228">
        <f t="shared" si="45"/>
        <v>0</v>
      </c>
      <c r="G206" s="228">
        <f t="shared" si="45"/>
        <v>0</v>
      </c>
      <c r="H206" s="228">
        <f t="shared" si="45"/>
        <v>0</v>
      </c>
      <c r="I206" s="228">
        <f t="shared" si="45"/>
        <v>100000</v>
      </c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  <c r="AA206" s="216"/>
      <c r="AB206" s="216"/>
      <c r="AC206" s="216"/>
      <c r="AD206" s="216"/>
      <c r="AE206" s="216"/>
      <c r="AF206" s="216"/>
      <c r="AG206" s="216"/>
      <c r="AH206" s="216"/>
      <c r="AI206" s="216"/>
    </row>
    <row r="207" ht="15.75" customHeight="1">
      <c r="A207" s="59"/>
      <c r="B207" s="176"/>
      <c r="C207" s="42"/>
      <c r="D207" s="20"/>
      <c r="E207" s="21"/>
      <c r="F207" s="22"/>
      <c r="G207" s="22"/>
      <c r="H207" s="22"/>
      <c r="I207" s="23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ht="15.75" customHeight="1">
      <c r="A208" s="43" t="s">
        <v>326</v>
      </c>
      <c r="B208" s="44" t="s">
        <v>327</v>
      </c>
      <c r="C208" s="42"/>
      <c r="D208" s="20"/>
      <c r="E208" s="21"/>
      <c r="F208" s="22"/>
      <c r="G208" s="22"/>
      <c r="H208" s="22"/>
      <c r="I208" s="23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ht="15.75" customHeight="1">
      <c r="A209" s="43" t="s">
        <v>88</v>
      </c>
      <c r="B209" s="44" t="s">
        <v>482</v>
      </c>
      <c r="C209" s="42"/>
      <c r="D209" s="20"/>
      <c r="E209" s="21"/>
      <c r="F209" s="22"/>
      <c r="G209" s="22"/>
      <c r="H209" s="22"/>
      <c r="I209" s="23"/>
      <c r="J209" s="21">
        <f>SUM(I210:I211)</f>
        <v>201200</v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ht="15.75" customHeight="1">
      <c r="A210" s="261" t="s">
        <v>483</v>
      </c>
      <c r="B210" s="19" t="s">
        <v>329</v>
      </c>
      <c r="C210" s="20">
        <v>200000.0</v>
      </c>
      <c r="D210" s="20">
        <f>200000-E210</f>
        <v>198061.56</v>
      </c>
      <c r="E210" s="229">
        <v>1938.44</v>
      </c>
      <c r="F210" s="22"/>
      <c r="G210" s="22"/>
      <c r="H210" s="22"/>
      <c r="I210" s="29">
        <f t="shared" ref="I210:I211" si="46">SUM(D210:H210)</f>
        <v>200000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ht="15.75" customHeight="1">
      <c r="A211" s="40"/>
      <c r="B211" s="19" t="s">
        <v>330</v>
      </c>
      <c r="C211" s="20">
        <v>1200.0</v>
      </c>
      <c r="D211" s="134">
        <v>0.0</v>
      </c>
      <c r="E211" s="229">
        <v>1200.0</v>
      </c>
      <c r="F211" s="22"/>
      <c r="G211" s="22"/>
      <c r="H211" s="22"/>
      <c r="I211" s="29">
        <f t="shared" si="46"/>
        <v>1200</v>
      </c>
      <c r="J211" s="6"/>
      <c r="K211" s="6"/>
      <c r="L211" s="6"/>
      <c r="M211" s="21">
        <f>L221-1200</f>
        <v>186938.44</v>
      </c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ht="15.75" customHeight="1">
      <c r="A212" s="43" t="s">
        <v>31</v>
      </c>
      <c r="B212" s="28" t="s">
        <v>491</v>
      </c>
      <c r="C212" s="20"/>
      <c r="D212" s="20"/>
      <c r="E212" s="134"/>
      <c r="F212" s="22"/>
      <c r="G212" s="22"/>
      <c r="H212" s="22"/>
      <c r="I212" s="29"/>
      <c r="J212" s="14">
        <f>SUM(I213)</f>
        <v>40000</v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ht="15.75" customHeight="1">
      <c r="A213" s="261" t="s">
        <v>495</v>
      </c>
      <c r="B213" s="19" t="s">
        <v>332</v>
      </c>
      <c r="C213" s="20">
        <v>40000.0</v>
      </c>
      <c r="D213" s="20">
        <v>40000.0</v>
      </c>
      <c r="E213" s="21"/>
      <c r="F213" s="22"/>
      <c r="G213" s="22"/>
      <c r="H213" s="22"/>
      <c r="I213" s="29">
        <f>SUM(D213:H213)</f>
        <v>40000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ht="15.75" customHeight="1">
      <c r="A214" s="40"/>
      <c r="B214" s="45">
        <v>9200.0</v>
      </c>
      <c r="C214" s="46">
        <f t="shared" ref="C214:I214" si="47">SUM(C210:C213)</f>
        <v>241200</v>
      </c>
      <c r="D214" s="46">
        <f t="shared" si="47"/>
        <v>238061.56</v>
      </c>
      <c r="E214" s="46">
        <f t="shared" si="47"/>
        <v>3138.44</v>
      </c>
      <c r="F214" s="46">
        <f t="shared" si="47"/>
        <v>0</v>
      </c>
      <c r="G214" s="46">
        <f t="shared" si="47"/>
        <v>0</v>
      </c>
      <c r="H214" s="46">
        <f t="shared" si="47"/>
        <v>0</v>
      </c>
      <c r="I214" s="46">
        <f t="shared" si="47"/>
        <v>241200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ht="15.75" customHeight="1">
      <c r="A215" s="40"/>
      <c r="B215" s="41"/>
      <c r="C215" s="42"/>
      <c r="D215" s="20"/>
      <c r="E215" s="21"/>
      <c r="F215" s="22"/>
      <c r="G215" s="22"/>
      <c r="H215" s="22"/>
      <c r="I215" s="23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ht="15.75" customHeight="1">
      <c r="A216" s="257" t="s">
        <v>502</v>
      </c>
      <c r="B216" s="259" t="s">
        <v>503</v>
      </c>
      <c r="C216" s="55"/>
      <c r="D216" s="55"/>
      <c r="E216" s="55"/>
      <c r="F216" s="55"/>
      <c r="G216" s="55"/>
      <c r="H216" s="55"/>
      <c r="I216" s="55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</row>
    <row r="217" ht="15.75" customHeight="1">
      <c r="A217" s="257" t="s">
        <v>99</v>
      </c>
      <c r="B217" s="282" t="s">
        <v>100</v>
      </c>
      <c r="C217" s="55"/>
      <c r="D217" s="55"/>
      <c r="E217" s="55"/>
      <c r="F217" s="55"/>
      <c r="G217" s="55"/>
      <c r="H217" s="55"/>
      <c r="I217" s="55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</row>
    <row r="218" ht="15.75" customHeight="1">
      <c r="A218" s="261" t="s">
        <v>506</v>
      </c>
      <c r="B218" s="262" t="s">
        <v>507</v>
      </c>
      <c r="C218" s="284">
        <v>295000.0</v>
      </c>
      <c r="D218" s="284">
        <v>295000.0</v>
      </c>
      <c r="E218" s="285"/>
      <c r="F218" s="72"/>
      <c r="G218" s="72"/>
      <c r="H218" s="72"/>
      <c r="I218" s="71">
        <f>SUM(D218:H218)</f>
        <v>295000</v>
      </c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</row>
    <row r="219" ht="15.75" customHeight="1">
      <c r="A219" s="270"/>
      <c r="B219" s="286">
        <v>9290.0</v>
      </c>
      <c r="C219" s="287">
        <f t="shared" ref="C219:I219" si="48">SUM(C218)</f>
        <v>295000</v>
      </c>
      <c r="D219" s="287">
        <f t="shared" si="48"/>
        <v>295000</v>
      </c>
      <c r="E219" s="287">
        <f t="shared" si="48"/>
        <v>0</v>
      </c>
      <c r="F219" s="287">
        <f t="shared" si="48"/>
        <v>0</v>
      </c>
      <c r="G219" s="287">
        <f t="shared" si="48"/>
        <v>0</v>
      </c>
      <c r="H219" s="287">
        <f t="shared" si="48"/>
        <v>0</v>
      </c>
      <c r="I219" s="287">
        <f t="shared" si="48"/>
        <v>295000</v>
      </c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t="15.75" customHeight="1">
      <c r="A220" s="40"/>
      <c r="B220" s="41"/>
      <c r="C220" s="42"/>
      <c r="D220" s="20"/>
      <c r="E220" s="21"/>
      <c r="F220" s="22"/>
      <c r="G220" s="22"/>
      <c r="H220" s="22"/>
      <c r="I220" s="23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ht="15.75" customHeight="1">
      <c r="A221" s="40"/>
      <c r="B221" s="292" t="s">
        <v>335</v>
      </c>
      <c r="C221" s="232">
        <f t="shared" ref="C221:I221" si="49">SUM(C11,C16,C21,C31,C36,C54,C62,C75,C83,C97,C102,C107,C112,C118,C126,C131,C141,C146,C151,C156,C165,C179,C195,C201,C206,C214,C219)</f>
        <v>12405470.48</v>
      </c>
      <c r="D221" s="232">
        <f t="shared" si="49"/>
        <v>8773380.98</v>
      </c>
      <c r="E221" s="232">
        <f t="shared" si="49"/>
        <v>3138.44</v>
      </c>
      <c r="F221" s="232">
        <f t="shared" si="49"/>
        <v>80240.4</v>
      </c>
      <c r="G221" s="232">
        <f t="shared" si="49"/>
        <v>2157195.5</v>
      </c>
      <c r="H221" s="232">
        <f t="shared" si="49"/>
        <v>1391515.16</v>
      </c>
      <c r="I221" s="232">
        <f t="shared" si="49"/>
        <v>12405470.48</v>
      </c>
      <c r="J221" s="6"/>
      <c r="K221" s="20" t="s">
        <v>337</v>
      </c>
      <c r="L221" s="234">
        <f>IFERROR(__xludf.DUMMYFUNCTION("IMPORTRANGE(""https://docs.google.com/spreadsheets/d/1QHciYMvliATvWbE-ZiCODSi4C7HCgtLrWiSYo1XuIdk"", ""2024!diff_ingreso_gasto"")"),188138.43999999762)</f>
        <v>188138.44</v>
      </c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ht="15.75" customHeight="1">
      <c r="A222" s="233"/>
      <c r="B222" s="41"/>
      <c r="C222" s="42"/>
      <c r="D222" s="20"/>
      <c r="E222" s="21"/>
      <c r="F222" s="23"/>
      <c r="G222" s="23"/>
      <c r="H222" s="23"/>
      <c r="I222" s="23"/>
      <c r="J222" s="6"/>
      <c r="K222" s="20" t="s">
        <v>339</v>
      </c>
      <c r="L222" s="21">
        <f>L221-E221</f>
        <v>185000</v>
      </c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ht="15.75" customHeight="1">
      <c r="A223" s="233"/>
      <c r="B223" s="41"/>
      <c r="C223" s="42"/>
      <c r="D223" s="20"/>
      <c r="E223" s="21"/>
      <c r="F223" s="23"/>
      <c r="G223" s="23"/>
      <c r="H223" s="23"/>
      <c r="I223" s="23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ht="15.75" customHeight="1">
      <c r="A224" s="233"/>
      <c r="B224" s="41"/>
      <c r="C224" s="42"/>
      <c r="D224" s="20"/>
      <c r="E224" s="21"/>
      <c r="F224" s="23"/>
      <c r="G224" s="23"/>
      <c r="H224" s="23"/>
      <c r="I224" s="23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ht="15.75" customHeight="1">
      <c r="A225" s="233"/>
      <c r="B225" s="41"/>
      <c r="C225" s="42"/>
      <c r="F225" s="23"/>
      <c r="G225" s="23"/>
      <c r="H225" s="23"/>
      <c r="I225" s="23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ht="15.75" customHeight="1">
      <c r="A226" s="233"/>
      <c r="B226" s="41"/>
      <c r="C226" s="42"/>
      <c r="F226" s="23"/>
      <c r="G226" s="23"/>
      <c r="H226" s="23"/>
      <c r="I226" s="23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ht="15.75" customHeight="1">
      <c r="A227" s="233"/>
      <c r="B227" s="41"/>
      <c r="C227" s="42"/>
      <c r="D227" s="20"/>
      <c r="E227" s="21"/>
      <c r="F227" s="23"/>
      <c r="G227" s="23"/>
      <c r="H227" s="23"/>
      <c r="I227" s="23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ht="15.75" customHeight="1">
      <c r="A228" s="301"/>
      <c r="B228" s="302" t="s">
        <v>512</v>
      </c>
      <c r="C228" s="303" t="s">
        <v>10</v>
      </c>
      <c r="D228" s="304" t="s">
        <v>513</v>
      </c>
      <c r="E228" s="4"/>
      <c r="F228" s="4"/>
      <c r="G228" s="4"/>
      <c r="H228" s="4"/>
      <c r="I228" s="5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ht="15.75" customHeight="1">
      <c r="A229" s="301"/>
      <c r="B229" s="102"/>
      <c r="C229" s="306"/>
      <c r="D229" s="307" t="s">
        <v>517</v>
      </c>
      <c r="E229" s="308" t="s">
        <v>538</v>
      </c>
      <c r="F229" s="309"/>
      <c r="G229" s="310" t="s">
        <v>518</v>
      </c>
      <c r="H229" s="310" t="s">
        <v>539</v>
      </c>
      <c r="I229" s="310" t="s">
        <v>519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ht="15.75" customHeight="1">
      <c r="A230" s="301"/>
      <c r="B230" s="102"/>
      <c r="C230" s="311"/>
      <c r="D230" s="306"/>
      <c r="E230" s="312" t="s">
        <v>541</v>
      </c>
      <c r="F230" s="312" t="s">
        <v>543</v>
      </c>
      <c r="G230" s="311"/>
      <c r="H230" s="311"/>
      <c r="I230" s="311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ht="15.75" customHeight="1">
      <c r="A231" s="313" t="s">
        <v>43</v>
      </c>
      <c r="B231" s="314" t="s">
        <v>544</v>
      </c>
      <c r="C231" s="315">
        <v>6101734.0</v>
      </c>
      <c r="D231" s="311"/>
      <c r="E231" s="315">
        <v>0.0</v>
      </c>
      <c r="F231" s="315">
        <v>815333.4</v>
      </c>
      <c r="G231" s="315">
        <v>4699467.2</v>
      </c>
      <c r="H231" s="315">
        <v>586933.4</v>
      </c>
      <c r="I231" s="31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ht="15.75" customHeight="1">
      <c r="A232" s="313" t="s">
        <v>57</v>
      </c>
      <c r="B232" s="314" t="s">
        <v>58</v>
      </c>
      <c r="C232" s="315">
        <v>934407.9</v>
      </c>
      <c r="D232" s="311"/>
      <c r="E232" s="315">
        <v>0.0</v>
      </c>
      <c r="F232" s="315">
        <v>488703.95</v>
      </c>
      <c r="G232" s="315">
        <v>445703.95</v>
      </c>
      <c r="H232" s="315">
        <v>0.0</v>
      </c>
      <c r="I232" s="31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ht="15.75" customHeight="1">
      <c r="A233" s="317" t="s">
        <v>549</v>
      </c>
      <c r="B233" s="318" t="s">
        <v>68</v>
      </c>
      <c r="C233" s="315">
        <v>3011581.9</v>
      </c>
      <c r="D233" s="315">
        <v>252262.82</v>
      </c>
      <c r="E233" s="315">
        <v>2022916.09</v>
      </c>
      <c r="F233" s="315">
        <v>736402.99</v>
      </c>
      <c r="G233" s="316"/>
      <c r="H233" s="316"/>
      <c r="I233" s="31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ht="15.75" customHeight="1">
      <c r="A234" s="313" t="s">
        <v>153</v>
      </c>
      <c r="B234" s="318" t="s">
        <v>154</v>
      </c>
      <c r="C234" s="315">
        <v>53240.0</v>
      </c>
      <c r="D234" s="315">
        <v>5324.0</v>
      </c>
      <c r="E234" s="315">
        <v>15972.0</v>
      </c>
      <c r="F234" s="315">
        <v>23958.0</v>
      </c>
      <c r="G234" s="316"/>
      <c r="H234" s="316"/>
      <c r="I234" s="315">
        <v>7986.0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ht="15.75" customHeight="1">
      <c r="A235" s="319" t="s">
        <v>343</v>
      </c>
      <c r="B235" s="318" t="s">
        <v>270</v>
      </c>
      <c r="C235" s="315">
        <v>2385515.0</v>
      </c>
      <c r="D235" s="311"/>
      <c r="E235" s="315">
        <v>0.0</v>
      </c>
      <c r="F235" s="315">
        <v>144595.0</v>
      </c>
      <c r="G235" s="315">
        <v>2240920.0</v>
      </c>
      <c r="H235" s="316"/>
      <c r="I235" s="31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ht="15.75" customHeight="1">
      <c r="A236" s="317" t="s">
        <v>551</v>
      </c>
      <c r="B236" s="318" t="s">
        <v>295</v>
      </c>
      <c r="C236" s="315">
        <v>3554387.07</v>
      </c>
      <c r="D236" s="315">
        <v>1812313.27</v>
      </c>
      <c r="E236" s="315">
        <v>1195880.6</v>
      </c>
      <c r="F236" s="315">
        <v>546193.2</v>
      </c>
      <c r="G236" s="316"/>
      <c r="H236" s="316"/>
      <c r="I236" s="31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ht="15.75" customHeight="1">
      <c r="A237" s="320" t="s">
        <v>392</v>
      </c>
      <c r="B237" s="314" t="s">
        <v>59</v>
      </c>
      <c r="C237" s="315">
        <v>102841.0</v>
      </c>
      <c r="D237" s="316"/>
      <c r="E237" s="315">
        <v>0.0</v>
      </c>
      <c r="F237" s="315">
        <v>71988.7</v>
      </c>
      <c r="G237" s="315">
        <v>30852.3</v>
      </c>
      <c r="H237" s="316"/>
      <c r="I237" s="31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ht="15.75" customHeight="1">
      <c r="A238" s="320" t="s">
        <v>402</v>
      </c>
      <c r="B238" s="321" t="s">
        <v>63</v>
      </c>
      <c r="C238" s="315">
        <v>844497.16</v>
      </c>
      <c r="D238" s="311"/>
      <c r="E238" s="315">
        <v>0.0</v>
      </c>
      <c r="F238" s="315">
        <v>422248.58</v>
      </c>
      <c r="G238" s="315">
        <v>422248.58</v>
      </c>
      <c r="H238" s="316"/>
      <c r="I238" s="31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ht="15.75" customHeight="1">
      <c r="A239" s="320" t="s">
        <v>412</v>
      </c>
      <c r="B239" s="321" t="s">
        <v>413</v>
      </c>
      <c r="C239" s="315">
        <v>2158078.2</v>
      </c>
      <c r="D239" s="311"/>
      <c r="E239" s="315">
        <v>0.0</v>
      </c>
      <c r="F239" s="315">
        <v>1168659.96</v>
      </c>
      <c r="G239" s="315">
        <v>989418.24</v>
      </c>
      <c r="H239" s="316"/>
      <c r="I239" s="31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ht="15.75" customHeight="1">
      <c r="A240" s="320" t="s">
        <v>420</v>
      </c>
      <c r="B240" s="321" t="s">
        <v>79</v>
      </c>
      <c r="C240" s="315">
        <v>562000.0</v>
      </c>
      <c r="D240" s="311"/>
      <c r="E240" s="315">
        <v>0.0</v>
      </c>
      <c r="F240" s="315">
        <v>562000.0</v>
      </c>
      <c r="G240" s="315">
        <v>0.0</v>
      </c>
      <c r="H240" s="316"/>
      <c r="I240" s="31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ht="15.75" customHeight="1">
      <c r="A241" s="320" t="s">
        <v>427</v>
      </c>
      <c r="B241" s="321" t="s">
        <v>74</v>
      </c>
      <c r="C241" s="315">
        <v>332420.5</v>
      </c>
      <c r="D241" s="311"/>
      <c r="E241" s="315">
        <v>0.0</v>
      </c>
      <c r="F241" s="315">
        <v>150000.0</v>
      </c>
      <c r="G241" s="315">
        <v>182420.5</v>
      </c>
      <c r="H241" s="316"/>
      <c r="I241" s="31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ht="15.75" customHeight="1">
      <c r="A242" s="320" t="s">
        <v>429</v>
      </c>
      <c r="B242" s="321" t="s">
        <v>81</v>
      </c>
      <c r="C242" s="315">
        <v>180000.0</v>
      </c>
      <c r="D242" s="311"/>
      <c r="E242" s="315">
        <v>0.0</v>
      </c>
      <c r="F242" s="315">
        <v>90000.0</v>
      </c>
      <c r="G242" s="315">
        <v>90000.0</v>
      </c>
      <c r="H242" s="316"/>
      <c r="I242" s="31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ht="15.75" customHeight="1">
      <c r="A243" s="320" t="s">
        <v>554</v>
      </c>
      <c r="B243" s="321" t="s">
        <v>315</v>
      </c>
      <c r="C243" s="315">
        <v>152420.5</v>
      </c>
      <c r="D243" s="311"/>
      <c r="E243" s="315">
        <v>0.0</v>
      </c>
      <c r="F243" s="315">
        <v>114000.0</v>
      </c>
      <c r="G243" s="315">
        <v>38420.5</v>
      </c>
      <c r="H243" s="316"/>
      <c r="I243" s="31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ht="15.75" customHeight="1">
      <c r="A244" s="320" t="s">
        <v>555</v>
      </c>
      <c r="B244" s="321" t="s">
        <v>556</v>
      </c>
      <c r="C244" s="315">
        <v>426206.0</v>
      </c>
      <c r="D244" s="311"/>
      <c r="E244" s="315">
        <v>0.0</v>
      </c>
      <c r="F244" s="315">
        <v>140370.79</v>
      </c>
      <c r="G244" s="315">
        <v>143231.91</v>
      </c>
      <c r="H244" s="315">
        <v>142603.3</v>
      </c>
      <c r="I244" s="31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ht="15.75" customHeight="1">
      <c r="A245" s="301"/>
      <c r="B245" s="102"/>
      <c r="C245" s="324"/>
      <c r="D245" s="311"/>
      <c r="E245" s="311"/>
      <c r="F245" s="311"/>
      <c r="G245" s="311"/>
      <c r="H245" s="311"/>
      <c r="I245" s="311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ht="15.75" customHeight="1">
      <c r="A246" s="317" t="s">
        <v>549</v>
      </c>
      <c r="B246" s="325" t="s">
        <v>557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ht="15.75" customHeight="1">
      <c r="A247" s="317" t="s">
        <v>551</v>
      </c>
      <c r="B247" s="326" t="s">
        <v>558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</sheetData>
  <mergeCells count="5">
    <mergeCell ref="A1:I1"/>
    <mergeCell ref="D228:I228"/>
    <mergeCell ref="E229:F229"/>
    <mergeCell ref="B246:I246"/>
    <mergeCell ref="B247:I247"/>
  </mergeCells>
  <printOptions/>
  <pageMargins bottom="0.75" footer="0.0" header="0.0" left="0.7" right="0.7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14"/>
    <col customWidth="1" min="2" max="2" width="95.43"/>
    <col customWidth="1" min="3" max="3" width="14.86"/>
    <col customWidth="1" min="4" max="4" width="13.71"/>
    <col customWidth="1" min="5" max="5" width="14.0"/>
    <col customWidth="1" min="6" max="6" width="12.71"/>
    <col customWidth="1" min="7" max="7" width="13.86"/>
    <col customWidth="1" min="8" max="8" width="12.71"/>
    <col customWidth="1" min="9" max="9" width="14.86"/>
    <col customWidth="1" min="10" max="12" width="10.0"/>
    <col customWidth="1" min="13" max="13" width="13.14"/>
    <col customWidth="1" min="14" max="20" width="10.0"/>
  </cols>
  <sheetData>
    <row r="1" ht="15.75" customHeight="1">
      <c r="A1" s="3" t="s">
        <v>0</v>
      </c>
      <c r="B1" s="4"/>
      <c r="C1" s="4"/>
      <c r="D1" s="4"/>
      <c r="E1" s="4"/>
      <c r="F1" s="4"/>
      <c r="G1" s="4"/>
      <c r="H1" s="4"/>
      <c r="I1" s="5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ht="15.75" customHeight="1">
      <c r="A2" s="8"/>
      <c r="B2" s="9"/>
      <c r="C2" s="10"/>
      <c r="D2" s="10"/>
      <c r="E2" s="10"/>
      <c r="F2" s="10"/>
      <c r="G2" s="10"/>
      <c r="H2" s="10"/>
      <c r="I2" s="12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ht="49.5" customHeight="1">
      <c r="A3" s="13" t="s">
        <v>2</v>
      </c>
      <c r="B3" s="13" t="s">
        <v>3</v>
      </c>
      <c r="C3" s="15" t="s">
        <v>4</v>
      </c>
      <c r="D3" s="15" t="s">
        <v>1</v>
      </c>
      <c r="E3" s="15" t="s">
        <v>5</v>
      </c>
      <c r="F3" s="15" t="s">
        <v>6</v>
      </c>
      <c r="G3" s="17" t="s">
        <v>7</v>
      </c>
      <c r="H3" s="15" t="s">
        <v>9</v>
      </c>
      <c r="I3" s="15" t="s">
        <v>10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ht="15.75" customHeight="1">
      <c r="A4" s="18"/>
      <c r="B4" s="19"/>
      <c r="C4" s="20"/>
      <c r="D4" s="20"/>
      <c r="E4" s="21"/>
      <c r="F4" s="22"/>
      <c r="G4" s="22"/>
      <c r="H4" s="22"/>
      <c r="I4" s="23" t="str">
        <f>C4</f>
        <v/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ht="15.75" customHeight="1">
      <c r="A5" s="24" t="s">
        <v>12</v>
      </c>
      <c r="B5" s="25" t="s">
        <v>13</v>
      </c>
      <c r="C5" s="26"/>
      <c r="D5" s="26"/>
      <c r="E5" s="26"/>
      <c r="F5" s="26"/>
      <c r="G5" s="26"/>
      <c r="H5" s="26"/>
      <c r="I5" s="23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ht="15.75" customHeight="1">
      <c r="A6" s="27">
        <v>629.0</v>
      </c>
      <c r="B6" s="28" t="s">
        <v>14</v>
      </c>
      <c r="C6" s="26"/>
      <c r="D6" s="26"/>
      <c r="E6" s="26"/>
      <c r="F6" s="26"/>
      <c r="G6" s="26"/>
      <c r="H6" s="26"/>
      <c r="I6" s="23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ht="15.75" customHeight="1">
      <c r="A7" s="6"/>
      <c r="B7" s="19" t="s">
        <v>15</v>
      </c>
      <c r="C7" s="20">
        <v>18000.0</v>
      </c>
      <c r="D7" s="20">
        <v>18000.0</v>
      </c>
      <c r="E7" s="22"/>
      <c r="F7" s="22"/>
      <c r="G7" s="22"/>
      <c r="H7" s="23"/>
      <c r="I7" s="29">
        <f>SUM(D7:H7)</f>
        <v>18000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ht="15.75" customHeight="1">
      <c r="A8" s="30"/>
      <c r="B8" s="24" t="s">
        <v>12</v>
      </c>
      <c r="C8" s="31">
        <f t="shared" ref="C8:I8" si="1">SUM(C7)</f>
        <v>18000</v>
      </c>
      <c r="D8" s="31">
        <f t="shared" si="1"/>
        <v>18000</v>
      </c>
      <c r="E8" s="31">
        <f t="shared" si="1"/>
        <v>0</v>
      </c>
      <c r="F8" s="31">
        <f t="shared" si="1"/>
        <v>0</v>
      </c>
      <c r="G8" s="31">
        <f t="shared" si="1"/>
        <v>0</v>
      </c>
      <c r="H8" s="31">
        <f t="shared" si="1"/>
        <v>0</v>
      </c>
      <c r="I8" s="31">
        <f t="shared" si="1"/>
        <v>18000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</row>
    <row r="10" ht="15.75" customHeight="1">
      <c r="A10" s="33">
        <v>1340.0</v>
      </c>
      <c r="B10" s="34" t="s">
        <v>17</v>
      </c>
      <c r="C10" s="26"/>
      <c r="D10" s="26"/>
      <c r="E10" s="26"/>
      <c r="F10" s="26"/>
      <c r="G10" s="26"/>
      <c r="H10" s="26"/>
      <c r="I10" s="23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ht="15.75" customHeight="1">
      <c r="A11" s="33">
        <v>619.0</v>
      </c>
      <c r="B11" s="35" t="s">
        <v>18</v>
      </c>
      <c r="C11" s="26"/>
      <c r="D11" s="26"/>
      <c r="E11" s="26"/>
      <c r="F11" s="26"/>
      <c r="G11" s="26"/>
      <c r="H11" s="26"/>
      <c r="I11" s="23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ht="15.75" customHeight="1">
      <c r="A12" s="30"/>
      <c r="B12" s="36" t="s">
        <v>19</v>
      </c>
      <c r="C12" s="38">
        <v>70000.0</v>
      </c>
      <c r="D12" s="38">
        <v>70000.0</v>
      </c>
      <c r="E12" s="22"/>
      <c r="F12" s="22"/>
      <c r="G12" s="22"/>
      <c r="H12" s="23"/>
      <c r="I12" s="29">
        <f>SUM(D12:H12)</f>
        <v>70000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ht="15.75" customHeight="1">
      <c r="A13" s="30"/>
      <c r="B13" s="33">
        <v>1340.0</v>
      </c>
      <c r="C13" s="31">
        <f t="shared" ref="C13:I13" si="2">SUM(C12)</f>
        <v>70000</v>
      </c>
      <c r="D13" s="31">
        <f t="shared" si="2"/>
        <v>70000</v>
      </c>
      <c r="E13" s="31">
        <f t="shared" si="2"/>
        <v>0</v>
      </c>
      <c r="F13" s="31">
        <f t="shared" si="2"/>
        <v>0</v>
      </c>
      <c r="G13" s="31">
        <f t="shared" si="2"/>
        <v>0</v>
      </c>
      <c r="H13" s="31">
        <f t="shared" si="2"/>
        <v>0</v>
      </c>
      <c r="I13" s="31">
        <f t="shared" si="2"/>
        <v>70000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ht="15.75" customHeight="1">
      <c r="A14" s="40"/>
      <c r="B14" s="41"/>
      <c r="C14" s="42"/>
      <c r="D14" s="20"/>
      <c r="E14" s="21"/>
      <c r="F14" s="22"/>
      <c r="G14" s="22"/>
      <c r="H14" s="22"/>
      <c r="I14" s="23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ht="15.75" customHeight="1">
      <c r="A15" s="43" t="s">
        <v>22</v>
      </c>
      <c r="B15" s="44" t="s">
        <v>23</v>
      </c>
      <c r="C15" s="42"/>
      <c r="D15" s="20"/>
      <c r="E15" s="21"/>
      <c r="F15" s="22"/>
      <c r="G15" s="22"/>
      <c r="H15" s="22"/>
      <c r="I15" s="23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ht="15.75" customHeight="1">
      <c r="A16" s="43" t="s">
        <v>25</v>
      </c>
      <c r="B16" s="44" t="s">
        <v>26</v>
      </c>
      <c r="C16" s="42"/>
      <c r="D16" s="20"/>
      <c r="E16" s="21"/>
      <c r="F16" s="22"/>
      <c r="G16" s="22"/>
      <c r="H16" s="22"/>
      <c r="I16" s="23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ht="15.75" customHeight="1">
      <c r="A17" s="43"/>
      <c r="B17" s="19" t="s">
        <v>27</v>
      </c>
      <c r="C17" s="20">
        <v>100000.0</v>
      </c>
      <c r="D17" s="20">
        <v>100000.0</v>
      </c>
      <c r="E17" s="21"/>
      <c r="F17" s="22"/>
      <c r="G17" s="22"/>
      <c r="H17" s="22"/>
      <c r="I17" s="29">
        <f t="shared" ref="I17:I18" si="3">SUM(D17:H17)</f>
        <v>100000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ht="15.75" customHeight="1">
      <c r="A18" s="43"/>
      <c r="B18" s="19" t="s">
        <v>30</v>
      </c>
      <c r="C18" s="20">
        <v>25000.0</v>
      </c>
      <c r="D18" s="20">
        <v>25000.0</v>
      </c>
      <c r="E18" s="21"/>
      <c r="F18" s="22"/>
      <c r="G18" s="22"/>
      <c r="H18" s="22"/>
      <c r="I18" s="29">
        <f t="shared" si="3"/>
        <v>25000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ht="15.75" customHeight="1">
      <c r="A19" s="43" t="s">
        <v>31</v>
      </c>
      <c r="B19" s="44" t="s">
        <v>14</v>
      </c>
      <c r="C19" s="42"/>
      <c r="D19" s="42"/>
      <c r="E19" s="21"/>
      <c r="F19" s="22"/>
      <c r="G19" s="22"/>
      <c r="H19" s="22"/>
      <c r="I19" s="42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ht="15.75" customHeight="1">
      <c r="A20" s="40"/>
      <c r="B20" s="19" t="s">
        <v>32</v>
      </c>
      <c r="C20" s="20">
        <v>1740.0</v>
      </c>
      <c r="D20" s="20">
        <v>1740.0</v>
      </c>
      <c r="F20" s="22"/>
      <c r="G20" s="22"/>
      <c r="H20" s="22"/>
      <c r="I20" s="29">
        <f t="shared" ref="I20:I23" si="4">SUM(D20:H20)</f>
        <v>1740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ht="15.75" customHeight="1">
      <c r="A21" s="40"/>
      <c r="B21" s="19" t="s">
        <v>33</v>
      </c>
      <c r="C21" s="20">
        <v>840.0</v>
      </c>
      <c r="D21" s="20">
        <v>840.0</v>
      </c>
      <c r="F21" s="21"/>
      <c r="G21" s="21"/>
      <c r="H21" s="21"/>
      <c r="I21" s="29">
        <f t="shared" si="4"/>
        <v>840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ht="15.75" customHeight="1">
      <c r="A22" s="40"/>
      <c r="B22" s="19" t="s">
        <v>34</v>
      </c>
      <c r="C22" s="20">
        <v>5000.0</v>
      </c>
      <c r="D22" s="20">
        <v>5000.0</v>
      </c>
      <c r="F22" s="22"/>
      <c r="G22" s="22"/>
      <c r="H22" s="22"/>
      <c r="I22" s="29">
        <f t="shared" si="4"/>
        <v>5000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ht="15.75" customHeight="1">
      <c r="A23" s="40"/>
      <c r="B23" s="19" t="s">
        <v>35</v>
      </c>
      <c r="C23" s="20">
        <v>3500.0</v>
      </c>
      <c r="D23" s="20">
        <v>3500.0</v>
      </c>
      <c r="F23" s="22"/>
      <c r="G23" s="22"/>
      <c r="H23" s="22"/>
      <c r="I23" s="29">
        <f t="shared" si="4"/>
        <v>3500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ht="15.75" customHeight="1">
      <c r="A24" s="40"/>
      <c r="B24" s="45">
        <v>1510.0</v>
      </c>
      <c r="C24" s="46">
        <f t="shared" ref="C24:I24" si="5">SUM(C17:C23)</f>
        <v>136080</v>
      </c>
      <c r="D24" s="46">
        <f t="shared" si="5"/>
        <v>136080</v>
      </c>
      <c r="E24" s="46">
        <f t="shared" si="5"/>
        <v>0</v>
      </c>
      <c r="F24" s="46">
        <f t="shared" si="5"/>
        <v>0</v>
      </c>
      <c r="G24" s="46">
        <f t="shared" si="5"/>
        <v>0</v>
      </c>
      <c r="H24" s="46">
        <f t="shared" si="5"/>
        <v>0</v>
      </c>
      <c r="I24" s="46">
        <f t="shared" si="5"/>
        <v>136080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ht="15.75" customHeight="1">
      <c r="A25" s="40"/>
      <c r="B25" s="49"/>
      <c r="C25" s="51"/>
      <c r="D25" s="51"/>
      <c r="E25" s="51"/>
      <c r="F25" s="51"/>
      <c r="G25" s="51"/>
      <c r="H25" s="51"/>
      <c r="I25" s="51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ht="15.75" customHeight="1">
      <c r="A26" s="43" t="s">
        <v>37</v>
      </c>
      <c r="B26" s="44" t="s">
        <v>38</v>
      </c>
      <c r="C26" s="42"/>
      <c r="D26" s="20"/>
      <c r="E26" s="21"/>
      <c r="F26" s="22"/>
      <c r="G26" s="22"/>
      <c r="H26" s="22"/>
      <c r="I26" s="23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ht="15.75" customHeight="1">
      <c r="A27" s="43" t="s">
        <v>40</v>
      </c>
      <c r="B27" s="44" t="s">
        <v>41</v>
      </c>
      <c r="C27" s="42"/>
      <c r="D27" s="20"/>
      <c r="E27" s="21"/>
      <c r="F27" s="22"/>
      <c r="G27" s="22"/>
      <c r="H27" s="22"/>
      <c r="I27" s="23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ht="15.75" customHeight="1">
      <c r="A28" s="59" t="s">
        <v>43</v>
      </c>
      <c r="B28" s="60" t="s">
        <v>46</v>
      </c>
      <c r="C28" s="61">
        <v>3250000.0</v>
      </c>
      <c r="D28" s="61">
        <v>488000.0</v>
      </c>
      <c r="E28" s="64"/>
      <c r="F28" s="67"/>
      <c r="G28" s="61">
        <v>2762000.0</v>
      </c>
      <c r="H28" s="67"/>
      <c r="I28" s="67">
        <f>SUM(D28:H28)</f>
        <v>3250000</v>
      </c>
      <c r="J28" s="6"/>
      <c r="K28" s="21">
        <f>C28-D28</f>
        <v>2762000</v>
      </c>
      <c r="L28" s="6"/>
      <c r="M28" s="6"/>
      <c r="N28" s="6"/>
      <c r="O28" s="6"/>
      <c r="P28" s="6"/>
      <c r="Q28" s="6"/>
      <c r="R28" s="6"/>
      <c r="S28" s="6"/>
      <c r="T28" s="6"/>
    </row>
    <row r="29" ht="15.75" customHeight="1">
      <c r="A29" s="40"/>
      <c r="B29" s="45">
        <v>1522.0</v>
      </c>
      <c r="C29" s="46">
        <f t="shared" ref="C29:I29" si="6">SUM(C28)</f>
        <v>3250000</v>
      </c>
      <c r="D29" s="46">
        <f t="shared" si="6"/>
        <v>488000</v>
      </c>
      <c r="E29" s="46">
        <f t="shared" si="6"/>
        <v>0</v>
      </c>
      <c r="F29" s="46">
        <f t="shared" si="6"/>
        <v>0</v>
      </c>
      <c r="G29" s="46">
        <f t="shared" si="6"/>
        <v>2762000</v>
      </c>
      <c r="H29" s="46">
        <f t="shared" si="6"/>
        <v>0</v>
      </c>
      <c r="I29" s="46">
        <f t="shared" si="6"/>
        <v>3250000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ht="15.75" customHeight="1">
      <c r="A30" s="30"/>
      <c r="B30" s="73"/>
      <c r="C30" s="22"/>
      <c r="D30" s="22"/>
      <c r="E30" s="22"/>
      <c r="F30" s="22"/>
      <c r="G30" s="22"/>
      <c r="H30" s="23"/>
      <c r="I30" s="23"/>
      <c r="J30" s="6"/>
      <c r="K30" s="6"/>
      <c r="L30" s="75"/>
      <c r="M30" s="75"/>
      <c r="N30" s="75"/>
      <c r="O30" s="6"/>
      <c r="P30" s="6"/>
      <c r="Q30" s="6"/>
      <c r="R30" s="6"/>
      <c r="S30" s="6"/>
      <c r="T30" s="6"/>
    </row>
    <row r="31" ht="15.75" customHeight="1">
      <c r="A31" s="33">
        <v>1530.0</v>
      </c>
      <c r="B31" s="34" t="s">
        <v>52</v>
      </c>
      <c r="C31" s="22"/>
      <c r="D31" s="22"/>
      <c r="E31" s="22"/>
      <c r="F31" s="22"/>
      <c r="G31" s="22"/>
      <c r="H31" s="23"/>
      <c r="I31" s="23"/>
      <c r="J31" s="6"/>
      <c r="K31" s="6"/>
      <c r="L31" s="75">
        <v>2294422.81</v>
      </c>
      <c r="M31" s="75">
        <v>437150.17</v>
      </c>
      <c r="N31" s="75">
        <v>2333505.17</v>
      </c>
      <c r="O31" s="83">
        <f>N31+M31-L31</f>
        <v>476232.53</v>
      </c>
      <c r="P31" s="6"/>
      <c r="Q31" s="6"/>
      <c r="R31" s="6"/>
      <c r="S31" s="6"/>
      <c r="T31" s="6"/>
    </row>
    <row r="32" ht="15.75" customHeight="1">
      <c r="A32" s="33">
        <v>619.0</v>
      </c>
      <c r="B32" s="35" t="s">
        <v>53</v>
      </c>
      <c r="C32" s="85"/>
      <c r="D32" s="85"/>
      <c r="E32" s="85"/>
      <c r="F32" s="85"/>
      <c r="G32" s="85"/>
      <c r="H32" s="85"/>
      <c r="I32" s="23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ht="15.75" customHeight="1">
      <c r="A33" s="88" t="s">
        <v>57</v>
      </c>
      <c r="B33" s="90" t="s">
        <v>58</v>
      </c>
      <c r="C33" s="92">
        <v>500000.0</v>
      </c>
      <c r="D33" s="92">
        <v>100000.0</v>
      </c>
      <c r="E33" s="94"/>
      <c r="F33" s="67"/>
      <c r="G33" s="61">
        <v>400000.0</v>
      </c>
      <c r="H33" s="96"/>
      <c r="I33" s="67">
        <f t="shared" ref="I33:I41" si="7">SUM(D33:H33)</f>
        <v>500000</v>
      </c>
      <c r="J33" s="6"/>
      <c r="K33" s="6"/>
      <c r="L33" s="99"/>
      <c r="M33" s="99"/>
      <c r="N33" s="99"/>
      <c r="O33" s="6"/>
      <c r="P33" s="6"/>
      <c r="Q33" s="6"/>
      <c r="R33" s="6"/>
      <c r="S33" s="6"/>
      <c r="T33" s="6"/>
    </row>
    <row r="34" ht="15.75" customHeight="1">
      <c r="A34" s="30"/>
      <c r="B34" s="101" t="s">
        <v>62</v>
      </c>
      <c r="C34" s="103">
        <v>123000.0</v>
      </c>
      <c r="D34" s="103">
        <v>123000.0</v>
      </c>
      <c r="E34" s="32"/>
      <c r="F34" s="22"/>
      <c r="G34" s="22"/>
      <c r="H34" s="23"/>
      <c r="I34" s="29">
        <f t="shared" si="7"/>
        <v>123000</v>
      </c>
      <c r="J34" s="6"/>
      <c r="K34" s="6"/>
      <c r="L34" s="99">
        <v>2023.0</v>
      </c>
      <c r="M34" s="99" t="s">
        <v>65</v>
      </c>
      <c r="N34" s="99">
        <v>2024.0</v>
      </c>
      <c r="O34" s="6"/>
      <c r="P34" s="6"/>
      <c r="Q34" s="6"/>
      <c r="R34" s="6"/>
      <c r="S34" s="6"/>
      <c r="T34" s="6"/>
    </row>
    <row r="35" ht="15.75" customHeight="1">
      <c r="A35" s="88" t="s">
        <v>67</v>
      </c>
      <c r="B35" s="60" t="s">
        <v>68</v>
      </c>
      <c r="C35" s="67">
        <v>476232.53</v>
      </c>
      <c r="D35" s="67">
        <v>476232.53</v>
      </c>
      <c r="E35" s="94"/>
      <c r="F35" s="67"/>
      <c r="G35" s="67"/>
      <c r="H35" s="96"/>
      <c r="I35" s="67">
        <f t="shared" si="7"/>
        <v>476232.53</v>
      </c>
      <c r="J35" s="6"/>
      <c r="K35" s="6"/>
      <c r="L35" s="32"/>
      <c r="M35" s="32"/>
      <c r="N35" s="75">
        <v>2476483.77</v>
      </c>
      <c r="O35" s="6"/>
      <c r="P35" s="6"/>
      <c r="Q35" s="6"/>
      <c r="R35" s="6"/>
      <c r="S35" s="6"/>
      <c r="T35" s="6"/>
    </row>
    <row r="36" ht="15.75" customHeight="1">
      <c r="A36" s="88" t="s">
        <v>71</v>
      </c>
      <c r="B36" s="60" t="s">
        <v>72</v>
      </c>
      <c r="C36" s="61">
        <v>53621.4</v>
      </c>
      <c r="D36" s="61">
        <v>53621.4</v>
      </c>
      <c r="E36" s="67"/>
      <c r="F36" s="67"/>
      <c r="G36" s="67"/>
      <c r="H36" s="96"/>
      <c r="I36" s="67">
        <f t="shared" si="7"/>
        <v>53621.4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ht="15.75" customHeight="1">
      <c r="A37" s="30"/>
      <c r="B37" s="106" t="s">
        <v>75</v>
      </c>
      <c r="C37" s="107">
        <v>242400.0</v>
      </c>
      <c r="D37" s="107">
        <v>236400.0</v>
      </c>
      <c r="E37" s="22"/>
      <c r="F37" s="20">
        <v>6000.0</v>
      </c>
      <c r="G37" s="22"/>
      <c r="H37" s="23"/>
      <c r="I37" s="29">
        <f t="shared" si="7"/>
        <v>242400</v>
      </c>
      <c r="J37" s="6"/>
      <c r="K37" s="6"/>
      <c r="L37" s="83">
        <f>L31-M31</f>
        <v>1857272.64</v>
      </c>
      <c r="M37" s="83">
        <f>N35-L37</f>
        <v>619211.13</v>
      </c>
      <c r="N37" s="6"/>
      <c r="O37" s="6"/>
      <c r="P37" s="6"/>
      <c r="Q37" s="6"/>
      <c r="R37" s="6"/>
      <c r="S37" s="6"/>
      <c r="T37" s="6"/>
    </row>
    <row r="38" ht="15.75" customHeight="1">
      <c r="A38" s="30"/>
      <c r="B38" s="36" t="s">
        <v>82</v>
      </c>
      <c r="C38" s="38">
        <v>60000.0</v>
      </c>
      <c r="D38" s="38">
        <v>60000.0</v>
      </c>
      <c r="E38" s="22"/>
      <c r="F38" s="22"/>
      <c r="G38" s="22"/>
      <c r="H38" s="23"/>
      <c r="I38" s="29">
        <f t="shared" si="7"/>
        <v>60000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ht="15.75" customHeight="1">
      <c r="A39" s="30"/>
      <c r="B39" s="36" t="s">
        <v>84</v>
      </c>
      <c r="C39" s="38">
        <v>40000.0</v>
      </c>
      <c r="D39" s="38">
        <v>40000.0</v>
      </c>
      <c r="E39" s="22"/>
      <c r="F39" s="22"/>
      <c r="G39" s="22"/>
      <c r="H39" s="23"/>
      <c r="I39" s="29">
        <f t="shared" si="7"/>
        <v>40000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ht="15.75" customHeight="1">
      <c r="A40" s="30"/>
      <c r="B40" s="36" t="s">
        <v>86</v>
      </c>
      <c r="C40" s="38">
        <v>15000.0</v>
      </c>
      <c r="D40" s="38">
        <v>15000.0</v>
      </c>
      <c r="E40" s="22"/>
      <c r="F40" s="22"/>
      <c r="G40" s="22"/>
      <c r="H40" s="23"/>
      <c r="I40" s="29">
        <f t="shared" si="7"/>
        <v>15000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ht="15.75" customHeight="1">
      <c r="A41" s="30"/>
      <c r="B41" s="36" t="s">
        <v>87</v>
      </c>
      <c r="C41" s="38">
        <v>25000.0</v>
      </c>
      <c r="D41" s="38">
        <v>25000.0</v>
      </c>
      <c r="E41" s="22"/>
      <c r="F41" s="22"/>
      <c r="G41" s="22"/>
      <c r="H41" s="23"/>
      <c r="I41" s="29">
        <f t="shared" si="7"/>
        <v>25000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ht="15.75" customHeight="1">
      <c r="A42" s="30"/>
      <c r="B42" s="33">
        <v>1530.0</v>
      </c>
      <c r="C42" s="31">
        <f t="shared" ref="C42:I42" si="8">SUM(C33:C41)</f>
        <v>1535253.93</v>
      </c>
      <c r="D42" s="31">
        <f t="shared" si="8"/>
        <v>1129253.93</v>
      </c>
      <c r="E42" s="31">
        <f t="shared" si="8"/>
        <v>0</v>
      </c>
      <c r="F42" s="31">
        <f t="shared" si="8"/>
        <v>6000</v>
      </c>
      <c r="G42" s="31">
        <f t="shared" si="8"/>
        <v>400000</v>
      </c>
      <c r="H42" s="31">
        <f t="shared" si="8"/>
        <v>0</v>
      </c>
      <c r="I42" s="118">
        <f t="shared" si="8"/>
        <v>1535253.93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ht="15.75" customHeight="1">
      <c r="A43" s="120"/>
      <c r="B43" s="99"/>
      <c r="C43" s="21"/>
      <c r="D43" s="21"/>
      <c r="E43" s="21"/>
      <c r="F43" s="21"/>
      <c r="G43" s="21"/>
      <c r="H43" s="21"/>
      <c r="I43" s="122"/>
      <c r="J43" s="123"/>
      <c r="K43" s="123"/>
      <c r="L43" s="123"/>
      <c r="M43" s="123"/>
      <c r="N43" s="123"/>
      <c r="O43" s="123"/>
      <c r="P43" s="123"/>
      <c r="Q43" s="123"/>
      <c r="R43" s="123"/>
      <c r="S43" s="6"/>
      <c r="T43" s="6"/>
    </row>
    <row r="44" ht="15.75" customHeight="1">
      <c r="A44" s="126" t="s">
        <v>97</v>
      </c>
      <c r="B44" s="127" t="s">
        <v>98</v>
      </c>
      <c r="C44" s="21"/>
      <c r="D44" s="21"/>
      <c r="E44" s="21"/>
      <c r="F44" s="21"/>
      <c r="G44" s="21"/>
      <c r="H44" s="21"/>
      <c r="I44" s="122"/>
      <c r="J44" s="123"/>
      <c r="K44" s="123"/>
      <c r="L44" s="123"/>
      <c r="M44" s="123"/>
      <c r="N44" s="123"/>
      <c r="O44" s="123"/>
      <c r="P44" s="123"/>
      <c r="Q44" s="123"/>
      <c r="R44" s="123"/>
      <c r="S44" s="6"/>
      <c r="T44" s="6"/>
    </row>
    <row r="45" ht="15.75" customHeight="1">
      <c r="A45" s="129" t="s">
        <v>99</v>
      </c>
      <c r="B45" s="130" t="s">
        <v>100</v>
      </c>
      <c r="C45" s="21"/>
      <c r="D45" s="21"/>
      <c r="E45" s="21"/>
      <c r="F45" s="21"/>
      <c r="G45" s="21"/>
      <c r="H45" s="21"/>
      <c r="I45" s="122"/>
      <c r="J45" s="123"/>
      <c r="K45" s="123"/>
      <c r="L45" s="123"/>
      <c r="M45" s="123"/>
      <c r="N45" s="123"/>
      <c r="O45" s="123"/>
      <c r="P45" s="123"/>
      <c r="Q45" s="123"/>
      <c r="R45" s="123"/>
      <c r="S45" s="6"/>
      <c r="T45" s="6"/>
    </row>
    <row r="46" ht="15.75" customHeight="1">
      <c r="A46" s="120"/>
      <c r="B46" s="131" t="s">
        <v>103</v>
      </c>
      <c r="C46" s="103">
        <v>40000.0</v>
      </c>
      <c r="D46" s="133">
        <f t="shared" ref="D46:D50" si="9">C46</f>
        <v>40000</v>
      </c>
      <c r="E46" s="103"/>
      <c r="F46" s="134"/>
      <c r="G46" s="134"/>
      <c r="H46" s="134"/>
      <c r="I46" s="29">
        <f t="shared" ref="I46:I50" si="10">SUM(D46:H46)</f>
        <v>40000</v>
      </c>
      <c r="J46" s="123"/>
      <c r="K46" s="123"/>
      <c r="L46" s="123"/>
      <c r="M46" s="123"/>
      <c r="N46" s="123"/>
      <c r="O46" s="123"/>
      <c r="P46" s="123"/>
      <c r="Q46" s="123"/>
      <c r="R46" s="123"/>
      <c r="S46" s="6"/>
      <c r="T46" s="6"/>
    </row>
    <row r="47" ht="15.75" customHeight="1">
      <c r="A47" s="120"/>
      <c r="B47" s="135" t="s">
        <v>108</v>
      </c>
      <c r="C47" s="103">
        <v>40000.0</v>
      </c>
      <c r="D47" s="133">
        <f t="shared" si="9"/>
        <v>40000</v>
      </c>
      <c r="E47" s="103"/>
      <c r="F47" s="134"/>
      <c r="G47" s="134"/>
      <c r="H47" s="134"/>
      <c r="I47" s="29">
        <f t="shared" si="10"/>
        <v>40000</v>
      </c>
      <c r="J47" s="123"/>
      <c r="K47" s="123"/>
      <c r="L47" s="123"/>
      <c r="M47" s="123"/>
      <c r="N47" s="123"/>
      <c r="O47" s="123"/>
      <c r="P47" s="123"/>
      <c r="Q47" s="123"/>
      <c r="R47" s="123"/>
      <c r="S47" s="6"/>
      <c r="T47" s="6"/>
    </row>
    <row r="48" ht="15.75" customHeight="1">
      <c r="A48" s="120"/>
      <c r="B48" s="135" t="s">
        <v>111</v>
      </c>
      <c r="C48" s="103">
        <v>40000.0</v>
      </c>
      <c r="D48" s="133">
        <f t="shared" si="9"/>
        <v>40000</v>
      </c>
      <c r="E48" s="103"/>
      <c r="F48" s="134"/>
      <c r="G48" s="134"/>
      <c r="H48" s="134"/>
      <c r="I48" s="29">
        <f t="shared" si="10"/>
        <v>40000</v>
      </c>
      <c r="J48" s="123"/>
      <c r="K48" s="123"/>
      <c r="L48" s="123"/>
      <c r="M48" s="123"/>
      <c r="N48" s="123"/>
      <c r="O48" s="123"/>
      <c r="P48" s="123"/>
      <c r="Q48" s="123"/>
      <c r="R48" s="123"/>
      <c r="S48" s="6"/>
      <c r="T48" s="6"/>
    </row>
    <row r="49" ht="15.75" customHeight="1">
      <c r="A49" s="120"/>
      <c r="B49" s="131" t="s">
        <v>113</v>
      </c>
      <c r="C49" s="103">
        <v>5000.0</v>
      </c>
      <c r="D49" s="133">
        <f t="shared" si="9"/>
        <v>5000</v>
      </c>
      <c r="E49" s="103"/>
      <c r="F49" s="134"/>
      <c r="G49" s="134"/>
      <c r="H49" s="134"/>
      <c r="I49" s="29">
        <f t="shared" si="10"/>
        <v>5000</v>
      </c>
      <c r="J49" s="123"/>
      <c r="K49" s="123"/>
      <c r="L49" s="123"/>
      <c r="M49" s="123"/>
      <c r="N49" s="123"/>
      <c r="O49" s="123"/>
      <c r="P49" s="123"/>
      <c r="Q49" s="123"/>
      <c r="R49" s="123"/>
      <c r="S49" s="6"/>
      <c r="T49" s="6"/>
    </row>
    <row r="50" ht="15.75" customHeight="1">
      <c r="A50" s="120"/>
      <c r="B50" s="136" t="s">
        <v>115</v>
      </c>
      <c r="C50" s="137">
        <v>120000.0</v>
      </c>
      <c r="D50" s="137">
        <f t="shared" si="9"/>
        <v>120000</v>
      </c>
      <c r="E50" s="138"/>
      <c r="F50" s="139"/>
      <c r="G50" s="139"/>
      <c r="H50" s="140"/>
      <c r="I50" s="141">
        <f t="shared" si="10"/>
        <v>120000</v>
      </c>
      <c r="J50" s="123"/>
      <c r="K50" s="123"/>
      <c r="L50" s="123"/>
      <c r="M50" s="123"/>
      <c r="N50" s="123"/>
      <c r="O50" s="123"/>
      <c r="P50" s="123"/>
      <c r="Q50" s="123"/>
      <c r="R50" s="123"/>
      <c r="S50" s="6"/>
      <c r="T50" s="6"/>
    </row>
    <row r="51" ht="15.75" customHeight="1">
      <c r="A51" s="126" t="s">
        <v>121</v>
      </c>
      <c r="B51" s="28" t="s">
        <v>123</v>
      </c>
      <c r="C51" s="103"/>
      <c r="D51" s="133"/>
      <c r="E51" s="103"/>
      <c r="F51" s="134"/>
      <c r="G51" s="134"/>
      <c r="H51" s="134"/>
      <c r="I51" s="103"/>
      <c r="J51" s="123"/>
      <c r="K51" s="123"/>
      <c r="L51" s="123"/>
      <c r="M51" s="123"/>
      <c r="N51" s="123"/>
      <c r="O51" s="123"/>
      <c r="P51" s="123"/>
      <c r="Q51" s="123"/>
      <c r="R51" s="123"/>
      <c r="S51" s="6"/>
      <c r="T51" s="6"/>
    </row>
    <row r="52" ht="15.75" customHeight="1">
      <c r="A52" s="120"/>
      <c r="B52" s="131" t="s">
        <v>122</v>
      </c>
      <c r="C52" s="103">
        <v>1200.0</v>
      </c>
      <c r="D52" s="133">
        <v>1200.0</v>
      </c>
      <c r="F52" s="134"/>
      <c r="G52" s="134"/>
      <c r="H52" s="134"/>
      <c r="I52" s="29">
        <f t="shared" ref="I52:I56" si="11">SUM(D52:H52)</f>
        <v>1200</v>
      </c>
      <c r="J52" s="123"/>
      <c r="K52" s="123"/>
      <c r="L52" s="123"/>
      <c r="M52" s="123"/>
      <c r="N52" s="123"/>
      <c r="O52" s="123"/>
      <c r="P52" s="123"/>
      <c r="Q52" s="123"/>
      <c r="R52" s="123"/>
      <c r="S52" s="6"/>
      <c r="T52" s="6"/>
    </row>
    <row r="53" ht="15.75" customHeight="1">
      <c r="A53" s="120"/>
      <c r="B53" s="131" t="s">
        <v>124</v>
      </c>
      <c r="C53" s="103">
        <v>12000.0</v>
      </c>
      <c r="D53" s="133">
        <f t="shared" ref="D53:D54" si="12">C53</f>
        <v>12000</v>
      </c>
      <c r="E53" s="133"/>
      <c r="F53" s="134"/>
      <c r="G53" s="134"/>
      <c r="H53" s="134"/>
      <c r="I53" s="29">
        <f t="shared" si="11"/>
        <v>12000</v>
      </c>
      <c r="J53" s="123"/>
      <c r="K53" s="123"/>
      <c r="L53" s="123"/>
      <c r="M53" s="123"/>
      <c r="N53" s="123"/>
      <c r="O53" s="123"/>
      <c r="P53" s="123"/>
      <c r="Q53" s="123"/>
      <c r="R53" s="123"/>
      <c r="S53" s="6"/>
      <c r="T53" s="6"/>
    </row>
    <row r="54" ht="15.75" customHeight="1">
      <c r="A54" s="120"/>
      <c r="B54" s="131" t="s">
        <v>125</v>
      </c>
      <c r="C54" s="103">
        <v>25000.0</v>
      </c>
      <c r="D54" s="133">
        <f t="shared" si="12"/>
        <v>25000</v>
      </c>
      <c r="E54" s="103"/>
      <c r="F54" s="134"/>
      <c r="G54" s="134"/>
      <c r="H54" s="134"/>
      <c r="I54" s="29">
        <f t="shared" si="11"/>
        <v>25000</v>
      </c>
      <c r="J54" s="123"/>
      <c r="K54" s="123"/>
      <c r="L54" s="123"/>
      <c r="M54" s="123"/>
      <c r="N54" s="123"/>
      <c r="O54" s="123"/>
      <c r="P54" s="123"/>
      <c r="Q54" s="123"/>
      <c r="R54" s="123"/>
      <c r="S54" s="6"/>
      <c r="T54" s="6"/>
    </row>
    <row r="55" ht="15.75" customHeight="1">
      <c r="A55" s="120"/>
      <c r="B55" s="131" t="s">
        <v>126</v>
      </c>
      <c r="C55" s="103">
        <v>6000.0</v>
      </c>
      <c r="D55" s="133">
        <v>6000.0</v>
      </c>
      <c r="F55" s="134"/>
      <c r="G55" s="134"/>
      <c r="H55" s="134"/>
      <c r="I55" s="29">
        <f t="shared" si="11"/>
        <v>6000</v>
      </c>
      <c r="J55" s="123"/>
      <c r="K55" s="123"/>
      <c r="L55" s="123"/>
      <c r="M55" s="123"/>
      <c r="N55" s="123"/>
      <c r="O55" s="123"/>
      <c r="P55" s="123"/>
      <c r="Q55" s="123"/>
      <c r="R55" s="123"/>
      <c r="S55" s="6"/>
      <c r="T55" s="6"/>
    </row>
    <row r="56" ht="15.75" customHeight="1">
      <c r="A56" s="120"/>
      <c r="B56" s="131" t="s">
        <v>130</v>
      </c>
      <c r="C56" s="103">
        <v>3000.0</v>
      </c>
      <c r="D56" s="133">
        <v>3000.0</v>
      </c>
      <c r="F56" s="134"/>
      <c r="G56" s="134"/>
      <c r="H56" s="134"/>
      <c r="I56" s="29">
        <f t="shared" si="11"/>
        <v>3000</v>
      </c>
      <c r="J56" s="123"/>
      <c r="K56" s="123"/>
      <c r="L56" s="123"/>
      <c r="M56" s="123"/>
      <c r="N56" s="123"/>
      <c r="O56" s="123"/>
      <c r="P56" s="123"/>
      <c r="Q56" s="123"/>
      <c r="R56" s="123"/>
      <c r="S56" s="6"/>
      <c r="T56" s="6"/>
    </row>
    <row r="57" ht="15.75" customHeight="1">
      <c r="A57" s="43" t="s">
        <v>31</v>
      </c>
      <c r="B57" s="44" t="s">
        <v>14</v>
      </c>
      <c r="C57" s="21"/>
      <c r="D57" s="21"/>
      <c r="E57" s="21"/>
      <c r="F57" s="21"/>
      <c r="G57" s="21"/>
      <c r="H57" s="21"/>
      <c r="I57" s="21"/>
      <c r="J57" s="123"/>
      <c r="K57" s="123"/>
      <c r="L57" s="123"/>
      <c r="M57" s="123"/>
      <c r="N57" s="123"/>
      <c r="O57" s="123"/>
      <c r="P57" s="123"/>
      <c r="Q57" s="123"/>
      <c r="R57" s="123"/>
      <c r="S57" s="6"/>
      <c r="T57" s="6"/>
    </row>
    <row r="58" ht="15.75" customHeight="1">
      <c r="A58" s="120"/>
      <c r="B58" s="135" t="s">
        <v>133</v>
      </c>
      <c r="C58" s="103">
        <v>30000.0</v>
      </c>
      <c r="D58" s="133">
        <f t="shared" ref="D58:D59" si="13">C58</f>
        <v>30000</v>
      </c>
      <c r="E58" s="103"/>
      <c r="F58" s="134"/>
      <c r="G58" s="134"/>
      <c r="H58" s="134"/>
      <c r="I58" s="29">
        <f t="shared" ref="I58:I59" si="14">SUM(D58:H58)</f>
        <v>30000</v>
      </c>
      <c r="J58" s="123"/>
      <c r="K58" s="123"/>
      <c r="L58" s="123"/>
      <c r="M58" s="123"/>
      <c r="N58" s="123"/>
      <c r="O58" s="123"/>
      <c r="P58" s="123"/>
      <c r="Q58" s="123"/>
      <c r="R58" s="123"/>
      <c r="S58" s="6"/>
      <c r="T58" s="6"/>
    </row>
    <row r="59" ht="15.75" customHeight="1">
      <c r="A59" s="120"/>
      <c r="B59" s="135" t="s">
        <v>136</v>
      </c>
      <c r="C59" s="103">
        <f>4000+5000+5790</f>
        <v>14790</v>
      </c>
      <c r="D59" s="133">
        <f t="shared" si="13"/>
        <v>14790</v>
      </c>
      <c r="E59" s="103"/>
      <c r="F59" s="134"/>
      <c r="G59" s="134"/>
      <c r="H59" s="134"/>
      <c r="I59" s="29">
        <f t="shared" si="14"/>
        <v>14790</v>
      </c>
      <c r="J59" s="123"/>
      <c r="K59" s="123"/>
      <c r="L59" s="123"/>
      <c r="M59" s="123"/>
      <c r="N59" s="123"/>
      <c r="O59" s="123"/>
      <c r="P59" s="123"/>
      <c r="Q59" s="123"/>
      <c r="R59" s="123"/>
      <c r="S59" s="6"/>
      <c r="T59" s="6"/>
    </row>
    <row r="60" ht="15.75" customHeight="1">
      <c r="A60" s="120"/>
      <c r="B60" s="45">
        <v>1610.0</v>
      </c>
      <c r="C60" s="46">
        <f t="shared" ref="C60:I60" si="15">SUM(C46:C59)</f>
        <v>336990</v>
      </c>
      <c r="D60" s="46">
        <f t="shared" si="15"/>
        <v>336990</v>
      </c>
      <c r="E60" s="46">
        <f t="shared" si="15"/>
        <v>0</v>
      </c>
      <c r="F60" s="46">
        <f t="shared" si="15"/>
        <v>0</v>
      </c>
      <c r="G60" s="46">
        <f t="shared" si="15"/>
        <v>0</v>
      </c>
      <c r="H60" s="46">
        <f t="shared" si="15"/>
        <v>0</v>
      </c>
      <c r="I60" s="46">
        <f t="shared" si="15"/>
        <v>336990</v>
      </c>
      <c r="J60" s="123"/>
      <c r="K60" s="123"/>
      <c r="L60" s="123"/>
      <c r="M60" s="123"/>
      <c r="N60" s="123"/>
      <c r="O60" s="123"/>
      <c r="P60" s="123"/>
      <c r="Q60" s="123"/>
      <c r="R60" s="123"/>
      <c r="S60" s="6"/>
      <c r="T60" s="6"/>
    </row>
    <row r="61" ht="15.75" customHeight="1">
      <c r="A61" s="18"/>
      <c r="B61" s="19"/>
      <c r="C61" s="20"/>
      <c r="D61" s="20"/>
      <c r="E61" s="21"/>
      <c r="F61" s="22"/>
      <c r="G61" s="22"/>
      <c r="H61" s="22"/>
      <c r="I61" s="23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ht="15.75" customHeight="1">
      <c r="A62" s="24" t="s">
        <v>149</v>
      </c>
      <c r="B62" s="25" t="s">
        <v>150</v>
      </c>
      <c r="C62" s="26"/>
      <c r="D62" s="26"/>
      <c r="E62" s="26"/>
      <c r="F62" s="26"/>
      <c r="G62" s="26"/>
      <c r="H62" s="26"/>
      <c r="I62" s="23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ht="15.75" customHeight="1">
      <c r="A63" s="27">
        <v>609.0</v>
      </c>
      <c r="B63" s="28" t="s">
        <v>49</v>
      </c>
      <c r="C63" s="26"/>
      <c r="D63" s="26"/>
      <c r="E63" s="26"/>
      <c r="F63" s="26"/>
      <c r="G63" s="26"/>
      <c r="H63" s="26"/>
      <c r="I63" s="23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ht="15.75" customHeight="1">
      <c r="A64" s="6"/>
      <c r="B64" s="19" t="s">
        <v>152</v>
      </c>
      <c r="C64" s="20">
        <v>150000.0</v>
      </c>
      <c r="D64" s="20">
        <v>150000.0</v>
      </c>
      <c r="E64" s="22"/>
      <c r="F64" s="22"/>
      <c r="G64" s="22"/>
      <c r="H64" s="23"/>
      <c r="I64" s="29">
        <f>SUM(D64:H64)</f>
        <v>150000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ht="15.75" customHeight="1">
      <c r="A65" s="30"/>
      <c r="B65" s="24" t="s">
        <v>149</v>
      </c>
      <c r="C65" s="31">
        <f t="shared" ref="C65:I65" si="16">SUM(C64)</f>
        <v>150000</v>
      </c>
      <c r="D65" s="31">
        <f t="shared" si="16"/>
        <v>150000</v>
      </c>
      <c r="E65" s="31">
        <f t="shared" si="16"/>
        <v>0</v>
      </c>
      <c r="F65" s="31">
        <f t="shared" si="16"/>
        <v>0</v>
      </c>
      <c r="G65" s="31">
        <f t="shared" si="16"/>
        <v>0</v>
      </c>
      <c r="H65" s="31">
        <f t="shared" si="16"/>
        <v>0</v>
      </c>
      <c r="I65" s="31">
        <f t="shared" si="16"/>
        <v>150000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ht="15.75" customHeight="1">
      <c r="A66" s="33"/>
      <c r="B66" s="34"/>
      <c r="C66" s="23"/>
      <c r="D66" s="23"/>
      <c r="E66" s="122"/>
      <c r="F66" s="23"/>
      <c r="G66" s="23"/>
      <c r="H66" s="23"/>
      <c r="I66" s="2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ht="15.75" customHeight="1">
      <c r="A67" s="33">
        <v>1640.0</v>
      </c>
      <c r="B67" s="34" t="s">
        <v>158</v>
      </c>
      <c r="C67" s="23"/>
      <c r="D67" s="23"/>
      <c r="E67" s="122"/>
      <c r="F67" s="23"/>
      <c r="G67" s="23"/>
      <c r="H67" s="23"/>
      <c r="I67" s="23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</row>
    <row r="68" ht="15.75" customHeight="1">
      <c r="A68" s="33">
        <v>622.0</v>
      </c>
      <c r="B68" s="35" t="s">
        <v>100</v>
      </c>
      <c r="C68" s="12"/>
      <c r="D68" s="22"/>
      <c r="E68" s="23"/>
      <c r="F68" s="22"/>
      <c r="G68" s="22"/>
      <c r="H68" s="23"/>
      <c r="I68" s="23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ht="15.75" customHeight="1">
      <c r="A69" s="30"/>
      <c r="B69" s="19" t="s">
        <v>163</v>
      </c>
      <c r="C69" s="20">
        <v>170000.0</v>
      </c>
      <c r="D69" s="20">
        <v>170000.0</v>
      </c>
      <c r="E69" s="22"/>
      <c r="F69" s="22"/>
      <c r="G69" s="22"/>
      <c r="H69" s="23"/>
      <c r="I69" s="29">
        <f t="shared" ref="I69:I70" si="17">SUM(D69:H69)</f>
        <v>170000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</row>
    <row r="70" ht="15.75" customHeight="1">
      <c r="A70" s="30"/>
      <c r="B70" s="19" t="s">
        <v>166</v>
      </c>
      <c r="C70" s="20">
        <v>12000.0</v>
      </c>
      <c r="D70" s="20">
        <v>12000.0</v>
      </c>
      <c r="E70" s="22"/>
      <c r="F70" s="22"/>
      <c r="G70" s="22"/>
      <c r="H70" s="23"/>
      <c r="I70" s="29">
        <f t="shared" si="17"/>
        <v>12000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ht="15.75" customHeight="1">
      <c r="A71" s="30"/>
      <c r="B71" s="33">
        <v>1640.0</v>
      </c>
      <c r="C71" s="31">
        <f t="shared" ref="C71:I71" si="18">SUM(C69:C70)</f>
        <v>182000</v>
      </c>
      <c r="D71" s="31">
        <f t="shared" si="18"/>
        <v>182000</v>
      </c>
      <c r="E71" s="31">
        <f t="shared" si="18"/>
        <v>0</v>
      </c>
      <c r="F71" s="31">
        <f t="shared" si="18"/>
        <v>0</v>
      </c>
      <c r="G71" s="31">
        <f t="shared" si="18"/>
        <v>0</v>
      </c>
      <c r="H71" s="31">
        <f t="shared" si="18"/>
        <v>0</v>
      </c>
      <c r="I71" s="31">
        <f t="shared" si="18"/>
        <v>182000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ht="15.75" customHeight="1">
      <c r="A72" s="6"/>
      <c r="B72" s="6"/>
      <c r="C72" s="21"/>
      <c r="D72" s="21"/>
      <c r="E72" s="21"/>
      <c r="F72" s="22"/>
      <c r="G72" s="22"/>
      <c r="H72" s="22"/>
      <c r="I72" s="23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ht="15.75" customHeight="1">
      <c r="A73" s="24" t="s">
        <v>170</v>
      </c>
      <c r="B73" s="25" t="s">
        <v>172</v>
      </c>
      <c r="C73" s="26"/>
      <c r="D73" s="26"/>
      <c r="E73" s="26"/>
      <c r="F73" s="26"/>
      <c r="G73" s="26"/>
      <c r="H73" s="26"/>
      <c r="I73" s="23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</row>
    <row r="74" ht="15.75" customHeight="1">
      <c r="A74" s="27">
        <v>623.0</v>
      </c>
      <c r="B74" s="28" t="s">
        <v>123</v>
      </c>
      <c r="C74" s="26"/>
      <c r="D74" s="26"/>
      <c r="E74" s="26"/>
      <c r="F74" s="26"/>
      <c r="G74" s="26"/>
      <c r="H74" s="26"/>
      <c r="I74" s="23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ht="15.75" customHeight="1">
      <c r="A75" s="6"/>
      <c r="B75" s="19" t="s">
        <v>51</v>
      </c>
      <c r="C75" s="20">
        <v>25000.0</v>
      </c>
      <c r="D75" s="20">
        <v>25000.0</v>
      </c>
      <c r="E75" s="22"/>
      <c r="F75" s="22"/>
      <c r="G75" s="22"/>
      <c r="H75" s="23"/>
      <c r="I75" s="29">
        <f>SUM(D75:H75)</f>
        <v>25000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</row>
    <row r="76" ht="15.75" customHeight="1">
      <c r="A76" s="30"/>
      <c r="B76" s="27">
        <v>1650.0</v>
      </c>
      <c r="C76" s="31">
        <f t="shared" ref="C76:I76" si="19">SUM(C75)</f>
        <v>25000</v>
      </c>
      <c r="D76" s="31">
        <f t="shared" si="19"/>
        <v>25000</v>
      </c>
      <c r="E76" s="31">
        <f t="shared" si="19"/>
        <v>0</v>
      </c>
      <c r="F76" s="31">
        <f t="shared" si="19"/>
        <v>0</v>
      </c>
      <c r="G76" s="31">
        <f t="shared" si="19"/>
        <v>0</v>
      </c>
      <c r="H76" s="31">
        <f t="shared" si="19"/>
        <v>0</v>
      </c>
      <c r="I76" s="31">
        <f t="shared" si="19"/>
        <v>25000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ht="15.75" customHeight="1">
      <c r="A77" s="126"/>
      <c r="B77" s="127"/>
      <c r="C77" s="133"/>
      <c r="D77" s="133"/>
      <c r="E77" s="103"/>
      <c r="F77" s="134"/>
      <c r="G77" s="134"/>
      <c r="H77" s="134"/>
      <c r="I77" s="103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</row>
    <row r="78" ht="15.75" customHeight="1">
      <c r="A78" s="24" t="s">
        <v>181</v>
      </c>
      <c r="B78" s="25" t="s">
        <v>183</v>
      </c>
      <c r="C78" s="26"/>
      <c r="D78" s="26"/>
      <c r="E78" s="26"/>
      <c r="F78" s="26"/>
      <c r="G78" s="26"/>
      <c r="H78" s="26"/>
      <c r="I78" s="23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ht="15.75" customHeight="1">
      <c r="A79" s="126" t="s">
        <v>25</v>
      </c>
      <c r="B79" s="127" t="s">
        <v>26</v>
      </c>
      <c r="C79" s="26"/>
      <c r="D79" s="26"/>
      <c r="E79" s="26"/>
      <c r="F79" s="26"/>
      <c r="G79" s="26"/>
      <c r="H79" s="26"/>
      <c r="I79" s="23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</row>
    <row r="80" ht="15.75" customHeight="1">
      <c r="A80" s="6"/>
      <c r="B80" s="158" t="s">
        <v>185</v>
      </c>
      <c r="C80" s="20">
        <v>50000.0</v>
      </c>
      <c r="D80" s="20">
        <v>50000.0</v>
      </c>
      <c r="E80" s="22"/>
      <c r="F80" s="22"/>
      <c r="G80" s="22"/>
      <c r="H80" s="23"/>
      <c r="I80" s="29">
        <f t="shared" ref="I80:I82" si="20">SUM(D80:H80)</f>
        <v>50000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ht="15.75" customHeight="1">
      <c r="A81" s="162"/>
      <c r="B81" s="163" t="s">
        <v>187</v>
      </c>
      <c r="C81" s="61">
        <v>29457.55</v>
      </c>
      <c r="D81" s="61">
        <v>6000.0</v>
      </c>
      <c r="E81" s="67"/>
      <c r="F81" s="67"/>
      <c r="G81" s="67"/>
      <c r="H81" s="96">
        <v>23457.55</v>
      </c>
      <c r="I81" s="67">
        <f t="shared" si="20"/>
        <v>29457.55</v>
      </c>
      <c r="J81" s="162"/>
      <c r="K81" s="162"/>
      <c r="L81" s="64">
        <f>C81-D81</f>
        <v>23457.55</v>
      </c>
      <c r="M81" s="162"/>
      <c r="N81" s="162"/>
      <c r="O81" s="162"/>
      <c r="P81" s="162"/>
      <c r="Q81" s="162"/>
      <c r="R81" s="162"/>
      <c r="S81" s="162"/>
      <c r="T81" s="162"/>
    </row>
    <row r="82" ht="15.75" customHeight="1">
      <c r="A82" s="162"/>
      <c r="B82" s="163" t="s">
        <v>193</v>
      </c>
      <c r="C82" s="61">
        <v>20000.0</v>
      </c>
      <c r="D82" s="61">
        <v>20000.0</v>
      </c>
      <c r="E82" s="67"/>
      <c r="F82" s="67"/>
      <c r="G82" s="67"/>
      <c r="H82" s="96"/>
      <c r="I82" s="67">
        <f t="shared" si="20"/>
        <v>20000</v>
      </c>
      <c r="J82" s="162"/>
      <c r="K82" s="162"/>
      <c r="L82" s="162"/>
      <c r="M82" s="162"/>
      <c r="N82" s="162"/>
      <c r="O82" s="162"/>
      <c r="P82" s="162"/>
      <c r="Q82" s="162"/>
      <c r="R82" s="162"/>
      <c r="S82" s="162"/>
      <c r="T82" s="162"/>
    </row>
    <row r="83" ht="15.75" customHeight="1">
      <c r="A83" s="30"/>
      <c r="B83" s="27">
        <v>1700.0</v>
      </c>
      <c r="C83" s="31">
        <f t="shared" ref="C83:I83" si="21">SUM(C80:C82)</f>
        <v>99457.55</v>
      </c>
      <c r="D83" s="31">
        <f t="shared" si="21"/>
        <v>76000</v>
      </c>
      <c r="E83" s="31">
        <f t="shared" si="21"/>
        <v>0</v>
      </c>
      <c r="F83" s="31">
        <f t="shared" si="21"/>
        <v>0</v>
      </c>
      <c r="G83" s="31">
        <f t="shared" si="21"/>
        <v>0</v>
      </c>
      <c r="H83" s="31">
        <f t="shared" si="21"/>
        <v>23457.55</v>
      </c>
      <c r="I83" s="31">
        <f t="shared" si="21"/>
        <v>99457.55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</row>
    <row r="84" ht="15.75" customHeight="1">
      <c r="A84" s="126"/>
      <c r="B84" s="127"/>
      <c r="C84" s="133"/>
      <c r="D84" s="133"/>
      <c r="E84" s="103"/>
      <c r="F84" s="134"/>
      <c r="G84" s="134"/>
      <c r="H84" s="134"/>
      <c r="I84" s="103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ht="15.75" customHeight="1">
      <c r="A85" s="126" t="s">
        <v>201</v>
      </c>
      <c r="B85" s="127" t="s">
        <v>202</v>
      </c>
      <c r="C85" s="133"/>
      <c r="D85" s="133"/>
      <c r="E85" s="103"/>
      <c r="F85" s="134"/>
      <c r="G85" s="134"/>
      <c r="H85" s="134"/>
      <c r="I85" s="103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</row>
    <row r="86" ht="15.75" customHeight="1">
      <c r="A86" s="126" t="s">
        <v>204</v>
      </c>
      <c r="B86" s="130" t="s">
        <v>100</v>
      </c>
      <c r="C86" s="21"/>
      <c r="D86" s="21"/>
      <c r="E86" s="21"/>
      <c r="F86" s="21"/>
      <c r="G86" s="21"/>
      <c r="H86" s="21"/>
      <c r="I86" s="21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ht="15.75" customHeight="1">
      <c r="A87" s="59"/>
      <c r="B87" s="135" t="s">
        <v>205</v>
      </c>
      <c r="C87" s="166">
        <v>200000.0</v>
      </c>
      <c r="D87" s="166">
        <v>200000.0</v>
      </c>
      <c r="E87" s="21"/>
      <c r="F87" s="22"/>
      <c r="G87" s="22"/>
      <c r="H87" s="22"/>
      <c r="I87" s="29">
        <f t="shared" ref="I87:I92" si="22">SUM(D87:H87)</f>
        <v>200000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</row>
    <row r="88" ht="15.75" customHeight="1">
      <c r="A88" s="59"/>
      <c r="B88" s="131" t="s">
        <v>107</v>
      </c>
      <c r="C88" s="166">
        <v>10000.0</v>
      </c>
      <c r="D88" s="166">
        <v>10000.0</v>
      </c>
      <c r="E88" s="21"/>
      <c r="F88" s="22"/>
      <c r="G88" s="22"/>
      <c r="H88" s="22"/>
      <c r="I88" s="29">
        <f t="shared" si="22"/>
        <v>10000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ht="15.75" customHeight="1">
      <c r="A89" s="59"/>
      <c r="B89" s="36" t="s">
        <v>112</v>
      </c>
      <c r="C89" s="38">
        <v>35000.0</v>
      </c>
      <c r="D89" s="38">
        <v>35000.0</v>
      </c>
      <c r="E89" s="21"/>
      <c r="F89" s="22"/>
      <c r="G89" s="22"/>
      <c r="H89" s="22"/>
      <c r="I89" s="29">
        <f t="shared" si="22"/>
        <v>35000</v>
      </c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</row>
    <row r="90" ht="15.75" customHeight="1">
      <c r="A90" s="59"/>
      <c r="B90" s="36" t="s">
        <v>114</v>
      </c>
      <c r="C90" s="38">
        <v>60000.0</v>
      </c>
      <c r="D90" s="38">
        <v>60000.0</v>
      </c>
      <c r="E90" s="21"/>
      <c r="F90" s="22"/>
      <c r="G90" s="22"/>
      <c r="H90" s="22"/>
      <c r="I90" s="29">
        <f t="shared" si="22"/>
        <v>60000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ht="15.75" customHeight="1">
      <c r="A91" s="59"/>
      <c r="B91" s="19" t="s">
        <v>211</v>
      </c>
      <c r="C91" s="20">
        <v>300000.0</v>
      </c>
      <c r="D91" s="20">
        <v>300000.0</v>
      </c>
      <c r="E91" s="21"/>
      <c r="F91" s="22"/>
      <c r="G91" s="22"/>
      <c r="H91" s="22"/>
      <c r="I91" s="29">
        <f t="shared" si="22"/>
        <v>300000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</row>
    <row r="92" ht="15.75" customHeight="1">
      <c r="A92" s="59"/>
      <c r="B92" s="19" t="s">
        <v>213</v>
      </c>
      <c r="C92" s="20">
        <v>15000.0</v>
      </c>
      <c r="D92" s="20">
        <v>15000.0</v>
      </c>
      <c r="E92" s="21"/>
      <c r="F92" s="22"/>
      <c r="G92" s="22"/>
      <c r="H92" s="22"/>
      <c r="I92" s="29">
        <f t="shared" si="22"/>
        <v>15000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ht="15.75" customHeight="1">
      <c r="A93" s="126" t="s">
        <v>214</v>
      </c>
      <c r="B93" s="130" t="s">
        <v>100</v>
      </c>
      <c r="C93" s="21"/>
      <c r="D93" s="21"/>
      <c r="E93" s="21"/>
      <c r="F93" s="21"/>
      <c r="G93" s="21"/>
      <c r="H93" s="21"/>
      <c r="I93" s="21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</row>
    <row r="94" ht="15.75" customHeight="1">
      <c r="A94" s="59"/>
      <c r="B94" s="19" t="s">
        <v>195</v>
      </c>
      <c r="C94" s="20">
        <v>150000.0</v>
      </c>
      <c r="D94" s="20">
        <v>150000.0</v>
      </c>
      <c r="E94" s="21"/>
      <c r="F94" s="22"/>
      <c r="G94" s="22"/>
      <c r="H94" s="22"/>
      <c r="I94" s="29">
        <f>SUM(D94:H94)</f>
        <v>150000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ht="15.75" customHeight="1">
      <c r="A95" s="40"/>
      <c r="B95" s="45">
        <v>1710.0</v>
      </c>
      <c r="C95" s="46">
        <f t="shared" ref="C95:D95" si="23">SUM(C87:C94)</f>
        <v>770000</v>
      </c>
      <c r="D95" s="46">
        <f t="shared" si="23"/>
        <v>770000</v>
      </c>
      <c r="E95" s="46">
        <f t="shared" ref="E95:H95" si="24">SUM(E90)</f>
        <v>0</v>
      </c>
      <c r="F95" s="46">
        <f t="shared" si="24"/>
        <v>0</v>
      </c>
      <c r="G95" s="46">
        <f t="shared" si="24"/>
        <v>0</v>
      </c>
      <c r="H95" s="46">
        <f t="shared" si="24"/>
        <v>0</v>
      </c>
      <c r="I95" s="46">
        <f>SUM(I87:I94)</f>
        <v>770000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</row>
    <row r="96" ht="15.75" customHeight="1">
      <c r="A96" s="18"/>
      <c r="B96" s="19"/>
      <c r="C96" s="20"/>
      <c r="D96" s="20"/>
      <c r="E96" s="21"/>
      <c r="F96" s="22"/>
      <c r="G96" s="22"/>
      <c r="H96" s="22"/>
      <c r="I96" s="23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ht="15.75" customHeight="1">
      <c r="A97" s="24" t="s">
        <v>224</v>
      </c>
      <c r="B97" s="25" t="s">
        <v>225</v>
      </c>
      <c r="C97" s="26"/>
      <c r="D97" s="26"/>
      <c r="E97" s="26"/>
      <c r="F97" s="26"/>
      <c r="G97" s="26"/>
      <c r="H97" s="26"/>
      <c r="I97" s="23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ht="15.75" customHeight="1">
      <c r="A98" s="27">
        <v>629.0</v>
      </c>
      <c r="B98" s="28" t="s">
        <v>14</v>
      </c>
      <c r="C98" s="26"/>
      <c r="D98" s="26"/>
      <c r="E98" s="26"/>
      <c r="F98" s="26"/>
      <c r="G98" s="26"/>
      <c r="H98" s="26"/>
      <c r="I98" s="23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ht="15.75" customHeight="1">
      <c r="A99" s="6"/>
      <c r="B99" s="19" t="s">
        <v>229</v>
      </c>
      <c r="C99" s="20">
        <v>18000.0</v>
      </c>
      <c r="D99" s="20">
        <v>18000.0</v>
      </c>
      <c r="E99" s="22"/>
      <c r="F99" s="22"/>
      <c r="G99" s="22"/>
      <c r="H99" s="23"/>
      <c r="I99" s="29">
        <f>SUM(D99:H99)</f>
        <v>18000</v>
      </c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</row>
    <row r="100" ht="15.75" customHeight="1">
      <c r="A100" s="30"/>
      <c r="B100" s="24" t="s">
        <v>224</v>
      </c>
      <c r="C100" s="31">
        <f t="shared" ref="C100:I100" si="25">SUM(C99)</f>
        <v>18000</v>
      </c>
      <c r="D100" s="31">
        <f t="shared" si="25"/>
        <v>18000</v>
      </c>
      <c r="E100" s="31">
        <f t="shared" si="25"/>
        <v>0</v>
      </c>
      <c r="F100" s="31">
        <f t="shared" si="25"/>
        <v>0</v>
      </c>
      <c r="G100" s="31">
        <f t="shared" si="25"/>
        <v>0</v>
      </c>
      <c r="H100" s="31">
        <f t="shared" si="25"/>
        <v>0</v>
      </c>
      <c r="I100" s="31">
        <f t="shared" si="25"/>
        <v>18000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ht="15.75" customHeight="1">
      <c r="A101" s="40"/>
      <c r="B101" s="41"/>
      <c r="C101" s="42"/>
      <c r="D101" s="20"/>
      <c r="E101" s="21"/>
      <c r="F101" s="22"/>
      <c r="G101" s="22"/>
      <c r="H101" s="22"/>
      <c r="I101" s="23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</row>
    <row r="102" ht="15.75" customHeight="1">
      <c r="A102" s="24" t="s">
        <v>234</v>
      </c>
      <c r="B102" s="25" t="s">
        <v>235</v>
      </c>
      <c r="C102" s="26"/>
      <c r="D102" s="26"/>
      <c r="E102" s="26"/>
      <c r="F102" s="26"/>
      <c r="G102" s="26"/>
      <c r="H102" s="26"/>
      <c r="I102" s="23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ht="15.75" customHeight="1">
      <c r="A103" s="27">
        <v>625.0</v>
      </c>
      <c r="B103" s="28" t="s">
        <v>222</v>
      </c>
      <c r="C103" s="26"/>
      <c r="D103" s="26"/>
      <c r="E103" s="26"/>
      <c r="F103" s="26"/>
      <c r="G103" s="26"/>
      <c r="H103" s="26"/>
      <c r="I103" s="23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</row>
    <row r="104" ht="15.75" customHeight="1">
      <c r="A104" s="6"/>
      <c r="B104" s="36" t="s">
        <v>239</v>
      </c>
      <c r="C104" s="153">
        <v>6000.0</v>
      </c>
      <c r="D104" s="20">
        <v>6000.0</v>
      </c>
      <c r="F104" s="22"/>
      <c r="G104" s="22"/>
      <c r="H104" s="23"/>
      <c r="I104" s="29">
        <f>SUM(D104:H104)</f>
        <v>6000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ht="15.75" customHeight="1">
      <c r="A105" s="30"/>
      <c r="B105" s="27">
        <v>3261.0</v>
      </c>
      <c r="C105" s="31">
        <f t="shared" ref="C105:I105" si="26">SUM(C104)</f>
        <v>6000</v>
      </c>
      <c r="D105" s="31">
        <f t="shared" si="26"/>
        <v>6000</v>
      </c>
      <c r="E105" s="31">
        <f t="shared" si="26"/>
        <v>0</v>
      </c>
      <c r="F105" s="31">
        <f t="shared" si="26"/>
        <v>0</v>
      </c>
      <c r="G105" s="31">
        <f t="shared" si="26"/>
        <v>0</v>
      </c>
      <c r="H105" s="31">
        <f t="shared" si="26"/>
        <v>0</v>
      </c>
      <c r="I105" s="31">
        <f t="shared" si="26"/>
        <v>6000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</row>
    <row r="106" ht="15.75" customHeight="1">
      <c r="A106" s="40"/>
      <c r="B106" s="41"/>
      <c r="C106" s="42"/>
      <c r="D106" s="20"/>
      <c r="E106" s="21"/>
      <c r="F106" s="22"/>
      <c r="G106" s="22"/>
      <c r="H106" s="22"/>
      <c r="I106" s="23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ht="15.75" customHeight="1">
      <c r="A107" s="24" t="s">
        <v>240</v>
      </c>
      <c r="B107" s="25" t="s">
        <v>241</v>
      </c>
      <c r="C107" s="26"/>
      <c r="D107" s="26"/>
      <c r="E107" s="26"/>
      <c r="F107" s="26"/>
      <c r="G107" s="26"/>
      <c r="H107" s="26"/>
      <c r="I107" s="23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</row>
    <row r="108" ht="15.75" customHeight="1">
      <c r="A108" s="27">
        <v>625.0</v>
      </c>
      <c r="B108" s="28" t="s">
        <v>222</v>
      </c>
      <c r="C108" s="26"/>
      <c r="D108" s="26"/>
      <c r="E108" s="26"/>
      <c r="F108" s="26"/>
      <c r="G108" s="26"/>
      <c r="H108" s="26"/>
      <c r="I108" s="23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ht="15.75" customHeight="1">
      <c r="A109" s="6"/>
      <c r="B109" s="36" t="s">
        <v>242</v>
      </c>
      <c r="C109" s="38">
        <v>5000.0</v>
      </c>
      <c r="D109" s="20">
        <v>5000.0</v>
      </c>
      <c r="F109" s="22"/>
      <c r="G109" s="22"/>
      <c r="H109" s="23"/>
      <c r="I109" s="29">
        <f t="shared" ref="I109:I110" si="27">SUM(D109:H109)</f>
        <v>5000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</row>
    <row r="110" ht="15.75" customHeight="1">
      <c r="A110" s="6"/>
      <c r="B110" s="36" t="s">
        <v>239</v>
      </c>
      <c r="C110" s="153">
        <v>6000.0</v>
      </c>
      <c r="D110" s="153">
        <v>6000.0</v>
      </c>
      <c r="E110" s="20"/>
      <c r="F110" s="22"/>
      <c r="G110" s="22"/>
      <c r="H110" s="23"/>
      <c r="I110" s="29">
        <f t="shared" si="27"/>
        <v>6000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ht="15.75" customHeight="1">
      <c r="A111" s="30"/>
      <c r="B111" s="27">
        <v>3262.0</v>
      </c>
      <c r="C111" s="31">
        <f t="shared" ref="C111:E111" si="28">SUM(C109:C110)</f>
        <v>11000</v>
      </c>
      <c r="D111" s="31">
        <f t="shared" si="28"/>
        <v>11000</v>
      </c>
      <c r="E111" s="31">
        <f t="shared" si="28"/>
        <v>0</v>
      </c>
      <c r="F111" s="31">
        <f t="shared" ref="F111:H111" si="29">SUM(F109)</f>
        <v>0</v>
      </c>
      <c r="G111" s="31">
        <f t="shared" si="29"/>
        <v>0</v>
      </c>
      <c r="H111" s="31">
        <f t="shared" si="29"/>
        <v>0</v>
      </c>
      <c r="I111" s="31">
        <f>SUM(I109:I110)</f>
        <v>11000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</row>
    <row r="112" ht="15.75" customHeight="1">
      <c r="A112" s="40"/>
      <c r="B112" s="41"/>
      <c r="C112" s="42"/>
      <c r="D112" s="20"/>
      <c r="E112" s="21"/>
      <c r="F112" s="22"/>
      <c r="G112" s="22"/>
      <c r="H112" s="22"/>
      <c r="I112" s="23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ht="15.75" customHeight="1">
      <c r="A113" s="24" t="s">
        <v>245</v>
      </c>
      <c r="B113" s="25" t="s">
        <v>246</v>
      </c>
      <c r="C113" s="26"/>
      <c r="D113" s="26"/>
      <c r="E113" s="26"/>
      <c r="F113" s="26"/>
      <c r="G113" s="26"/>
      <c r="H113" s="26"/>
      <c r="I113" s="23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</row>
    <row r="114" ht="15.75" customHeight="1">
      <c r="A114" s="127">
        <v>626.0</v>
      </c>
      <c r="B114" s="127" t="s">
        <v>248</v>
      </c>
      <c r="C114" s="26"/>
      <c r="D114" s="26"/>
      <c r="E114" s="26"/>
      <c r="F114" s="26"/>
      <c r="G114" s="26"/>
      <c r="H114" s="26"/>
      <c r="I114" s="23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ht="15.75" customHeight="1">
      <c r="A115" s="6"/>
      <c r="B115" s="173" t="s">
        <v>173</v>
      </c>
      <c r="C115" s="23">
        <v>8500.0</v>
      </c>
      <c r="D115" s="23">
        <v>8500.0</v>
      </c>
      <c r="F115" s="22"/>
      <c r="G115" s="22"/>
      <c r="H115" s="23"/>
      <c r="I115" s="29">
        <f t="shared" ref="I115:I116" si="30">SUM(D115:H115)</f>
        <v>8500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</row>
    <row r="116" ht="15.75" customHeight="1">
      <c r="A116" s="6"/>
      <c r="B116" s="173" t="s">
        <v>175</v>
      </c>
      <c r="C116" s="23">
        <v>1200.0</v>
      </c>
      <c r="D116" s="20">
        <v>1200.0</v>
      </c>
      <c r="F116" s="22"/>
      <c r="G116" s="22"/>
      <c r="H116" s="23"/>
      <c r="I116" s="29">
        <f t="shared" si="30"/>
        <v>1200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ht="15.75" customHeight="1">
      <c r="A117" s="27">
        <v>635.0</v>
      </c>
      <c r="B117" s="28" t="s">
        <v>222</v>
      </c>
      <c r="C117" s="21"/>
      <c r="D117" s="21"/>
      <c r="E117" s="22"/>
      <c r="F117" s="22"/>
      <c r="G117" s="22"/>
      <c r="H117" s="23"/>
      <c r="I117" s="29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</row>
    <row r="118" ht="15.75" customHeight="1">
      <c r="A118" s="6"/>
      <c r="B118" s="173" t="s">
        <v>174</v>
      </c>
      <c r="C118" s="23">
        <v>14000.0</v>
      </c>
      <c r="D118" s="153">
        <v>14000.0</v>
      </c>
      <c r="E118" s="20"/>
      <c r="F118" s="22"/>
      <c r="G118" s="22"/>
      <c r="H118" s="23"/>
      <c r="I118" s="29">
        <f>SUM(D118:H118)</f>
        <v>14000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ht="15.75" customHeight="1">
      <c r="A119" s="30"/>
      <c r="B119" s="24" t="s">
        <v>245</v>
      </c>
      <c r="C119" s="31">
        <f t="shared" ref="C119:I119" si="31">SUM(C115:C118)</f>
        <v>23700</v>
      </c>
      <c r="D119" s="31">
        <f t="shared" si="31"/>
        <v>23700</v>
      </c>
      <c r="E119" s="31">
        <f t="shared" si="31"/>
        <v>0</v>
      </c>
      <c r="F119" s="31">
        <f t="shared" si="31"/>
        <v>0</v>
      </c>
      <c r="G119" s="31">
        <f t="shared" si="31"/>
        <v>0</v>
      </c>
      <c r="H119" s="31">
        <f t="shared" si="31"/>
        <v>0</v>
      </c>
      <c r="I119" s="31">
        <f t="shared" si="31"/>
        <v>23700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</row>
    <row r="120" ht="15.75" customHeight="1">
      <c r="A120" s="6"/>
      <c r="B120" s="6"/>
      <c r="C120" s="21"/>
      <c r="D120" s="21"/>
      <c r="E120" s="21"/>
      <c r="F120" s="22"/>
      <c r="G120" s="22"/>
      <c r="H120" s="22"/>
      <c r="I120" s="23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ht="15.75" customHeight="1">
      <c r="A121" s="24" t="s">
        <v>251</v>
      </c>
      <c r="B121" s="25" t="s">
        <v>252</v>
      </c>
      <c r="C121" s="26"/>
      <c r="D121" s="26"/>
      <c r="E121" s="26"/>
      <c r="F121" s="26"/>
      <c r="G121" s="26"/>
      <c r="H121" s="26"/>
      <c r="I121" s="23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</row>
    <row r="122" ht="15.75" customHeight="1">
      <c r="A122" s="27">
        <v>632.0</v>
      </c>
      <c r="B122" s="28" t="s">
        <v>100</v>
      </c>
      <c r="C122" s="26"/>
      <c r="D122" s="26"/>
      <c r="E122" s="26"/>
      <c r="F122" s="26"/>
      <c r="G122" s="26"/>
      <c r="H122" s="26"/>
      <c r="I122" s="23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ht="15.75" customHeight="1">
      <c r="A123" s="6"/>
      <c r="B123" s="19" t="s">
        <v>253</v>
      </c>
      <c r="C123" s="20">
        <v>40000.0</v>
      </c>
      <c r="D123" s="20">
        <v>40000.0</v>
      </c>
      <c r="E123" s="22"/>
      <c r="F123" s="22"/>
      <c r="G123" s="22"/>
      <c r="H123" s="23"/>
      <c r="I123" s="29">
        <f>SUM(D123:H123)</f>
        <v>40000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ht="15.75" customHeight="1">
      <c r="A124" s="30"/>
      <c r="B124" s="27">
        <v>3330.0</v>
      </c>
      <c r="C124" s="31">
        <f t="shared" ref="C124:I124" si="32">SUM(C123)</f>
        <v>40000</v>
      </c>
      <c r="D124" s="31">
        <f t="shared" si="32"/>
        <v>40000</v>
      </c>
      <c r="E124" s="31">
        <f t="shared" si="32"/>
        <v>0</v>
      </c>
      <c r="F124" s="31">
        <f t="shared" si="32"/>
        <v>0</v>
      </c>
      <c r="G124" s="31">
        <f t="shared" si="32"/>
        <v>0</v>
      </c>
      <c r="H124" s="31">
        <f t="shared" si="32"/>
        <v>0</v>
      </c>
      <c r="I124" s="31">
        <f t="shared" si="32"/>
        <v>40000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ht="15.75" customHeight="1">
      <c r="A125" s="18"/>
      <c r="B125" s="19"/>
      <c r="C125" s="20"/>
      <c r="D125" s="20"/>
      <c r="E125" s="21"/>
      <c r="F125" s="22"/>
      <c r="G125" s="22"/>
      <c r="H125" s="22"/>
      <c r="I125" s="23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</row>
    <row r="126" ht="15.75" customHeight="1">
      <c r="A126" s="24" t="s">
        <v>254</v>
      </c>
      <c r="B126" s="25" t="s">
        <v>255</v>
      </c>
      <c r="C126" s="26"/>
      <c r="D126" s="26"/>
      <c r="E126" s="26"/>
      <c r="F126" s="26"/>
      <c r="G126" s="26"/>
      <c r="H126" s="26"/>
      <c r="I126" s="23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ht="15.75" customHeight="1">
      <c r="A127" s="27">
        <v>623.0</v>
      </c>
      <c r="B127" s="28" t="s">
        <v>123</v>
      </c>
      <c r="C127" s="26"/>
      <c r="D127" s="26"/>
      <c r="E127" s="26"/>
      <c r="F127" s="26"/>
      <c r="G127" s="26"/>
      <c r="H127" s="26"/>
      <c r="I127" s="29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</row>
    <row r="128" ht="15.75" customHeight="1">
      <c r="A128" s="6"/>
      <c r="B128" s="19" t="s">
        <v>256</v>
      </c>
      <c r="C128" s="20">
        <v>6000.0</v>
      </c>
      <c r="D128" s="20">
        <v>6000.0</v>
      </c>
      <c r="F128" s="22"/>
      <c r="G128" s="22"/>
      <c r="H128" s="23"/>
      <c r="I128" s="29">
        <f t="shared" ref="I128:I131" si="33">SUM(D128:H128)</f>
        <v>6000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ht="15.75" customHeight="1">
      <c r="A129" s="6"/>
      <c r="B129" s="19" t="s">
        <v>257</v>
      </c>
      <c r="C129" s="20">
        <v>2000.0</v>
      </c>
      <c r="D129" s="20">
        <v>2000.0</v>
      </c>
      <c r="E129" s="20"/>
      <c r="F129" s="22"/>
      <c r="G129" s="22"/>
      <c r="H129" s="23"/>
      <c r="I129" s="29">
        <f t="shared" si="33"/>
        <v>2000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</row>
    <row r="130" ht="15.75" customHeight="1">
      <c r="A130" s="6"/>
      <c r="B130" s="19" t="s">
        <v>258</v>
      </c>
      <c r="C130" s="20">
        <v>1500.0</v>
      </c>
      <c r="D130" s="20">
        <v>1500.0</v>
      </c>
      <c r="F130" s="22"/>
      <c r="G130" s="22"/>
      <c r="H130" s="23"/>
      <c r="I130" s="29">
        <f t="shared" si="33"/>
        <v>1500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ht="15.75" customHeight="1">
      <c r="A131" s="6"/>
      <c r="B131" s="19" t="s">
        <v>260</v>
      </c>
      <c r="C131" s="20">
        <v>3000.0</v>
      </c>
      <c r="D131" s="20">
        <v>3000.0</v>
      </c>
      <c r="E131" s="20"/>
      <c r="F131" s="22"/>
      <c r="G131" s="22"/>
      <c r="H131" s="23"/>
      <c r="I131" s="29">
        <f t="shared" si="33"/>
        <v>3000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</row>
    <row r="132" ht="15.75" customHeight="1">
      <c r="A132" s="126" t="s">
        <v>99</v>
      </c>
      <c r="B132" s="130" t="s">
        <v>100</v>
      </c>
      <c r="C132" s="20"/>
      <c r="D132" s="20"/>
      <c r="E132" s="22"/>
      <c r="F132" s="22"/>
      <c r="G132" s="22"/>
      <c r="H132" s="23"/>
      <c r="I132" s="29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ht="15.75" customHeight="1">
      <c r="A133" s="59"/>
      <c r="B133" s="176" t="s">
        <v>261</v>
      </c>
      <c r="C133" s="177">
        <v>650000.0</v>
      </c>
      <c r="D133" s="20">
        <f>C133</f>
        <v>650000</v>
      </c>
      <c r="E133" s="22"/>
      <c r="F133" s="22"/>
      <c r="G133" s="22"/>
      <c r="H133" s="23"/>
      <c r="I133" s="29">
        <f>SUM(D133:H133)</f>
        <v>650000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</row>
    <row r="134" ht="15.75" customHeight="1">
      <c r="A134" s="30"/>
      <c r="B134" s="24" t="s">
        <v>254</v>
      </c>
      <c r="C134" s="31">
        <f t="shared" ref="C134:I134" si="34">SUM(C128:C133)</f>
        <v>662500</v>
      </c>
      <c r="D134" s="31">
        <f t="shared" si="34"/>
        <v>662500</v>
      </c>
      <c r="E134" s="31">
        <f t="shared" si="34"/>
        <v>0</v>
      </c>
      <c r="F134" s="31">
        <f t="shared" si="34"/>
        <v>0</v>
      </c>
      <c r="G134" s="31">
        <f t="shared" si="34"/>
        <v>0</v>
      </c>
      <c r="H134" s="31">
        <f t="shared" si="34"/>
        <v>0</v>
      </c>
      <c r="I134" s="31">
        <f t="shared" si="34"/>
        <v>662500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ht="15.75" customHeight="1">
      <c r="A135" s="40"/>
      <c r="B135" s="41"/>
      <c r="C135" s="42"/>
      <c r="D135" s="20"/>
      <c r="E135" s="21"/>
      <c r="F135" s="22"/>
      <c r="G135" s="22"/>
      <c r="H135" s="22"/>
      <c r="I135" s="23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</row>
    <row r="136" ht="15.75" customHeight="1">
      <c r="A136" s="24" t="s">
        <v>263</v>
      </c>
      <c r="B136" s="25" t="s">
        <v>264</v>
      </c>
      <c r="C136" s="26"/>
      <c r="D136" s="26"/>
      <c r="E136" s="26"/>
      <c r="F136" s="26"/>
      <c r="G136" s="26"/>
      <c r="H136" s="26"/>
      <c r="I136" s="23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ht="19.5" customHeight="1">
      <c r="A137" s="27">
        <v>632.0</v>
      </c>
      <c r="B137" s="28" t="s">
        <v>100</v>
      </c>
      <c r="C137" s="32"/>
      <c r="D137" s="32"/>
      <c r="E137" s="178"/>
      <c r="F137" s="178"/>
      <c r="G137" s="32"/>
      <c r="H137" s="178"/>
      <c r="I137" s="178"/>
      <c r="J137" s="99" t="s">
        <v>266</v>
      </c>
      <c r="K137" s="99" t="s">
        <v>267</v>
      </c>
      <c r="L137" s="99" t="s">
        <v>268</v>
      </c>
      <c r="M137" s="99" t="s">
        <v>269</v>
      </c>
      <c r="N137" s="6"/>
      <c r="O137" s="6"/>
      <c r="P137" s="6"/>
      <c r="Q137" s="6"/>
      <c r="R137" s="6"/>
      <c r="S137" s="6"/>
      <c r="T137" s="6"/>
    </row>
    <row r="138" ht="15.75" customHeight="1">
      <c r="A138" s="6"/>
      <c r="B138" s="179" t="s">
        <v>270</v>
      </c>
      <c r="C138" s="180">
        <f t="shared" ref="C138:D138" si="35">K138/18*6</f>
        <v>795171.6667</v>
      </c>
      <c r="D138" s="180">
        <f t="shared" si="35"/>
        <v>203663.3333</v>
      </c>
      <c r="E138" s="180"/>
      <c r="F138" s="180"/>
      <c r="G138" s="180">
        <f>M138/18*6</f>
        <v>591508.3333</v>
      </c>
      <c r="H138" s="181"/>
      <c r="I138" s="180">
        <f>SUM(D138:H138)</f>
        <v>795171.6667</v>
      </c>
      <c r="J138" s="6"/>
      <c r="K138" s="67">
        <v>2385515.0</v>
      </c>
      <c r="L138" s="61">
        <v>610990.0</v>
      </c>
      <c r="M138" s="61">
        <v>1774525.0</v>
      </c>
      <c r="N138" s="6"/>
      <c r="O138" s="6"/>
      <c r="P138" s="6"/>
      <c r="Q138" s="6"/>
      <c r="R138" s="6"/>
      <c r="S138" s="6"/>
      <c r="T138" s="6"/>
    </row>
    <row r="139" ht="15.75" customHeight="1">
      <c r="A139" s="30"/>
      <c r="B139" s="24" t="s">
        <v>263</v>
      </c>
      <c r="C139" s="31">
        <f t="shared" ref="C139:I139" si="36">SUM(C138)</f>
        <v>795171.6667</v>
      </c>
      <c r="D139" s="31">
        <f t="shared" si="36"/>
        <v>203663.3333</v>
      </c>
      <c r="E139" s="31">
        <f t="shared" si="36"/>
        <v>0</v>
      </c>
      <c r="F139" s="31">
        <f t="shared" si="36"/>
        <v>0</v>
      </c>
      <c r="G139" s="31">
        <f t="shared" si="36"/>
        <v>591508.3333</v>
      </c>
      <c r="H139" s="31">
        <f t="shared" si="36"/>
        <v>0</v>
      </c>
      <c r="I139" s="31">
        <f t="shared" si="36"/>
        <v>795171.6667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</row>
    <row r="140" ht="15.75" customHeight="1">
      <c r="A140" s="40"/>
      <c r="B140" s="41"/>
      <c r="C140" s="42"/>
      <c r="D140" s="20"/>
      <c r="E140" s="21"/>
      <c r="F140" s="22"/>
      <c r="G140" s="22"/>
      <c r="H140" s="22"/>
      <c r="I140" s="23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ht="15.75" customHeight="1">
      <c r="A141" s="24" t="s">
        <v>272</v>
      </c>
      <c r="B141" s="25" t="s">
        <v>273</v>
      </c>
      <c r="C141" s="26"/>
      <c r="D141" s="26"/>
      <c r="E141" s="26"/>
      <c r="F141" s="26"/>
      <c r="G141" s="26"/>
      <c r="H141" s="26"/>
      <c r="I141" s="23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</row>
    <row r="142" ht="15.75" customHeight="1">
      <c r="A142" s="27">
        <v>625.0</v>
      </c>
      <c r="B142" s="28" t="s">
        <v>222</v>
      </c>
      <c r="C142" s="26"/>
      <c r="D142" s="26"/>
      <c r="E142" s="26"/>
      <c r="F142" s="26"/>
      <c r="G142" s="26"/>
      <c r="H142" s="26"/>
      <c r="I142" s="23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ht="15.75" customHeight="1">
      <c r="A143" s="6"/>
      <c r="B143" s="36" t="s">
        <v>239</v>
      </c>
      <c r="C143" s="153">
        <v>7000.0</v>
      </c>
      <c r="D143" s="153">
        <v>7000.0</v>
      </c>
      <c r="E143" s="20">
        <v>0.0</v>
      </c>
      <c r="F143" s="22"/>
      <c r="G143" s="22"/>
      <c r="H143" s="23"/>
      <c r="I143" s="29">
        <f>SUM(D143:H143)</f>
        <v>7000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</row>
    <row r="144" ht="15.75" customHeight="1">
      <c r="A144" s="30"/>
      <c r="B144" s="24" t="s">
        <v>272</v>
      </c>
      <c r="C144" s="31">
        <f t="shared" ref="C144:I144" si="37">SUM(C143)</f>
        <v>7000</v>
      </c>
      <c r="D144" s="31">
        <f t="shared" si="37"/>
        <v>7000</v>
      </c>
      <c r="E144" s="31">
        <f t="shared" si="37"/>
        <v>0</v>
      </c>
      <c r="F144" s="31">
        <f t="shared" si="37"/>
        <v>0</v>
      </c>
      <c r="G144" s="31">
        <f t="shared" si="37"/>
        <v>0</v>
      </c>
      <c r="H144" s="31">
        <f t="shared" si="37"/>
        <v>0</v>
      </c>
      <c r="I144" s="31">
        <f t="shared" si="37"/>
        <v>7000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ht="15.75" customHeight="1">
      <c r="A145" s="40"/>
      <c r="B145" s="41"/>
      <c r="C145" s="42"/>
      <c r="D145" s="20"/>
      <c r="E145" s="21"/>
      <c r="F145" s="22"/>
      <c r="G145" s="22"/>
      <c r="H145" s="22"/>
      <c r="I145" s="23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</row>
    <row r="146" ht="15.75" customHeight="1">
      <c r="A146" s="43" t="s">
        <v>277</v>
      </c>
      <c r="B146" s="44" t="s">
        <v>278</v>
      </c>
      <c r="C146" s="42"/>
      <c r="D146" s="20"/>
      <c r="E146" s="21"/>
      <c r="F146" s="22"/>
      <c r="G146" s="22"/>
      <c r="H146" s="22"/>
      <c r="I146" s="23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ht="15.75" customHeight="1">
      <c r="A147" s="43" t="s">
        <v>31</v>
      </c>
      <c r="B147" s="44" t="s">
        <v>14</v>
      </c>
      <c r="C147" s="42"/>
      <c r="D147" s="20"/>
      <c r="E147" s="21"/>
      <c r="F147" s="22"/>
      <c r="G147" s="22"/>
      <c r="H147" s="22"/>
      <c r="I147" s="23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ht="15.75" customHeight="1">
      <c r="A148" s="40"/>
      <c r="B148" s="19" t="s">
        <v>279</v>
      </c>
      <c r="C148" s="20">
        <v>700000.0</v>
      </c>
      <c r="D148" s="20">
        <v>700000.0</v>
      </c>
      <c r="E148" s="21"/>
      <c r="F148" s="22"/>
      <c r="G148" s="22"/>
      <c r="H148" s="22"/>
      <c r="I148" s="29">
        <f>SUM(D148:H148)</f>
        <v>700000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ht="15.75" customHeight="1">
      <c r="A149" s="40"/>
      <c r="B149" s="45">
        <v>3373.0</v>
      </c>
      <c r="C149" s="46">
        <f t="shared" ref="C149:I149" si="38">SUM(C148)</f>
        <v>700000</v>
      </c>
      <c r="D149" s="46">
        <f t="shared" si="38"/>
        <v>700000</v>
      </c>
      <c r="E149" s="46">
        <f t="shared" si="38"/>
        <v>0</v>
      </c>
      <c r="F149" s="46">
        <f t="shared" si="38"/>
        <v>0</v>
      </c>
      <c r="G149" s="46">
        <f t="shared" si="38"/>
        <v>0</v>
      </c>
      <c r="H149" s="46">
        <f t="shared" si="38"/>
        <v>0</v>
      </c>
      <c r="I149" s="46">
        <f t="shared" si="38"/>
        <v>700000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</row>
    <row r="150" ht="15.75" customHeight="1">
      <c r="A150" s="18"/>
      <c r="B150" s="182"/>
      <c r="C150" s="22"/>
      <c r="D150" s="22"/>
      <c r="E150" s="22"/>
      <c r="F150" s="22"/>
      <c r="G150" s="22"/>
      <c r="H150" s="22"/>
      <c r="I150" s="23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ht="15.75" customHeight="1">
      <c r="A151" s="24" t="s">
        <v>281</v>
      </c>
      <c r="B151" s="25" t="s">
        <v>255</v>
      </c>
      <c r="C151" s="26"/>
      <c r="D151" s="26"/>
      <c r="E151" s="26"/>
      <c r="F151" s="26"/>
      <c r="G151" s="26"/>
      <c r="H151" s="26"/>
      <c r="I151" s="23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</row>
    <row r="152" ht="15.75" customHeight="1">
      <c r="A152" s="27">
        <v>623.0</v>
      </c>
      <c r="B152" s="28" t="s">
        <v>123</v>
      </c>
      <c r="C152" s="26"/>
      <c r="D152" s="26"/>
      <c r="E152" s="26"/>
      <c r="F152" s="26"/>
      <c r="G152" s="26"/>
      <c r="H152" s="26"/>
      <c r="I152" s="23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ht="15.75" customHeight="1">
      <c r="A153" s="6"/>
      <c r="B153" s="19" t="s">
        <v>283</v>
      </c>
      <c r="C153" s="20">
        <v>14000.0</v>
      </c>
      <c r="D153" s="20">
        <v>14000.0</v>
      </c>
      <c r="E153" s="22"/>
      <c r="F153" s="22"/>
      <c r="G153" s="22"/>
      <c r="H153" s="23"/>
      <c r="I153" s="29">
        <f t="shared" ref="I153:I157" si="39">SUM(D153:H153)</f>
        <v>14000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</row>
    <row r="154" ht="15.75" customHeight="1">
      <c r="A154" s="6"/>
      <c r="B154" s="19" t="s">
        <v>215</v>
      </c>
      <c r="C154" s="20">
        <v>9000.0</v>
      </c>
      <c r="D154" s="20">
        <v>9000.0</v>
      </c>
      <c r="E154" s="22"/>
      <c r="F154" s="22"/>
      <c r="G154" s="22"/>
      <c r="H154" s="23"/>
      <c r="I154" s="29">
        <f t="shared" si="39"/>
        <v>9000</v>
      </c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ht="15.75" customHeight="1">
      <c r="A155" s="6"/>
      <c r="B155" s="19" t="s">
        <v>284</v>
      </c>
      <c r="C155" s="20">
        <v>15000.0</v>
      </c>
      <c r="D155" s="20">
        <v>15000.0</v>
      </c>
      <c r="E155" s="22"/>
      <c r="F155" s="22"/>
      <c r="G155" s="22"/>
      <c r="H155" s="23"/>
      <c r="I155" s="29">
        <f t="shared" si="39"/>
        <v>15000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ht="15.75" customHeight="1">
      <c r="A156" s="6"/>
      <c r="B156" s="19" t="s">
        <v>285</v>
      </c>
      <c r="C156" s="20">
        <v>24000.0</v>
      </c>
      <c r="D156" s="20">
        <v>24000.0</v>
      </c>
      <c r="E156" s="22"/>
      <c r="F156" s="22"/>
      <c r="G156" s="22"/>
      <c r="H156" s="23"/>
      <c r="I156" s="29">
        <f t="shared" si="39"/>
        <v>24000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ht="15.75" customHeight="1">
      <c r="A157" s="6"/>
      <c r="B157" s="19" t="s">
        <v>219</v>
      </c>
      <c r="C157" s="20">
        <v>12000.0</v>
      </c>
      <c r="D157" s="20">
        <v>12000.0</v>
      </c>
      <c r="E157" s="22"/>
      <c r="F157" s="22"/>
      <c r="G157" s="22"/>
      <c r="H157" s="23"/>
      <c r="I157" s="29">
        <f t="shared" si="39"/>
        <v>12000</v>
      </c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</row>
    <row r="158" ht="15.75" customHeight="1">
      <c r="A158" s="30"/>
      <c r="B158" s="24" t="s">
        <v>281</v>
      </c>
      <c r="C158" s="31">
        <f t="shared" ref="C158:I158" si="40">SUM(C153:C157)</f>
        <v>74000</v>
      </c>
      <c r="D158" s="31">
        <f t="shared" si="40"/>
        <v>74000</v>
      </c>
      <c r="E158" s="31">
        <f t="shared" si="40"/>
        <v>0</v>
      </c>
      <c r="F158" s="31">
        <f t="shared" si="40"/>
        <v>0</v>
      </c>
      <c r="G158" s="31">
        <f t="shared" si="40"/>
        <v>0</v>
      </c>
      <c r="H158" s="31">
        <f t="shared" si="40"/>
        <v>0</v>
      </c>
      <c r="I158" s="31">
        <f t="shared" si="40"/>
        <v>74000</v>
      </c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ht="15.75" customHeight="1">
      <c r="A159" s="59"/>
      <c r="B159" s="176"/>
      <c r="C159" s="42"/>
      <c r="D159" s="20"/>
      <c r="E159" s="21"/>
      <c r="F159" s="22"/>
      <c r="G159" s="22"/>
      <c r="H159" s="22"/>
      <c r="I159" s="23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</row>
    <row r="160" ht="15.75" customHeight="1">
      <c r="A160" s="43" t="s">
        <v>288</v>
      </c>
      <c r="B160" s="44" t="s">
        <v>289</v>
      </c>
      <c r="C160" s="42"/>
      <c r="D160" s="20"/>
      <c r="E160" s="21"/>
      <c r="F160" s="22"/>
      <c r="G160" s="22"/>
      <c r="H160" s="22"/>
      <c r="I160" s="23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ht="15.75" customHeight="1">
      <c r="A161" s="43" t="s">
        <v>99</v>
      </c>
      <c r="B161" s="44" t="s">
        <v>100</v>
      </c>
      <c r="C161" s="42"/>
      <c r="D161" s="20"/>
      <c r="E161" s="21"/>
      <c r="F161" s="22"/>
      <c r="G161" s="22"/>
      <c r="H161" s="22"/>
      <c r="I161" s="23"/>
      <c r="J161" s="6"/>
      <c r="K161" s="6"/>
      <c r="L161" s="99" t="s">
        <v>291</v>
      </c>
      <c r="M161" s="99" t="s">
        <v>292</v>
      </c>
      <c r="N161" s="99">
        <v>2024.0</v>
      </c>
      <c r="O161" s="99" t="s">
        <v>293</v>
      </c>
      <c r="P161" s="6"/>
      <c r="Q161" s="6"/>
      <c r="R161" s="6"/>
      <c r="S161" s="6"/>
      <c r="T161" s="6"/>
    </row>
    <row r="162" ht="15.75" customHeight="1">
      <c r="A162" s="30" t="s">
        <v>294</v>
      </c>
      <c r="B162" s="183" t="s">
        <v>295</v>
      </c>
      <c r="C162" s="184">
        <v>617685.21</v>
      </c>
      <c r="D162" s="184">
        <v>617685.21</v>
      </c>
      <c r="E162" s="64"/>
      <c r="F162" s="67"/>
      <c r="G162" s="67"/>
      <c r="H162" s="67"/>
      <c r="I162" s="184">
        <v>617685.21</v>
      </c>
      <c r="J162" s="6"/>
      <c r="K162" s="6"/>
      <c r="L162" s="75">
        <v>2663229.7</v>
      </c>
      <c r="M162" s="99">
        <v>1903470.7</v>
      </c>
      <c r="N162" s="99">
        <v>1377444.21</v>
      </c>
      <c r="O162" s="83">
        <f>M162+N162-L162</f>
        <v>617685.21</v>
      </c>
      <c r="P162" s="6"/>
      <c r="Q162" s="6"/>
      <c r="R162" s="6"/>
      <c r="S162" s="6"/>
      <c r="T162" s="6"/>
    </row>
    <row r="163" ht="15.75" customHeight="1">
      <c r="A163" s="40"/>
      <c r="B163" s="36" t="s">
        <v>296</v>
      </c>
      <c r="C163" s="153">
        <v>270000.0</v>
      </c>
      <c r="D163" s="153">
        <v>270000.0</v>
      </c>
      <c r="E163" s="21"/>
      <c r="F163" s="22"/>
      <c r="G163" s="22"/>
      <c r="H163" s="22"/>
      <c r="I163" s="29">
        <f t="shared" ref="I163:I171" si="41">SUM(D163:H163)</f>
        <v>270000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</row>
    <row r="164" ht="15.75" customHeight="1">
      <c r="A164" s="40"/>
      <c r="B164" s="185" t="s">
        <v>298</v>
      </c>
      <c r="C164" s="186">
        <v>1189536.08</v>
      </c>
      <c r="D164" s="186">
        <v>1189536.08</v>
      </c>
      <c r="E164" s="187"/>
      <c r="F164" s="188"/>
      <c r="G164" s="188"/>
      <c r="H164" s="188"/>
      <c r="I164" s="188">
        <f t="shared" si="41"/>
        <v>1189536.08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ht="15.75" customHeight="1">
      <c r="A165" s="40"/>
      <c r="B165" s="185" t="s">
        <v>299</v>
      </c>
      <c r="C165" s="186">
        <v>295043.18</v>
      </c>
      <c r="D165" s="186">
        <v>295043.18</v>
      </c>
      <c r="E165" s="187"/>
      <c r="F165" s="188"/>
      <c r="G165" s="188"/>
      <c r="H165" s="188"/>
      <c r="I165" s="188">
        <f t="shared" si="41"/>
        <v>295043.18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</row>
    <row r="166" ht="15.75" customHeight="1">
      <c r="A166" s="40"/>
      <c r="B166" s="19" t="s">
        <v>300</v>
      </c>
      <c r="C166" s="20">
        <v>42000.0</v>
      </c>
      <c r="D166" s="20">
        <v>42000.0</v>
      </c>
      <c r="E166" s="21"/>
      <c r="F166" s="22"/>
      <c r="G166" s="22"/>
      <c r="H166" s="22"/>
      <c r="I166" s="29">
        <f t="shared" si="41"/>
        <v>42000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ht="15.75" customHeight="1">
      <c r="A167" s="40"/>
      <c r="B167" s="19" t="s">
        <v>301</v>
      </c>
      <c r="C167" s="20">
        <v>65000.0</v>
      </c>
      <c r="D167" s="20">
        <v>65000.0</v>
      </c>
      <c r="E167" s="21"/>
      <c r="F167" s="22"/>
      <c r="G167" s="22"/>
      <c r="H167" s="22"/>
      <c r="I167" s="29">
        <f t="shared" si="41"/>
        <v>65000</v>
      </c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</row>
    <row r="168" ht="15.75" customHeight="1">
      <c r="A168" s="40"/>
      <c r="B168" s="185" t="s">
        <v>302</v>
      </c>
      <c r="C168" s="186">
        <v>120000.0</v>
      </c>
      <c r="D168" s="186">
        <v>120000.0</v>
      </c>
      <c r="E168" s="187"/>
      <c r="F168" s="188"/>
      <c r="G168" s="188"/>
      <c r="H168" s="188"/>
      <c r="I168" s="188">
        <f t="shared" si="41"/>
        <v>120000</v>
      </c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ht="15.75" customHeight="1">
      <c r="A169" s="40"/>
      <c r="B169" s="19" t="s">
        <v>236</v>
      </c>
      <c r="C169" s="20">
        <v>25000.0</v>
      </c>
      <c r="D169" s="20">
        <v>25000.0</v>
      </c>
      <c r="E169" s="21"/>
      <c r="F169" s="22"/>
      <c r="G169" s="22"/>
      <c r="H169" s="22"/>
      <c r="I169" s="29">
        <f t="shared" si="41"/>
        <v>25000</v>
      </c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</row>
    <row r="170" ht="15.75" customHeight="1">
      <c r="A170" s="40"/>
      <c r="B170" s="19" t="s">
        <v>303</v>
      </c>
      <c r="C170" s="20">
        <v>31000.0</v>
      </c>
      <c r="D170" s="20">
        <v>31000.0</v>
      </c>
      <c r="E170" s="21"/>
      <c r="F170" s="22"/>
      <c r="G170" s="22"/>
      <c r="H170" s="22"/>
      <c r="I170" s="29">
        <f t="shared" si="41"/>
        <v>31000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ht="15.75" customHeight="1">
      <c r="A171" s="40"/>
      <c r="B171" s="158" t="s">
        <v>306</v>
      </c>
      <c r="C171" s="22">
        <v>90000.0</v>
      </c>
      <c r="D171" s="22">
        <v>90000.0</v>
      </c>
      <c r="E171" s="21"/>
      <c r="F171" s="22"/>
      <c r="G171" s="22"/>
      <c r="H171" s="22"/>
      <c r="I171" s="29">
        <f t="shared" si="41"/>
        <v>90000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</row>
    <row r="172" ht="15.75" customHeight="1">
      <c r="A172" s="40"/>
      <c r="B172" s="45">
        <v>3420.0</v>
      </c>
      <c r="C172" s="46">
        <f t="shared" ref="C172:I172" si="42">SUM(C162:C171)</f>
        <v>2745264.47</v>
      </c>
      <c r="D172" s="46">
        <f t="shared" si="42"/>
        <v>2745264.47</v>
      </c>
      <c r="E172" s="46">
        <f t="shared" si="42"/>
        <v>0</v>
      </c>
      <c r="F172" s="46">
        <f t="shared" si="42"/>
        <v>0</v>
      </c>
      <c r="G172" s="46">
        <f t="shared" si="42"/>
        <v>0</v>
      </c>
      <c r="H172" s="46">
        <f t="shared" si="42"/>
        <v>0</v>
      </c>
      <c r="I172" s="46">
        <f t="shared" si="42"/>
        <v>2745264.47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ht="15.75" customHeight="1">
      <c r="A173" s="30"/>
      <c r="B173" s="24"/>
      <c r="C173" s="29"/>
      <c r="D173" s="29"/>
      <c r="E173" s="29"/>
      <c r="F173" s="29"/>
      <c r="G173" s="29"/>
      <c r="H173" s="29"/>
      <c r="I173" s="29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</row>
    <row r="174" ht="15.75" customHeight="1">
      <c r="A174" s="191" t="s">
        <v>310</v>
      </c>
      <c r="B174" s="192" t="s">
        <v>311</v>
      </c>
      <c r="C174" s="193"/>
      <c r="D174" s="193"/>
      <c r="E174" s="193"/>
      <c r="F174" s="193"/>
      <c r="G174" s="193"/>
      <c r="H174" s="193"/>
      <c r="I174" s="193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ht="15.75" customHeight="1">
      <c r="A175" s="194">
        <v>609.0</v>
      </c>
      <c r="B175" s="195" t="s">
        <v>49</v>
      </c>
      <c r="C175" s="193"/>
      <c r="D175" s="193"/>
      <c r="E175" s="193"/>
      <c r="F175" s="193"/>
      <c r="G175" s="193"/>
      <c r="H175" s="193"/>
      <c r="I175" s="193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</row>
    <row r="176" ht="15.75" customHeight="1">
      <c r="A176" s="196"/>
      <c r="B176" s="197" t="s">
        <v>59</v>
      </c>
      <c r="C176" s="198">
        <v>91681.99</v>
      </c>
      <c r="D176" s="199">
        <v>19693.29</v>
      </c>
      <c r="E176" s="193"/>
      <c r="F176" s="193"/>
      <c r="G176" s="199">
        <v>71988.7</v>
      </c>
      <c r="H176" s="193"/>
      <c r="I176" s="193">
        <f>SUM(D176:H176)</f>
        <v>91681.99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ht="15.75" customHeight="1">
      <c r="A177" s="200">
        <v>619.0</v>
      </c>
      <c r="B177" s="201" t="s">
        <v>53</v>
      </c>
      <c r="C177" s="202"/>
      <c r="D177" s="193"/>
      <c r="E177" s="193"/>
      <c r="F177" s="193"/>
      <c r="G177" s="193"/>
      <c r="H177" s="193"/>
      <c r="I177" s="193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</row>
    <row r="178" ht="15.75" customHeight="1">
      <c r="A178" s="203"/>
      <c r="B178" s="197" t="s">
        <v>63</v>
      </c>
      <c r="C178" s="202">
        <v>392248.58</v>
      </c>
      <c r="D178" s="198">
        <v>272248.58</v>
      </c>
      <c r="E178" s="193"/>
      <c r="F178" s="193"/>
      <c r="G178" s="199">
        <v>120000.0</v>
      </c>
      <c r="H178" s="193"/>
      <c r="I178" s="193">
        <f>SUM(D178:H178)</f>
        <v>392248.58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ht="15.75" customHeight="1">
      <c r="A179" s="200">
        <v>622.0</v>
      </c>
      <c r="B179" s="204" t="s">
        <v>100</v>
      </c>
      <c r="C179" s="202"/>
      <c r="D179" s="193"/>
      <c r="E179" s="193"/>
      <c r="F179" s="193"/>
      <c r="G179" s="193"/>
      <c r="H179" s="193"/>
      <c r="I179" s="193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</row>
    <row r="180" ht="15.75" customHeight="1">
      <c r="A180" s="203"/>
      <c r="B180" s="197" t="s">
        <v>69</v>
      </c>
      <c r="C180" s="198">
        <v>727038.08</v>
      </c>
      <c r="D180" s="199">
        <v>156167.78</v>
      </c>
      <c r="E180" s="193"/>
      <c r="F180" s="193"/>
      <c r="G180" s="199">
        <v>570870.3</v>
      </c>
      <c r="H180" s="193"/>
      <c r="I180" s="193">
        <f t="shared" ref="I180:I181" si="43">SUM(D180:H180)</f>
        <v>727038.08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ht="15.75" customHeight="1">
      <c r="A181" s="203"/>
      <c r="B181" s="197" t="s">
        <v>70</v>
      </c>
      <c r="C181" s="198">
        <v>388514.84</v>
      </c>
      <c r="D181" s="199">
        <v>83452.99</v>
      </c>
      <c r="E181" s="193"/>
      <c r="F181" s="193"/>
      <c r="G181" s="199">
        <v>305061.85</v>
      </c>
      <c r="H181" s="193"/>
      <c r="I181" s="193">
        <f t="shared" si="43"/>
        <v>388514.84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</row>
    <row r="182" ht="15.75" customHeight="1">
      <c r="A182" s="200">
        <v>629.0</v>
      </c>
      <c r="B182" s="205" t="s">
        <v>14</v>
      </c>
      <c r="C182" s="202"/>
      <c r="D182" s="193"/>
      <c r="E182" s="193"/>
      <c r="F182" s="193"/>
      <c r="G182" s="193"/>
      <c r="H182" s="193"/>
      <c r="I182" s="193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ht="15.75" customHeight="1">
      <c r="A183" s="203"/>
      <c r="B183" s="197" t="s">
        <v>74</v>
      </c>
      <c r="C183" s="198">
        <v>191034.13</v>
      </c>
      <c r="D183" s="199">
        <v>41034.13</v>
      </c>
      <c r="E183" s="193"/>
      <c r="F183" s="193"/>
      <c r="G183" s="199">
        <v>150000.0</v>
      </c>
      <c r="H183" s="193"/>
      <c r="I183" s="193">
        <f t="shared" ref="I183:I184" si="44">SUM(D183:H183)</f>
        <v>191034.13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</row>
    <row r="184" ht="15.75" customHeight="1">
      <c r="A184" s="206"/>
      <c r="B184" s="90" t="s">
        <v>81</v>
      </c>
      <c r="C184" s="207">
        <v>91696.38</v>
      </c>
      <c r="D184" s="61"/>
      <c r="E184" s="67"/>
      <c r="F184" s="67"/>
      <c r="G184" s="207">
        <v>91696.38</v>
      </c>
      <c r="H184" s="67"/>
      <c r="I184" s="67">
        <f t="shared" si="44"/>
        <v>91696.38</v>
      </c>
      <c r="J184" s="162"/>
      <c r="K184" s="162"/>
      <c r="L184" s="162"/>
      <c r="M184" s="162"/>
      <c r="N184" s="162"/>
      <c r="O184" s="162"/>
      <c r="P184" s="162"/>
      <c r="Q184" s="162"/>
      <c r="R184" s="162"/>
      <c r="S184" s="162"/>
      <c r="T184" s="162"/>
    </row>
    <row r="185" ht="15.75" customHeight="1">
      <c r="A185" s="200">
        <v>689.0</v>
      </c>
      <c r="B185" s="200" t="s">
        <v>314</v>
      </c>
      <c r="C185" s="202"/>
      <c r="D185" s="208"/>
      <c r="E185" s="193"/>
      <c r="F185" s="193"/>
      <c r="G185" s="208"/>
      <c r="H185" s="193"/>
      <c r="I185" s="193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</row>
    <row r="186" ht="15.75" customHeight="1">
      <c r="A186" s="209"/>
      <c r="B186" s="210" t="s">
        <v>315</v>
      </c>
      <c r="C186" s="211">
        <v>35150.28</v>
      </c>
      <c r="D186" s="199">
        <v>7550.28</v>
      </c>
      <c r="E186" s="202"/>
      <c r="F186" s="193"/>
      <c r="G186" s="199">
        <v>27600.0</v>
      </c>
      <c r="H186" s="193"/>
      <c r="I186" s="193">
        <f>SUM(D186:H186)</f>
        <v>35150.28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ht="15.75" customHeight="1">
      <c r="A187" s="212"/>
      <c r="B187" s="191" t="s">
        <v>310</v>
      </c>
      <c r="C187" s="213">
        <f t="shared" ref="C187:I187" si="45">SUM(C176:C186)</f>
        <v>1917364.28</v>
      </c>
      <c r="D187" s="213">
        <f t="shared" si="45"/>
        <v>580147.05</v>
      </c>
      <c r="E187" s="213">
        <f t="shared" si="45"/>
        <v>0</v>
      </c>
      <c r="F187" s="213">
        <f t="shared" si="45"/>
        <v>0</v>
      </c>
      <c r="G187" s="213">
        <f t="shared" si="45"/>
        <v>1337217.23</v>
      </c>
      <c r="H187" s="213">
        <f t="shared" si="45"/>
        <v>0</v>
      </c>
      <c r="I187" s="213">
        <f t="shared" si="45"/>
        <v>1917364.28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</row>
    <row r="188" ht="15.75" customHeight="1">
      <c r="A188" s="59"/>
      <c r="B188" s="176"/>
      <c r="C188" s="42"/>
      <c r="D188" s="20"/>
      <c r="E188" s="21"/>
      <c r="F188" s="22"/>
      <c r="G188" s="22"/>
      <c r="H188" s="22"/>
      <c r="I188" s="23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ht="15.75" customHeight="1">
      <c r="A189" s="214" t="s">
        <v>316</v>
      </c>
      <c r="B189" s="215" t="s">
        <v>317</v>
      </c>
      <c r="C189" s="147"/>
      <c r="D189" s="147"/>
      <c r="E189" s="147"/>
      <c r="F189" s="147"/>
      <c r="G189" s="147"/>
      <c r="H189" s="147"/>
      <c r="I189" s="147"/>
      <c r="J189" s="216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</row>
    <row r="190" ht="15.75" customHeight="1">
      <c r="A190" s="217">
        <v>632.0</v>
      </c>
      <c r="B190" s="215" t="s">
        <v>318</v>
      </c>
      <c r="C190" s="218"/>
      <c r="D190" s="218"/>
      <c r="E190" s="147"/>
      <c r="F190" s="147"/>
      <c r="G190" s="218"/>
      <c r="H190" s="147"/>
      <c r="I190" s="147"/>
      <c r="J190" s="216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</row>
    <row r="191" ht="15.75" customHeight="1">
      <c r="A191" s="219"/>
      <c r="B191" s="220" t="s">
        <v>319</v>
      </c>
      <c r="C191" s="221">
        <v>200000.0</v>
      </c>
      <c r="D191" s="221">
        <v>200000.0</v>
      </c>
      <c r="E191" s="147"/>
      <c r="F191" s="147"/>
      <c r="G191" s="222"/>
      <c r="H191" s="147"/>
      <c r="I191" s="222">
        <f t="shared" ref="I191:I192" si="46">SUM(D191:H191)</f>
        <v>200000</v>
      </c>
      <c r="J191" s="216"/>
      <c r="K191" s="222"/>
      <c r="L191" s="222"/>
      <c r="M191" s="222"/>
      <c r="N191" s="216"/>
      <c r="O191" s="216"/>
      <c r="P191" s="216"/>
      <c r="Q191" s="216"/>
      <c r="R191" s="216"/>
      <c r="S191" s="216"/>
      <c r="T191" s="216"/>
    </row>
    <row r="192" ht="15.75" customHeight="1">
      <c r="A192" s="219"/>
      <c r="B192" s="220" t="s">
        <v>320</v>
      </c>
      <c r="C192" s="223">
        <v>100000.0</v>
      </c>
      <c r="D192" s="223">
        <v>100000.0</v>
      </c>
      <c r="E192" s="224"/>
      <c r="F192" s="224"/>
      <c r="G192" s="225"/>
      <c r="H192" s="224"/>
      <c r="I192" s="222">
        <f t="shared" si="46"/>
        <v>100000</v>
      </c>
      <c r="J192" s="216"/>
      <c r="K192" s="222"/>
      <c r="L192" s="222"/>
      <c r="M192" s="222"/>
      <c r="N192" s="216"/>
      <c r="O192" s="216"/>
      <c r="P192" s="216"/>
      <c r="Q192" s="216"/>
      <c r="R192" s="216"/>
      <c r="S192" s="216"/>
      <c r="T192" s="216"/>
    </row>
    <row r="193" ht="15.75" customHeight="1">
      <c r="A193" s="226"/>
      <c r="B193" s="227" t="s">
        <v>316</v>
      </c>
      <c r="C193" s="228">
        <f t="shared" ref="C193:I193" si="47">SUM(C191:C192)</f>
        <v>300000</v>
      </c>
      <c r="D193" s="228">
        <f t="shared" si="47"/>
        <v>300000</v>
      </c>
      <c r="E193" s="228">
        <f t="shared" si="47"/>
        <v>0</v>
      </c>
      <c r="F193" s="228">
        <f t="shared" si="47"/>
        <v>0</v>
      </c>
      <c r="G193" s="46">
        <f t="shared" si="47"/>
        <v>0</v>
      </c>
      <c r="H193" s="46">
        <f t="shared" si="47"/>
        <v>0</v>
      </c>
      <c r="I193" s="46">
        <f t="shared" si="47"/>
        <v>300000</v>
      </c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</row>
    <row r="194" ht="15.75" customHeight="1">
      <c r="A194" s="59"/>
      <c r="B194" s="176"/>
      <c r="C194" s="42"/>
      <c r="D194" s="20"/>
      <c r="E194" s="21"/>
      <c r="F194" s="22"/>
      <c r="G194" s="22"/>
      <c r="H194" s="22"/>
      <c r="I194" s="23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ht="15.75" customHeight="1">
      <c r="A195" s="214" t="s">
        <v>321</v>
      </c>
      <c r="B195" s="215" t="s">
        <v>322</v>
      </c>
      <c r="C195" s="147"/>
      <c r="D195" s="147"/>
      <c r="E195" s="147"/>
      <c r="F195" s="147"/>
      <c r="G195" s="147"/>
      <c r="H195" s="147"/>
      <c r="I195" s="147"/>
      <c r="J195" s="216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</row>
    <row r="196" ht="15.75" customHeight="1">
      <c r="A196" s="217">
        <v>632.0</v>
      </c>
      <c r="B196" s="215" t="s">
        <v>318</v>
      </c>
      <c r="C196" s="218"/>
      <c r="D196" s="218"/>
      <c r="E196" s="147"/>
      <c r="F196" s="147"/>
      <c r="G196" s="218"/>
      <c r="H196" s="147"/>
      <c r="I196" s="147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</row>
    <row r="197" ht="15.75" customHeight="1">
      <c r="A197" s="219"/>
      <c r="B197" s="220" t="s">
        <v>325</v>
      </c>
      <c r="C197" s="223">
        <v>100000.0</v>
      </c>
      <c r="D197" s="223">
        <v>100000.0</v>
      </c>
      <c r="E197" s="224"/>
      <c r="F197" s="224"/>
      <c r="G197" s="225"/>
      <c r="H197" s="224"/>
      <c r="I197" s="225">
        <f>SUM(D197:H197)</f>
        <v>100000</v>
      </c>
      <c r="J197" s="216"/>
      <c r="K197" s="222"/>
      <c r="L197" s="222"/>
      <c r="M197" s="222"/>
      <c r="N197" s="216"/>
      <c r="O197" s="216"/>
      <c r="P197" s="216"/>
      <c r="Q197" s="216"/>
      <c r="R197" s="216"/>
      <c r="S197" s="216"/>
      <c r="T197" s="216"/>
    </row>
    <row r="198" ht="15.75" customHeight="1">
      <c r="A198" s="226"/>
      <c r="B198" s="227" t="s">
        <v>321</v>
      </c>
      <c r="C198" s="228">
        <f t="shared" ref="C198:I198" si="48">SUM(C197)</f>
        <v>100000</v>
      </c>
      <c r="D198" s="228">
        <f t="shared" si="48"/>
        <v>100000</v>
      </c>
      <c r="E198" s="228">
        <f t="shared" si="48"/>
        <v>0</v>
      </c>
      <c r="F198" s="228">
        <f t="shared" si="48"/>
        <v>0</v>
      </c>
      <c r="G198" s="228">
        <f t="shared" si="48"/>
        <v>0</v>
      </c>
      <c r="H198" s="228">
        <f t="shared" si="48"/>
        <v>0</v>
      </c>
      <c r="I198" s="228">
        <f t="shared" si="48"/>
        <v>100000</v>
      </c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</row>
    <row r="199" ht="15.75" customHeight="1">
      <c r="A199" s="59"/>
      <c r="B199" s="176"/>
      <c r="C199" s="42"/>
      <c r="D199" s="20"/>
      <c r="E199" s="21"/>
      <c r="F199" s="22"/>
      <c r="G199" s="22"/>
      <c r="H199" s="22"/>
      <c r="I199" s="23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</row>
    <row r="200" ht="15.75" customHeight="1">
      <c r="A200" s="43" t="s">
        <v>326</v>
      </c>
      <c r="B200" s="44" t="s">
        <v>327</v>
      </c>
      <c r="C200" s="42"/>
      <c r="D200" s="20"/>
      <c r="E200" s="21"/>
      <c r="F200" s="22"/>
      <c r="G200" s="22"/>
      <c r="H200" s="22"/>
      <c r="I200" s="23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ht="15.75" customHeight="1">
      <c r="A201" s="43" t="s">
        <v>31</v>
      </c>
      <c r="B201" s="44" t="s">
        <v>14</v>
      </c>
      <c r="C201" s="42"/>
      <c r="D201" s="20"/>
      <c r="E201" s="21"/>
      <c r="F201" s="22"/>
      <c r="G201" s="22"/>
      <c r="H201" s="22"/>
      <c r="I201" s="23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</row>
    <row r="202" ht="15.75" customHeight="1">
      <c r="A202" s="40"/>
      <c r="B202" s="19" t="s">
        <v>329</v>
      </c>
      <c r="C202" s="20">
        <v>200000.0</v>
      </c>
      <c r="D202" s="20">
        <v>200000.0</v>
      </c>
      <c r="E202" s="229"/>
      <c r="F202" s="22"/>
      <c r="G202" s="22"/>
      <c r="H202" s="22"/>
      <c r="I202" s="29">
        <f t="shared" ref="I202:I205" si="49">SUM(D202:H202)</f>
        <v>200000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ht="15.75" customHeight="1">
      <c r="A203" s="40"/>
      <c r="B203" s="19" t="s">
        <v>330</v>
      </c>
      <c r="C203" s="20">
        <v>1200.0</v>
      </c>
      <c r="D203" s="134">
        <v>1200.0</v>
      </c>
      <c r="F203" s="22"/>
      <c r="G203" s="22"/>
      <c r="H203" s="22"/>
      <c r="I203" s="29">
        <f t="shared" si="49"/>
        <v>1200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</row>
    <row r="204" ht="15.75" customHeight="1">
      <c r="A204" s="40"/>
      <c r="B204" s="19" t="s">
        <v>331</v>
      </c>
      <c r="C204" s="20">
        <v>40000.0</v>
      </c>
      <c r="D204" s="20">
        <v>40000.0</v>
      </c>
      <c r="E204" s="134"/>
      <c r="F204" s="22"/>
      <c r="G204" s="22"/>
      <c r="H204" s="22"/>
      <c r="I204" s="29">
        <f t="shared" si="49"/>
        <v>40000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ht="15.75" customHeight="1">
      <c r="A205" s="40"/>
      <c r="B205" s="19" t="s">
        <v>332</v>
      </c>
      <c r="C205" s="20">
        <v>40000.0</v>
      </c>
      <c r="D205" s="20">
        <v>40000.0</v>
      </c>
      <c r="E205" s="21"/>
      <c r="F205" s="22"/>
      <c r="G205" s="22"/>
      <c r="H205" s="22"/>
      <c r="I205" s="29">
        <f t="shared" si="49"/>
        <v>40000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</row>
    <row r="206" ht="15.75" customHeight="1">
      <c r="A206" s="43" t="s">
        <v>204</v>
      </c>
      <c r="B206" s="28" t="s">
        <v>100</v>
      </c>
      <c r="C206" s="20"/>
      <c r="D206" s="20"/>
      <c r="E206" s="21"/>
      <c r="F206" s="22"/>
      <c r="G206" s="22"/>
      <c r="H206" s="22"/>
      <c r="I206" s="23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ht="15.75" customHeight="1">
      <c r="A207" s="40"/>
      <c r="B207" s="19" t="s">
        <v>333</v>
      </c>
      <c r="C207" s="20">
        <v>300000.0</v>
      </c>
      <c r="D207" s="20">
        <v>300000.0</v>
      </c>
      <c r="E207" s="21"/>
      <c r="F207" s="22"/>
      <c r="G207" s="22"/>
      <c r="H207" s="22"/>
      <c r="I207" s="29">
        <f>SUM(D207:H207)</f>
        <v>300000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</row>
    <row r="208" ht="15.75" customHeight="1">
      <c r="A208" s="40"/>
      <c r="B208" s="45">
        <v>9200.0</v>
      </c>
      <c r="C208" s="46">
        <f t="shared" ref="C208:I208" si="50">SUM(C202:C207)</f>
        <v>581200</v>
      </c>
      <c r="D208" s="46">
        <f t="shared" si="50"/>
        <v>581200</v>
      </c>
      <c r="E208" s="46">
        <f t="shared" si="50"/>
        <v>0</v>
      </c>
      <c r="F208" s="46">
        <f t="shared" si="50"/>
        <v>0</v>
      </c>
      <c r="G208" s="46">
        <f t="shared" si="50"/>
        <v>0</v>
      </c>
      <c r="H208" s="46">
        <f t="shared" si="50"/>
        <v>0</v>
      </c>
      <c r="I208" s="46">
        <f t="shared" si="50"/>
        <v>581200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ht="15.75" customHeight="1">
      <c r="A209" s="230"/>
      <c r="B209" s="41"/>
      <c r="C209" s="42"/>
      <c r="D209" s="20"/>
      <c r="E209" s="21"/>
      <c r="F209" s="22"/>
      <c r="G209" s="22"/>
      <c r="H209" s="22"/>
      <c r="I209" s="23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</row>
    <row r="210" ht="15.75" customHeight="1">
      <c r="A210" s="230"/>
      <c r="B210" s="231" t="s">
        <v>335</v>
      </c>
      <c r="C210" s="232">
        <f t="shared" ref="C210:I210" si="51">SUM(C198,C28,C60,C83,C95,C172,C208,C24,C149,C71,C42,C13,C111,C105,C144,C119,C76,C124,C8,C65,C100,C134,C158,C187,C139,C193,C100)</f>
        <v>14571981.9</v>
      </c>
      <c r="D210" s="232">
        <f t="shared" si="51"/>
        <v>9451798.783</v>
      </c>
      <c r="E210" s="232">
        <f t="shared" si="51"/>
        <v>0</v>
      </c>
      <c r="F210" s="232">
        <f t="shared" si="51"/>
        <v>6000</v>
      </c>
      <c r="G210" s="232">
        <f t="shared" si="51"/>
        <v>5090725.563</v>
      </c>
      <c r="H210" s="232">
        <f t="shared" si="51"/>
        <v>23457.55</v>
      </c>
      <c r="I210" s="232">
        <f t="shared" si="51"/>
        <v>14571981.9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ht="15.75" customHeight="1">
      <c r="A211" s="230"/>
      <c r="B211" s="41"/>
      <c r="C211" s="42"/>
      <c r="D211" s="20"/>
      <c r="E211" s="21"/>
      <c r="F211" s="23"/>
      <c r="G211" s="23"/>
      <c r="H211" s="23"/>
      <c r="I211" s="23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</row>
    <row r="212" ht="15.75" customHeight="1">
      <c r="A212" s="233"/>
      <c r="B212" s="41"/>
      <c r="C212" s="42"/>
      <c r="D212" s="20"/>
      <c r="E212" s="21"/>
      <c r="F212" s="23"/>
      <c r="G212" s="23"/>
      <c r="H212" s="23"/>
      <c r="I212" s="23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ht="15.75" customHeight="1">
      <c r="A213" s="233"/>
      <c r="B213" s="41"/>
      <c r="C213" s="42"/>
      <c r="D213" s="20"/>
      <c r="E213" s="21"/>
      <c r="F213" s="23"/>
      <c r="G213" s="23"/>
      <c r="H213" s="23"/>
      <c r="I213" s="23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</row>
    <row r="214" ht="15.75" customHeight="1">
      <c r="A214" s="233"/>
      <c r="B214" s="41"/>
      <c r="C214" s="42"/>
      <c r="D214" s="20" t="s">
        <v>337</v>
      </c>
      <c r="E214" s="234">
        <f>IFERROR(__xludf.DUMMYFUNCTION("IMPORTRANGE(""https://docs.google.com/spreadsheets/d/1QHciYMvliATvWbE-ZiCODSi4C7HCgtLrWiSYo1XuIdk/edit#gid=1800890333"", ""2024!diff_ingreso_gasto"")"),188138.43999999762)</f>
        <v>188138.44</v>
      </c>
      <c r="F214" s="23"/>
      <c r="G214" s="23"/>
      <c r="H214" s="23">
        <f>40000-4819.01</f>
        <v>35180.99</v>
      </c>
      <c r="I214" s="23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ht="15.75" customHeight="1">
      <c r="A215" s="233"/>
      <c r="B215" s="41"/>
      <c r="C215" s="42"/>
      <c r="D215" s="20" t="s">
        <v>339</v>
      </c>
      <c r="E215" s="21">
        <f>E214-E210</f>
        <v>188138.44</v>
      </c>
      <c r="F215" s="23"/>
      <c r="G215" s="23"/>
      <c r="H215" s="23"/>
      <c r="I215" s="23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</row>
    <row r="216" ht="15.75" customHeight="1">
      <c r="A216" s="233"/>
      <c r="B216" s="41"/>
      <c r="C216" s="42"/>
      <c r="D216" s="20"/>
      <c r="E216" s="21"/>
      <c r="F216" s="23"/>
      <c r="G216" s="23"/>
      <c r="H216" s="23"/>
      <c r="I216" s="23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ht="15.75" customHeight="1">
      <c r="A217" s="233"/>
      <c r="B217" s="41"/>
      <c r="C217" s="42"/>
      <c r="D217" s="20"/>
      <c r="E217" s="21"/>
      <c r="F217" s="23"/>
      <c r="G217" s="23"/>
      <c r="H217" s="23"/>
      <c r="I217" s="23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</row>
    <row r="218" ht="15.75" customHeight="1">
      <c r="A218" s="233"/>
      <c r="B218" s="41"/>
      <c r="C218" s="42"/>
      <c r="D218" s="20"/>
      <c r="E218" s="21"/>
      <c r="F218" s="23"/>
      <c r="G218" s="23"/>
      <c r="H218" s="23"/>
      <c r="I218" s="23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</sheetData>
  <mergeCells count="1">
    <mergeCell ref="A1:I1"/>
  </mergeCells>
  <printOptions/>
  <pageMargins bottom="0.75" footer="0.0" header="0.0" left="0.7" right="0.7" top="0.75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1.57"/>
    <col customWidth="1" min="2" max="2" width="18.14"/>
    <col customWidth="1" min="3" max="3" width="63.71"/>
    <col customWidth="1" min="4" max="5" width="13.71"/>
    <col customWidth="1" min="6" max="6" width="14.0"/>
    <col customWidth="1" min="7" max="9" width="12.71"/>
    <col customWidth="1" min="10" max="10" width="13.71"/>
    <col customWidth="1" min="11" max="11" width="16.43"/>
    <col customWidth="1" min="12" max="12" width="12.57"/>
    <col customWidth="1" min="13" max="13" width="12.0"/>
    <col customWidth="1" min="14" max="14" width="12.86"/>
    <col customWidth="1" min="15" max="15" width="20.71"/>
    <col customWidth="1" min="16" max="16" width="16.14"/>
    <col customWidth="1" min="17" max="28" width="10.0"/>
  </cols>
  <sheetData>
    <row r="1" ht="15.75" customHeight="1">
      <c r="A1" s="48"/>
      <c r="B1" s="50"/>
      <c r="C1" s="53" t="s">
        <v>0</v>
      </c>
      <c r="D1" s="4"/>
      <c r="E1" s="4"/>
      <c r="F1" s="4"/>
      <c r="G1" s="4"/>
      <c r="H1" s="4"/>
      <c r="I1" s="5"/>
      <c r="J1" s="56"/>
      <c r="M1" s="58" t="s">
        <v>42</v>
      </c>
      <c r="N1" s="11" t="s">
        <v>44</v>
      </c>
      <c r="O1" s="11" t="s">
        <v>45</v>
      </c>
      <c r="P1" s="11" t="s">
        <v>47</v>
      </c>
      <c r="Q1" s="11" t="s">
        <v>48</v>
      </c>
    </row>
    <row r="2" ht="15.75" customHeight="1">
      <c r="A2" s="48"/>
      <c r="B2" s="63"/>
      <c r="C2" s="63"/>
      <c r="D2" s="65"/>
      <c r="E2" s="66"/>
      <c r="F2" s="66"/>
      <c r="G2" s="66"/>
      <c r="H2" s="66"/>
      <c r="I2" s="66"/>
      <c r="J2" s="56"/>
      <c r="M2" s="58">
        <f>IFERROR(__xludf.DUMMYFUNCTION("IMPORTRANGE(""https://docs.google.com/spreadsheets/d/1QHciYMvliATvWbE-ZiCODSi4C7HCgtLrWiSYo1XuIdk"", ""2024!diff_ingreso_gasto"")"),188138.43999999762)</f>
        <v>188138.44</v>
      </c>
      <c r="P2" s="14">
        <f>SUM(D4:D86)</f>
        <v>9587381.19</v>
      </c>
      <c r="Q2" s="14">
        <f>P2-SUM(D4:D12)</f>
        <v>6134913.18</v>
      </c>
    </row>
    <row r="3" ht="49.5" customHeight="1">
      <c r="A3" s="76" t="s">
        <v>2</v>
      </c>
      <c r="B3" s="78"/>
      <c r="C3" s="78" t="s">
        <v>3</v>
      </c>
      <c r="D3" s="80" t="s">
        <v>4</v>
      </c>
      <c r="E3" s="81" t="s">
        <v>1</v>
      </c>
      <c r="F3" s="81" t="s">
        <v>5</v>
      </c>
      <c r="G3" s="81" t="s">
        <v>6</v>
      </c>
      <c r="H3" s="84" t="s">
        <v>7</v>
      </c>
      <c r="I3" s="81" t="s">
        <v>9</v>
      </c>
      <c r="J3" s="81" t="s">
        <v>10</v>
      </c>
      <c r="L3" s="81" t="s">
        <v>54</v>
      </c>
      <c r="M3" s="86" t="s">
        <v>4</v>
      </c>
      <c r="N3" s="84" t="s">
        <v>55</v>
      </c>
    </row>
    <row r="4" ht="15.75" customHeight="1">
      <c r="A4" s="87" t="s">
        <v>56</v>
      </c>
      <c r="B4" s="89"/>
      <c r="C4" s="89" t="s">
        <v>59</v>
      </c>
      <c r="D4" s="91">
        <v>91681.99</v>
      </c>
      <c r="E4" s="93"/>
      <c r="G4" s="95"/>
      <c r="H4" s="95"/>
      <c r="I4" s="95"/>
      <c r="J4" s="97"/>
      <c r="L4" s="98"/>
      <c r="M4" s="58"/>
    </row>
    <row r="5" ht="15.75" customHeight="1">
      <c r="A5" s="100" t="s">
        <v>61</v>
      </c>
      <c r="B5" s="102"/>
      <c r="C5" s="102" t="s">
        <v>63</v>
      </c>
      <c r="D5" s="104">
        <v>152827.31</v>
      </c>
      <c r="E5" s="93"/>
      <c r="G5" s="95"/>
      <c r="H5" s="95"/>
      <c r="I5" s="95"/>
      <c r="J5" s="97"/>
      <c r="L5" s="98"/>
      <c r="M5" s="58"/>
    </row>
    <row r="6" ht="15.75" customHeight="1">
      <c r="A6" s="100" t="s">
        <v>66</v>
      </c>
      <c r="B6" s="102"/>
      <c r="C6" s="102" t="s">
        <v>69</v>
      </c>
      <c r="D6" s="104">
        <v>727038.08</v>
      </c>
      <c r="E6" s="93"/>
      <c r="G6" s="95"/>
      <c r="H6" s="95"/>
      <c r="I6" s="95"/>
      <c r="J6" s="97"/>
      <c r="L6" s="98"/>
      <c r="M6" s="58"/>
    </row>
    <row r="7" ht="15.75" customHeight="1">
      <c r="A7" s="105"/>
      <c r="B7" s="102"/>
      <c r="C7" s="102" t="s">
        <v>70</v>
      </c>
      <c r="D7" s="104">
        <v>388514.84</v>
      </c>
      <c r="E7" s="93"/>
      <c r="G7" s="95"/>
      <c r="H7" s="95"/>
      <c r="I7" s="95"/>
      <c r="J7" s="97"/>
      <c r="L7" s="98"/>
      <c r="M7" s="58"/>
    </row>
    <row r="8" ht="15.75" customHeight="1">
      <c r="A8" s="100" t="s">
        <v>73</v>
      </c>
      <c r="B8" s="102"/>
      <c r="C8" s="102" t="s">
        <v>74</v>
      </c>
      <c r="D8" s="104">
        <v>191034.13</v>
      </c>
      <c r="E8" s="93"/>
      <c r="G8" s="95"/>
      <c r="H8" s="95"/>
      <c r="I8" s="95"/>
      <c r="J8" s="97"/>
      <c r="L8" s="98"/>
      <c r="M8" s="58"/>
    </row>
    <row r="9" ht="15.75" customHeight="1">
      <c r="A9" s="100" t="s">
        <v>76</v>
      </c>
      <c r="B9" s="102"/>
      <c r="C9" s="102" t="s">
        <v>77</v>
      </c>
      <c r="D9" s="104">
        <v>35150.28</v>
      </c>
      <c r="E9" s="93"/>
      <c r="G9" s="95"/>
      <c r="H9" s="95"/>
      <c r="I9" s="95"/>
      <c r="J9" s="97"/>
      <c r="L9" s="98"/>
      <c r="M9" s="58"/>
    </row>
    <row r="10" ht="15.75" customHeight="1">
      <c r="A10" s="100" t="s">
        <v>78</v>
      </c>
      <c r="B10" s="102"/>
      <c r="C10" s="102" t="s">
        <v>79</v>
      </c>
      <c r="D10" s="104">
        <v>0.0</v>
      </c>
      <c r="E10" s="93"/>
      <c r="G10" s="95"/>
      <c r="H10" s="95"/>
      <c r="I10" s="95"/>
      <c r="J10" s="97"/>
      <c r="L10" s="98"/>
      <c r="M10" s="58"/>
    </row>
    <row r="11" ht="15.75" customHeight="1">
      <c r="A11" s="108" t="s">
        <v>80</v>
      </c>
      <c r="B11" s="109"/>
      <c r="C11" s="109" t="s">
        <v>81</v>
      </c>
      <c r="D11" s="110">
        <v>91696.38</v>
      </c>
      <c r="E11" s="93"/>
      <c r="G11" s="95"/>
      <c r="H11" s="95"/>
      <c r="I11" s="95"/>
      <c r="J11" s="97"/>
      <c r="L11" s="98"/>
      <c r="M11" s="58"/>
    </row>
    <row r="12" ht="15.75" customHeight="1">
      <c r="A12" s="111"/>
      <c r="B12" s="112"/>
      <c r="C12" s="112" t="s">
        <v>83</v>
      </c>
      <c r="D12" s="113">
        <v>1774525.0</v>
      </c>
      <c r="E12" s="93" t="s">
        <v>85</v>
      </c>
      <c r="F12" s="14">
        <f>SUM(D4:D12)</f>
        <v>3452468.01</v>
      </c>
      <c r="G12" s="95"/>
      <c r="H12" s="95"/>
      <c r="I12" s="95"/>
      <c r="J12" s="97"/>
      <c r="L12" s="98"/>
      <c r="M12" s="58"/>
    </row>
    <row r="13" ht="15.75" customHeight="1">
      <c r="A13" s="111"/>
      <c r="B13" s="102"/>
      <c r="C13" s="102"/>
      <c r="E13" s="93"/>
      <c r="G13" s="95"/>
      <c r="H13" s="95"/>
      <c r="I13" s="95"/>
      <c r="J13" s="97"/>
      <c r="L13" s="98"/>
      <c r="M13" s="58"/>
    </row>
    <row r="14" ht="15.75" customHeight="1">
      <c r="A14" s="111"/>
      <c r="B14" s="102"/>
      <c r="C14" s="102"/>
      <c r="D14" s="104"/>
      <c r="E14" s="93"/>
      <c r="G14" s="95"/>
      <c r="H14" s="95"/>
      <c r="I14" s="95"/>
      <c r="J14" s="97"/>
      <c r="L14" s="98"/>
      <c r="M14" s="58"/>
    </row>
    <row r="15" ht="15.75" customHeight="1">
      <c r="A15" s="114" t="s">
        <v>90</v>
      </c>
      <c r="B15" s="115">
        <v>1610.0</v>
      </c>
      <c r="C15" s="115" t="s">
        <v>91</v>
      </c>
      <c r="D15" s="116">
        <v>120000.0</v>
      </c>
      <c r="E15" s="93"/>
      <c r="G15" s="95"/>
      <c r="H15" s="95"/>
      <c r="I15" s="95"/>
      <c r="J15" s="97">
        <f>D15</f>
        <v>120000</v>
      </c>
      <c r="L15" s="98" t="s">
        <v>93</v>
      </c>
      <c r="M15" s="58">
        <v>120000.0</v>
      </c>
    </row>
    <row r="16" ht="15.75" customHeight="1">
      <c r="A16" s="114" t="s">
        <v>90</v>
      </c>
      <c r="B16" s="115">
        <v>3300.0</v>
      </c>
      <c r="C16" s="115" t="s">
        <v>94</v>
      </c>
      <c r="D16" s="116">
        <v>650000.0</v>
      </c>
      <c r="E16" s="95"/>
      <c r="F16" s="95"/>
      <c r="G16" s="95"/>
      <c r="H16" s="95"/>
      <c r="I16" s="95"/>
      <c r="J16" s="119">
        <v>650000.0</v>
      </c>
      <c r="M16" s="58">
        <v>650000.0</v>
      </c>
    </row>
    <row r="17" ht="15.75" customHeight="1">
      <c r="A17" s="114" t="s">
        <v>95</v>
      </c>
      <c r="B17" s="121">
        <v>1710.0</v>
      </c>
      <c r="C17" s="121" t="s">
        <v>96</v>
      </c>
      <c r="D17" s="124">
        <v>200000.0</v>
      </c>
      <c r="E17" s="95"/>
      <c r="F17" s="125"/>
      <c r="G17" s="63"/>
      <c r="H17" s="63"/>
      <c r="I17" s="63"/>
      <c r="J17" s="128">
        <f t="shared" ref="J17:J27" si="1">D17</f>
        <v>200000</v>
      </c>
      <c r="L17" s="98" t="s">
        <v>93</v>
      </c>
      <c r="M17" s="124">
        <v>200000.0</v>
      </c>
    </row>
    <row r="18" ht="15.75" customHeight="1">
      <c r="A18" s="114" t="s">
        <v>101</v>
      </c>
      <c r="B18" s="121"/>
      <c r="C18" s="121" t="s">
        <v>102</v>
      </c>
      <c r="D18" s="124">
        <v>90000.0</v>
      </c>
      <c r="E18" s="95"/>
      <c r="F18" s="125"/>
      <c r="G18" s="63"/>
      <c r="H18" s="63"/>
      <c r="I18" s="63"/>
      <c r="J18" s="128">
        <f t="shared" si="1"/>
        <v>90000</v>
      </c>
      <c r="K18" s="132" t="s">
        <v>104</v>
      </c>
      <c r="L18" s="98" t="s">
        <v>93</v>
      </c>
      <c r="M18" s="124">
        <v>90000.0</v>
      </c>
    </row>
    <row r="19" ht="15.75" customHeight="1">
      <c r="A19" s="114" t="s">
        <v>95</v>
      </c>
      <c r="B19" s="121">
        <v>1530.0</v>
      </c>
      <c r="C19" s="121" t="s">
        <v>82</v>
      </c>
      <c r="D19" s="124">
        <v>60000.0</v>
      </c>
      <c r="E19" s="95"/>
      <c r="F19" s="125"/>
      <c r="G19" s="63"/>
      <c r="H19" s="63"/>
      <c r="I19" s="63"/>
      <c r="J19" s="128">
        <f t="shared" si="1"/>
        <v>60000</v>
      </c>
      <c r="L19" s="98" t="s">
        <v>93</v>
      </c>
      <c r="M19" s="124">
        <v>60000.0</v>
      </c>
    </row>
    <row r="20" ht="15.75" customHeight="1">
      <c r="A20" s="114" t="s">
        <v>95</v>
      </c>
      <c r="B20" s="121" t="s">
        <v>105</v>
      </c>
      <c r="C20" s="121" t="s">
        <v>84</v>
      </c>
      <c r="D20" s="124">
        <v>40000.0</v>
      </c>
      <c r="E20" s="95"/>
      <c r="F20" s="125"/>
      <c r="G20" s="63"/>
      <c r="H20" s="63"/>
      <c r="I20" s="63"/>
      <c r="J20" s="128">
        <f t="shared" si="1"/>
        <v>40000</v>
      </c>
      <c r="L20" s="98" t="s">
        <v>93</v>
      </c>
      <c r="M20" s="124">
        <v>40000.0</v>
      </c>
    </row>
    <row r="21" ht="15.75" customHeight="1">
      <c r="A21" s="114" t="s">
        <v>95</v>
      </c>
      <c r="B21" s="121" t="s">
        <v>106</v>
      </c>
      <c r="C21" s="121" t="s">
        <v>107</v>
      </c>
      <c r="D21" s="124">
        <v>10000.0</v>
      </c>
      <c r="E21" s="95"/>
      <c r="F21" s="125"/>
      <c r="G21" s="63"/>
      <c r="H21" s="63"/>
      <c r="I21" s="63"/>
      <c r="J21" s="128">
        <f t="shared" si="1"/>
        <v>10000</v>
      </c>
      <c r="L21" s="98" t="s">
        <v>93</v>
      </c>
      <c r="M21" s="124">
        <v>10000.0</v>
      </c>
    </row>
    <row r="22" ht="15.75" customHeight="1">
      <c r="A22" s="114" t="s">
        <v>95</v>
      </c>
      <c r="B22" s="121" t="s">
        <v>105</v>
      </c>
      <c r="C22" s="121" t="s">
        <v>109</v>
      </c>
      <c r="D22" s="124">
        <v>25000.0</v>
      </c>
      <c r="E22" s="95"/>
      <c r="F22" s="125"/>
      <c r="G22" s="63"/>
      <c r="H22" s="63"/>
      <c r="I22" s="63"/>
      <c r="J22" s="128">
        <f t="shared" si="1"/>
        <v>25000</v>
      </c>
      <c r="L22" s="98" t="s">
        <v>93</v>
      </c>
      <c r="M22" s="124">
        <v>25000.0</v>
      </c>
    </row>
    <row r="23" ht="15.75" customHeight="1">
      <c r="A23" s="114" t="s">
        <v>95</v>
      </c>
      <c r="B23" s="121">
        <v>1710.0</v>
      </c>
      <c r="C23" s="121" t="s">
        <v>112</v>
      </c>
      <c r="D23" s="124">
        <v>35000.0</v>
      </c>
      <c r="E23" s="95"/>
      <c r="F23" s="125"/>
      <c r="G23" s="63"/>
      <c r="H23" s="63"/>
      <c r="I23" s="63"/>
      <c r="J23" s="128">
        <f t="shared" si="1"/>
        <v>35000</v>
      </c>
      <c r="L23" s="98" t="s">
        <v>93</v>
      </c>
      <c r="M23" s="124">
        <v>35000.0</v>
      </c>
    </row>
    <row r="24" ht="15.75" customHeight="1">
      <c r="A24" s="114" t="s">
        <v>95</v>
      </c>
      <c r="B24" s="121">
        <v>1530.0</v>
      </c>
      <c r="C24" s="121" t="s">
        <v>86</v>
      </c>
      <c r="D24" s="124">
        <v>15000.0</v>
      </c>
      <c r="E24" s="95"/>
      <c r="F24" s="125"/>
      <c r="G24" s="63"/>
      <c r="H24" s="63"/>
      <c r="I24" s="63"/>
      <c r="J24" s="128">
        <f t="shared" si="1"/>
        <v>15000</v>
      </c>
      <c r="L24" s="98" t="s">
        <v>93</v>
      </c>
      <c r="M24" s="124">
        <v>15000.0</v>
      </c>
    </row>
    <row r="25" ht="15.75" customHeight="1">
      <c r="A25" s="114" t="s">
        <v>95</v>
      </c>
      <c r="B25" s="121">
        <v>1710.0</v>
      </c>
      <c r="C25" s="121" t="s">
        <v>114</v>
      </c>
      <c r="D25" s="124">
        <v>60000.0</v>
      </c>
      <c r="E25" s="95"/>
      <c r="F25" s="125"/>
      <c r="G25" s="63"/>
      <c r="H25" s="63"/>
      <c r="I25" s="63"/>
      <c r="J25" s="128">
        <f t="shared" si="1"/>
        <v>60000</v>
      </c>
      <c r="L25" s="98" t="s">
        <v>93</v>
      </c>
      <c r="M25" s="124">
        <v>60000.0</v>
      </c>
    </row>
    <row r="26" ht="15.75" customHeight="1">
      <c r="A26" s="114" t="s">
        <v>95</v>
      </c>
      <c r="B26" s="121">
        <v>1530.0</v>
      </c>
      <c r="C26" s="121" t="s">
        <v>116</v>
      </c>
      <c r="D26" s="124">
        <v>70000.0</v>
      </c>
      <c r="E26" s="95"/>
      <c r="F26" s="125"/>
      <c r="G26" s="63"/>
      <c r="H26" s="63"/>
      <c r="I26" s="63"/>
      <c r="J26" s="128">
        <f t="shared" si="1"/>
        <v>70000</v>
      </c>
      <c r="L26" s="98" t="s">
        <v>93</v>
      </c>
      <c r="M26" s="124">
        <v>70000.0</v>
      </c>
      <c r="N26" s="11" t="s">
        <v>117</v>
      </c>
    </row>
    <row r="27" ht="15.75" customHeight="1">
      <c r="A27" s="114" t="s">
        <v>118</v>
      </c>
      <c r="B27" s="121">
        <v>1640.0</v>
      </c>
      <c r="C27" s="121" t="s">
        <v>119</v>
      </c>
      <c r="D27" s="124">
        <v>100000.0</v>
      </c>
      <c r="E27" s="95"/>
      <c r="F27" s="125"/>
      <c r="G27" s="63"/>
      <c r="H27" s="63"/>
      <c r="I27" s="63"/>
      <c r="J27" s="128">
        <f t="shared" si="1"/>
        <v>100000</v>
      </c>
      <c r="L27" s="98" t="s">
        <v>93</v>
      </c>
      <c r="M27" s="124">
        <v>100000.0</v>
      </c>
    </row>
    <row r="28" ht="15.75" customHeight="1">
      <c r="A28" s="114" t="s">
        <v>120</v>
      </c>
      <c r="B28" s="115">
        <v>1610.0</v>
      </c>
      <c r="C28" s="121" t="s">
        <v>122</v>
      </c>
      <c r="D28" s="142">
        <v>1200.0</v>
      </c>
      <c r="E28" s="93"/>
      <c r="F28" s="125"/>
      <c r="G28" s="63"/>
      <c r="H28" s="63"/>
      <c r="I28" s="63"/>
      <c r="J28" s="63"/>
      <c r="L28" s="98" t="s">
        <v>93</v>
      </c>
      <c r="M28" s="14">
        <f t="shared" ref="M28:M42" si="2">D28</f>
        <v>1200</v>
      </c>
    </row>
    <row r="29" ht="15.75" customHeight="1">
      <c r="A29" s="114" t="s">
        <v>120</v>
      </c>
      <c r="B29" s="115">
        <v>1610.0</v>
      </c>
      <c r="C29" s="121" t="s">
        <v>124</v>
      </c>
      <c r="D29" s="142">
        <v>12000.0</v>
      </c>
      <c r="E29" s="93"/>
      <c r="F29" s="125"/>
      <c r="G29" s="63"/>
      <c r="H29" s="63"/>
      <c r="I29" s="63"/>
      <c r="J29" s="63"/>
      <c r="L29" s="98" t="s">
        <v>93</v>
      </c>
      <c r="M29" s="14">
        <f t="shared" si="2"/>
        <v>12000</v>
      </c>
    </row>
    <row r="30" ht="15.75" customHeight="1">
      <c r="A30" s="114" t="s">
        <v>120</v>
      </c>
      <c r="B30" s="115">
        <v>1610.0</v>
      </c>
      <c r="C30" s="121" t="s">
        <v>125</v>
      </c>
      <c r="D30" s="142">
        <v>25000.0</v>
      </c>
      <c r="E30" s="93"/>
      <c r="F30" s="125"/>
      <c r="G30" s="63"/>
      <c r="H30" s="63"/>
      <c r="I30" s="63"/>
      <c r="J30" s="63"/>
      <c r="L30" s="98" t="s">
        <v>93</v>
      </c>
      <c r="M30" s="14">
        <f t="shared" si="2"/>
        <v>25000</v>
      </c>
    </row>
    <row r="31" ht="15.75" customHeight="1">
      <c r="A31" s="114" t="s">
        <v>120</v>
      </c>
      <c r="B31" s="115">
        <v>1610.0</v>
      </c>
      <c r="C31" s="121" t="s">
        <v>126</v>
      </c>
      <c r="D31" s="142">
        <v>6000.0</v>
      </c>
      <c r="E31" s="93"/>
      <c r="F31" s="125"/>
      <c r="G31" s="63"/>
      <c r="H31" s="63"/>
      <c r="I31" s="63"/>
      <c r="J31" s="63"/>
      <c r="L31" s="98" t="s">
        <v>93</v>
      </c>
      <c r="M31" s="14">
        <f t="shared" si="2"/>
        <v>6000</v>
      </c>
    </row>
    <row r="32" ht="15.75" customHeight="1">
      <c r="A32" s="114" t="s">
        <v>120</v>
      </c>
      <c r="B32" s="115">
        <v>1610.0</v>
      </c>
      <c r="C32" s="121" t="s">
        <v>130</v>
      </c>
      <c r="D32" s="142">
        <v>3000.0</v>
      </c>
      <c r="E32" s="95"/>
      <c r="F32" s="125"/>
      <c r="G32" s="63"/>
      <c r="H32" s="63"/>
      <c r="I32" s="63"/>
      <c r="J32" s="63"/>
      <c r="L32" s="98" t="s">
        <v>93</v>
      </c>
      <c r="M32" s="14">
        <f t="shared" si="2"/>
        <v>3000</v>
      </c>
    </row>
    <row r="33" ht="15.75" customHeight="1">
      <c r="A33" s="114" t="s">
        <v>120</v>
      </c>
      <c r="B33" s="115">
        <v>1610.0</v>
      </c>
      <c r="C33" s="121" t="s">
        <v>103</v>
      </c>
      <c r="D33" s="142">
        <v>40000.0</v>
      </c>
      <c r="E33" s="93"/>
      <c r="F33" s="125"/>
      <c r="G33" s="63"/>
      <c r="H33" s="63"/>
      <c r="I33" s="63"/>
      <c r="J33" s="63"/>
      <c r="L33" s="98" t="s">
        <v>93</v>
      </c>
      <c r="M33" s="14">
        <f t="shared" si="2"/>
        <v>40000</v>
      </c>
    </row>
    <row r="34" ht="15.75" customHeight="1">
      <c r="A34" s="114" t="s">
        <v>120</v>
      </c>
      <c r="B34" s="115">
        <v>1610.0</v>
      </c>
      <c r="C34" s="121" t="s">
        <v>131</v>
      </c>
      <c r="D34" s="142">
        <v>40000.0</v>
      </c>
      <c r="E34" s="93"/>
      <c r="F34" s="125"/>
      <c r="G34" s="63"/>
      <c r="H34" s="63"/>
      <c r="I34" s="63"/>
      <c r="J34" s="63"/>
      <c r="L34" s="98" t="s">
        <v>93</v>
      </c>
      <c r="M34" s="14">
        <f t="shared" si="2"/>
        <v>40000</v>
      </c>
    </row>
    <row r="35" ht="15.75" customHeight="1">
      <c r="A35" s="114" t="s">
        <v>120</v>
      </c>
      <c r="B35" s="115">
        <v>1610.0</v>
      </c>
      <c r="C35" s="121" t="s">
        <v>132</v>
      </c>
      <c r="D35" s="142">
        <v>40000.0</v>
      </c>
      <c r="E35" s="93"/>
      <c r="F35" s="125"/>
      <c r="G35" s="63"/>
      <c r="H35" s="63"/>
      <c r="I35" s="63"/>
      <c r="J35" s="63"/>
      <c r="L35" s="98" t="s">
        <v>93</v>
      </c>
      <c r="M35" s="14">
        <f t="shared" si="2"/>
        <v>40000</v>
      </c>
    </row>
    <row r="36" ht="15.75" customHeight="1">
      <c r="A36" s="114" t="s">
        <v>120</v>
      </c>
      <c r="B36" s="115">
        <v>1610.0</v>
      </c>
      <c r="C36" s="121" t="s">
        <v>113</v>
      </c>
      <c r="D36" s="142">
        <v>5000.0</v>
      </c>
      <c r="E36" s="95"/>
      <c r="F36" s="125"/>
      <c r="G36" s="63"/>
      <c r="H36" s="63"/>
      <c r="I36" s="63"/>
      <c r="J36" s="63"/>
      <c r="L36" s="98" t="s">
        <v>93</v>
      </c>
      <c r="M36" s="14">
        <f t="shared" si="2"/>
        <v>5000</v>
      </c>
    </row>
    <row r="37" ht="15.75" customHeight="1">
      <c r="A37" s="114" t="s">
        <v>120</v>
      </c>
      <c r="B37" s="149">
        <v>1610.0</v>
      </c>
      <c r="C37" s="150" t="s">
        <v>134</v>
      </c>
      <c r="D37" s="151">
        <v>30000.0</v>
      </c>
      <c r="E37" s="95"/>
      <c r="F37" s="125"/>
      <c r="G37" s="63"/>
      <c r="H37" s="63"/>
      <c r="I37" s="63"/>
      <c r="J37" s="63"/>
      <c r="L37" s="98" t="s">
        <v>93</v>
      </c>
      <c r="M37" s="14">
        <f t="shared" si="2"/>
        <v>30000</v>
      </c>
    </row>
    <row r="38" ht="15.75" customHeight="1">
      <c r="A38" s="114" t="s">
        <v>120</v>
      </c>
      <c r="B38" s="115">
        <v>1610.0</v>
      </c>
      <c r="C38" s="150" t="s">
        <v>135</v>
      </c>
      <c r="D38" s="151">
        <v>4000.0</v>
      </c>
      <c r="E38" s="95"/>
      <c r="F38" s="125"/>
      <c r="G38" s="63"/>
      <c r="H38" s="63"/>
      <c r="I38" s="63"/>
      <c r="J38" s="63"/>
      <c r="L38" s="98" t="s">
        <v>93</v>
      </c>
      <c r="M38" s="14">
        <f t="shared" si="2"/>
        <v>4000</v>
      </c>
    </row>
    <row r="39" ht="15.75" customHeight="1">
      <c r="A39" s="114" t="s">
        <v>120</v>
      </c>
      <c r="B39" s="115">
        <v>1610.0</v>
      </c>
      <c r="C39" s="150" t="s">
        <v>137</v>
      </c>
      <c r="D39" s="151">
        <v>5000.0</v>
      </c>
      <c r="E39" s="93" t="s">
        <v>138</v>
      </c>
      <c r="F39" s="125"/>
      <c r="G39" s="63"/>
      <c r="H39" s="63"/>
      <c r="I39" s="63"/>
      <c r="J39" s="63"/>
      <c r="L39" s="98" t="s">
        <v>93</v>
      </c>
      <c r="M39" s="14">
        <f t="shared" si="2"/>
        <v>5000</v>
      </c>
    </row>
    <row r="40" ht="15.75" customHeight="1">
      <c r="A40" s="114" t="s">
        <v>120</v>
      </c>
      <c r="B40" s="115">
        <v>1610.0</v>
      </c>
      <c r="C40" s="150" t="s">
        <v>139</v>
      </c>
      <c r="D40" s="151">
        <v>5790.0</v>
      </c>
      <c r="E40" s="95"/>
      <c r="F40" s="125"/>
      <c r="G40" s="63"/>
      <c r="H40" s="63"/>
      <c r="I40" s="63"/>
      <c r="J40" s="63"/>
      <c r="L40" s="98" t="s">
        <v>93</v>
      </c>
      <c r="M40" s="14">
        <f t="shared" si="2"/>
        <v>5790</v>
      </c>
    </row>
    <row r="41" ht="15.75" customHeight="1">
      <c r="A41" s="114" t="s">
        <v>120</v>
      </c>
      <c r="B41" s="121">
        <v>3262.0</v>
      </c>
      <c r="C41" s="121" t="s">
        <v>140</v>
      </c>
      <c r="D41" s="142">
        <v>5000.0</v>
      </c>
      <c r="E41" s="95"/>
      <c r="F41" s="125"/>
      <c r="G41" s="63"/>
      <c r="H41" s="63"/>
      <c r="I41" s="63"/>
      <c r="J41" s="63"/>
      <c r="L41" s="98" t="s">
        <v>93</v>
      </c>
      <c r="M41" s="14">
        <f t="shared" si="2"/>
        <v>5000</v>
      </c>
    </row>
    <row r="42" ht="15.75" customHeight="1">
      <c r="A42" s="114" t="s">
        <v>141</v>
      </c>
      <c r="B42" s="121">
        <v>3261.0</v>
      </c>
      <c r="C42" s="121" t="s">
        <v>142</v>
      </c>
      <c r="D42" s="142">
        <v>6000.0</v>
      </c>
      <c r="E42" s="95"/>
      <c r="F42" s="125"/>
      <c r="G42" s="63"/>
      <c r="H42" s="63"/>
      <c r="I42" s="63"/>
      <c r="J42" s="63"/>
      <c r="L42" s="98" t="s">
        <v>93</v>
      </c>
      <c r="M42" s="14">
        <f t="shared" si="2"/>
        <v>6000</v>
      </c>
    </row>
    <row r="43" ht="15.75" customHeight="1">
      <c r="A43" s="114" t="s">
        <v>143</v>
      </c>
      <c r="B43" s="121">
        <v>3262.0</v>
      </c>
      <c r="C43" s="115" t="s">
        <v>144</v>
      </c>
      <c r="D43" s="116">
        <v>500000.0</v>
      </c>
      <c r="E43" s="93"/>
      <c r="G43" s="95"/>
      <c r="H43" s="95"/>
      <c r="I43" s="95"/>
      <c r="J43" s="119">
        <v>500000.0</v>
      </c>
      <c r="K43" s="11"/>
      <c r="L43" s="98" t="s">
        <v>145</v>
      </c>
      <c r="M43" s="116">
        <v>500000.0</v>
      </c>
    </row>
    <row r="44" ht="15.75" customHeight="1">
      <c r="A44" s="114" t="s">
        <v>147</v>
      </c>
      <c r="B44" s="115"/>
      <c r="C44" s="115" t="s">
        <v>148</v>
      </c>
      <c r="D44" s="116">
        <v>150000.0</v>
      </c>
      <c r="E44" s="93"/>
      <c r="G44" s="95"/>
      <c r="H44" s="95"/>
      <c r="I44" s="95"/>
      <c r="J44" s="97">
        <f t="shared" ref="J44:J45" si="3">D44</f>
        <v>150000</v>
      </c>
      <c r="K44" s="154" t="s">
        <v>151</v>
      </c>
      <c r="L44" s="98" t="s">
        <v>93</v>
      </c>
      <c r="M44" s="116">
        <v>100000.0</v>
      </c>
    </row>
    <row r="45" ht="15.75" customHeight="1">
      <c r="A45" s="114" t="s">
        <v>155</v>
      </c>
      <c r="B45" s="115" t="s">
        <v>156</v>
      </c>
      <c r="C45" s="115" t="s">
        <v>157</v>
      </c>
      <c r="D45" s="116">
        <v>150000.0</v>
      </c>
      <c r="E45" s="93"/>
      <c r="G45" s="95"/>
      <c r="H45" s="95"/>
      <c r="I45" s="95"/>
      <c r="J45" s="97">
        <f t="shared" si="3"/>
        <v>150000</v>
      </c>
      <c r="L45" s="98" t="s">
        <v>93</v>
      </c>
      <c r="M45" s="116">
        <v>100000.0</v>
      </c>
    </row>
    <row r="46" ht="15.75" customHeight="1">
      <c r="A46" s="114" t="s">
        <v>160</v>
      </c>
      <c r="B46" s="115" t="s">
        <v>161</v>
      </c>
      <c r="C46" s="115" t="s">
        <v>27</v>
      </c>
      <c r="D46" s="116">
        <v>100000.0</v>
      </c>
      <c r="E46" s="93"/>
      <c r="G46" s="95"/>
      <c r="H46" s="95"/>
      <c r="I46" s="95"/>
      <c r="J46" s="97"/>
      <c r="L46" s="98"/>
      <c r="M46" s="116"/>
    </row>
    <row r="47" ht="15.75" customHeight="1">
      <c r="A47" s="114" t="s">
        <v>160</v>
      </c>
      <c r="B47" s="115">
        <v>1710.0</v>
      </c>
      <c r="C47" s="115" t="s">
        <v>162</v>
      </c>
      <c r="D47" s="116">
        <v>300000.0</v>
      </c>
      <c r="E47" s="93"/>
      <c r="G47" s="95"/>
      <c r="H47" s="95"/>
      <c r="I47" s="95"/>
      <c r="J47" s="97">
        <f t="shared" ref="J47:J54" si="4">D47</f>
        <v>300000</v>
      </c>
      <c r="L47" s="98" t="s">
        <v>93</v>
      </c>
      <c r="M47" s="116">
        <v>400000.0</v>
      </c>
    </row>
    <row r="48" ht="15.75" customHeight="1">
      <c r="A48" s="114" t="s">
        <v>164</v>
      </c>
      <c r="B48" s="115">
        <v>1710.0</v>
      </c>
      <c r="C48" s="115" t="s">
        <v>165</v>
      </c>
      <c r="D48" s="116">
        <v>150000.0</v>
      </c>
      <c r="E48" s="95"/>
      <c r="F48" s="95"/>
      <c r="G48" s="95"/>
      <c r="H48" s="95"/>
      <c r="I48" s="95"/>
      <c r="J48" s="97">
        <f t="shared" si="4"/>
        <v>150000</v>
      </c>
      <c r="L48" s="98" t="s">
        <v>93</v>
      </c>
      <c r="M48" s="116">
        <v>150000.0</v>
      </c>
    </row>
    <row r="49" ht="15.75" customHeight="1">
      <c r="A49" s="114" t="s">
        <v>143</v>
      </c>
      <c r="B49" s="115">
        <v>1710.0</v>
      </c>
      <c r="C49" s="115" t="s">
        <v>167</v>
      </c>
      <c r="D49" s="116">
        <v>40000.0</v>
      </c>
      <c r="E49" s="95"/>
      <c r="F49" s="95"/>
      <c r="G49" s="95"/>
      <c r="H49" s="95"/>
      <c r="I49" s="95"/>
      <c r="J49" s="97">
        <f t="shared" si="4"/>
        <v>40000</v>
      </c>
      <c r="L49" s="98" t="s">
        <v>93</v>
      </c>
      <c r="M49" s="116">
        <v>40000.0</v>
      </c>
    </row>
    <row r="50" ht="15.75" customHeight="1">
      <c r="A50" s="114" t="s">
        <v>143</v>
      </c>
      <c r="C50" s="115" t="s">
        <v>168</v>
      </c>
      <c r="D50" s="116">
        <v>50000.0</v>
      </c>
      <c r="E50" s="95"/>
      <c r="F50" s="95"/>
      <c r="G50" s="95"/>
      <c r="H50" s="95"/>
      <c r="I50" s="95"/>
      <c r="J50" s="97">
        <f t="shared" si="4"/>
        <v>50000</v>
      </c>
      <c r="L50" s="98" t="s">
        <v>93</v>
      </c>
      <c r="M50" s="116">
        <v>50000.0</v>
      </c>
    </row>
    <row r="51" ht="15.75" customHeight="1">
      <c r="A51" s="114" t="s">
        <v>143</v>
      </c>
      <c r="B51" s="115"/>
      <c r="C51" s="115" t="s">
        <v>169</v>
      </c>
      <c r="D51" s="116">
        <v>80000.0</v>
      </c>
      <c r="E51" s="95"/>
      <c r="F51" s="95"/>
      <c r="G51" s="95"/>
      <c r="H51" s="95"/>
      <c r="I51" s="95"/>
      <c r="J51" s="97">
        <f t="shared" si="4"/>
        <v>80000</v>
      </c>
      <c r="L51" s="98" t="s">
        <v>93</v>
      </c>
      <c r="M51" s="116">
        <v>80000.0</v>
      </c>
    </row>
    <row r="52" ht="15.75" customHeight="1">
      <c r="A52" s="114" t="s">
        <v>171</v>
      </c>
      <c r="B52" s="115"/>
      <c r="C52" s="115" t="s">
        <v>173</v>
      </c>
      <c r="D52" s="116">
        <v>8500.0</v>
      </c>
      <c r="E52" s="95"/>
      <c r="F52" s="95"/>
      <c r="G52" s="95"/>
      <c r="H52" s="95"/>
      <c r="I52" s="95"/>
      <c r="J52" s="97">
        <f t="shared" si="4"/>
        <v>8500</v>
      </c>
      <c r="L52" s="98" t="s">
        <v>93</v>
      </c>
      <c r="M52" s="116">
        <v>8500.0</v>
      </c>
    </row>
    <row r="53" ht="15.75" customHeight="1">
      <c r="A53" s="114" t="s">
        <v>171</v>
      </c>
      <c r="B53" s="115"/>
      <c r="C53" s="115" t="s">
        <v>174</v>
      </c>
      <c r="D53" s="116">
        <v>14000.0</v>
      </c>
      <c r="E53" s="95"/>
      <c r="F53" s="95"/>
      <c r="G53" s="95"/>
      <c r="H53" s="95"/>
      <c r="I53" s="95"/>
      <c r="J53" s="97">
        <f t="shared" si="4"/>
        <v>14000</v>
      </c>
      <c r="L53" s="98" t="s">
        <v>93</v>
      </c>
      <c r="M53" s="116">
        <v>14000.0</v>
      </c>
    </row>
    <row r="54" ht="15.75" customHeight="1">
      <c r="A54" s="114" t="s">
        <v>171</v>
      </c>
      <c r="B54" s="115"/>
      <c r="C54" s="115" t="s">
        <v>175</v>
      </c>
      <c r="D54" s="116">
        <v>1200.0</v>
      </c>
      <c r="E54" s="95"/>
      <c r="F54" s="95"/>
      <c r="G54" s="95"/>
      <c r="H54" s="95"/>
      <c r="I54" s="95"/>
      <c r="J54" s="97">
        <f t="shared" si="4"/>
        <v>1200</v>
      </c>
      <c r="L54" s="98" t="s">
        <v>93</v>
      </c>
      <c r="M54" s="116">
        <v>1200.0</v>
      </c>
    </row>
    <row r="55" ht="15.75" customHeight="1">
      <c r="A55" s="114" t="s">
        <v>143</v>
      </c>
      <c r="B55" s="115"/>
      <c r="C55" s="115" t="s">
        <v>176</v>
      </c>
      <c r="D55" s="116">
        <v>18000.0</v>
      </c>
      <c r="E55" s="95"/>
      <c r="F55" s="95"/>
      <c r="G55" s="95"/>
      <c r="H55" s="95"/>
      <c r="I55" s="95"/>
      <c r="J55" s="97"/>
      <c r="L55" s="98" t="s">
        <v>93</v>
      </c>
      <c r="M55" s="14">
        <f t="shared" ref="M55:M60" si="5">D55</f>
        <v>18000</v>
      </c>
    </row>
    <row r="56" ht="15.75" customHeight="1">
      <c r="A56" s="114" t="s">
        <v>143</v>
      </c>
      <c r="B56" s="121"/>
      <c r="C56" s="121" t="s">
        <v>177</v>
      </c>
      <c r="D56" s="142">
        <v>270000.0</v>
      </c>
      <c r="E56" s="95"/>
      <c r="F56" s="125"/>
      <c r="G56" s="63"/>
      <c r="H56" s="63"/>
      <c r="I56" s="63"/>
      <c r="J56" s="128">
        <f>D56</f>
        <v>270000</v>
      </c>
      <c r="L56" s="98" t="s">
        <v>93</v>
      </c>
      <c r="M56" s="14">
        <f t="shared" si="5"/>
        <v>270000</v>
      </c>
    </row>
    <row r="57" ht="15.75" customHeight="1">
      <c r="A57" s="114" t="s">
        <v>143</v>
      </c>
      <c r="B57" s="115"/>
      <c r="C57" s="115" t="s">
        <v>178</v>
      </c>
      <c r="D57" s="116">
        <v>2000.0</v>
      </c>
      <c r="E57" s="95"/>
      <c r="F57" s="95"/>
      <c r="G57" s="95"/>
      <c r="H57" s="95"/>
      <c r="I57" s="95"/>
      <c r="J57" s="97"/>
      <c r="L57" s="98" t="s">
        <v>93</v>
      </c>
      <c r="M57" s="14">
        <f t="shared" si="5"/>
        <v>2000</v>
      </c>
      <c r="N57" s="11" t="s">
        <v>179</v>
      </c>
    </row>
    <row r="58" ht="15.75" customHeight="1">
      <c r="A58" s="114" t="s">
        <v>143</v>
      </c>
      <c r="B58" s="115"/>
      <c r="C58" s="115" t="s">
        <v>182</v>
      </c>
      <c r="D58" s="116">
        <v>25000.0</v>
      </c>
      <c r="E58" s="95"/>
      <c r="F58" s="95"/>
      <c r="G58" s="95"/>
      <c r="H58" s="95"/>
      <c r="I58" s="95"/>
      <c r="J58" s="97"/>
      <c r="L58" s="98" t="s">
        <v>93</v>
      </c>
      <c r="M58" s="14">
        <f t="shared" si="5"/>
        <v>25000</v>
      </c>
    </row>
    <row r="59" ht="15.75" customHeight="1">
      <c r="A59" s="114" t="s">
        <v>143</v>
      </c>
      <c r="B59" s="155"/>
      <c r="C59" s="155" t="s">
        <v>62</v>
      </c>
      <c r="D59" s="156">
        <v>123000.0</v>
      </c>
      <c r="E59" s="157"/>
      <c r="F59" s="159"/>
      <c r="G59" s="159"/>
      <c r="H59" s="159"/>
      <c r="I59" s="159"/>
      <c r="J59" s="159"/>
      <c r="K59" s="160"/>
      <c r="L59" s="161" t="s">
        <v>93</v>
      </c>
      <c r="M59" s="104">
        <f t="shared" si="5"/>
        <v>123000</v>
      </c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 ht="15.75" customHeight="1">
      <c r="A60" s="114" t="s">
        <v>143</v>
      </c>
      <c r="B60" s="155"/>
      <c r="C60" s="155" t="s">
        <v>188</v>
      </c>
      <c r="D60" s="156">
        <v>100000.0</v>
      </c>
      <c r="E60" s="159"/>
      <c r="F60" s="159"/>
      <c r="G60" s="159"/>
      <c r="H60" s="159"/>
      <c r="I60" s="159"/>
      <c r="J60" s="159"/>
      <c r="K60" s="160"/>
      <c r="L60" s="161" t="s">
        <v>93</v>
      </c>
      <c r="M60" s="104">
        <f t="shared" si="5"/>
        <v>100000</v>
      </c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114" t="s">
        <v>143</v>
      </c>
      <c r="B61" s="164"/>
      <c r="C61" s="164" t="s">
        <v>191</v>
      </c>
      <c r="D61" s="165">
        <v>300000.0</v>
      </c>
      <c r="E61" s="93" t="s">
        <v>192</v>
      </c>
      <c r="F61" s="93" t="s">
        <v>194</v>
      </c>
      <c r="G61" s="95"/>
      <c r="H61" s="95"/>
      <c r="I61" s="95"/>
      <c r="J61" s="119"/>
      <c r="L61" s="98" t="s">
        <v>93</v>
      </c>
      <c r="M61" s="58">
        <v>300000.0</v>
      </c>
    </row>
    <row r="62" ht="15.75" customHeight="1">
      <c r="A62" s="114" t="s">
        <v>143</v>
      </c>
      <c r="B62" s="164"/>
      <c r="C62" s="164" t="s">
        <v>196</v>
      </c>
      <c r="D62" s="165">
        <v>40000.0</v>
      </c>
      <c r="E62" s="93" t="s">
        <v>197</v>
      </c>
      <c r="F62" s="165">
        <v>162168.05</v>
      </c>
      <c r="G62" s="95"/>
      <c r="H62" s="95"/>
      <c r="I62" s="95"/>
      <c r="J62" s="119" t="s">
        <v>198</v>
      </c>
      <c r="M62" s="14"/>
    </row>
    <row r="63" ht="15.75" customHeight="1">
      <c r="A63" s="114" t="s">
        <v>143</v>
      </c>
      <c r="B63" s="164"/>
      <c r="C63" s="164" t="s">
        <v>75</v>
      </c>
      <c r="D63" s="11">
        <v>0.0</v>
      </c>
      <c r="E63" s="93"/>
      <c r="F63" s="116">
        <v>242400.0</v>
      </c>
      <c r="G63" s="95"/>
      <c r="H63" s="95"/>
      <c r="I63" s="95"/>
      <c r="J63" s="97"/>
      <c r="L63" s="11" t="s">
        <v>199</v>
      </c>
      <c r="M63" s="14"/>
    </row>
    <row r="64" ht="15.75" customHeight="1">
      <c r="A64" s="114" t="s">
        <v>143</v>
      </c>
      <c r="B64" s="164"/>
      <c r="C64" s="164" t="s">
        <v>200</v>
      </c>
      <c r="D64" s="11">
        <v>0.0</v>
      </c>
      <c r="E64" s="95"/>
      <c r="F64" s="116">
        <v>34233.74</v>
      </c>
      <c r="G64" s="95"/>
      <c r="H64" s="95"/>
      <c r="I64" s="95"/>
      <c r="J64" s="97"/>
      <c r="M64" s="14"/>
    </row>
    <row r="65" ht="15.75" customHeight="1">
      <c r="A65" s="114" t="s">
        <v>143</v>
      </c>
      <c r="B65" s="115"/>
      <c r="C65" s="115" t="s">
        <v>203</v>
      </c>
      <c r="D65" s="116">
        <v>12000.0</v>
      </c>
      <c r="E65" s="93"/>
      <c r="F65" s="95"/>
      <c r="G65" s="95"/>
      <c r="H65" s="95"/>
      <c r="I65" s="95"/>
      <c r="J65" s="97"/>
      <c r="L65" s="98" t="s">
        <v>93</v>
      </c>
      <c r="M65" s="58">
        <f t="shared" ref="M65:M71" si="6">D65</f>
        <v>12000</v>
      </c>
    </row>
    <row r="66" ht="15.75" customHeight="1">
      <c r="A66" s="114" t="s">
        <v>143</v>
      </c>
      <c r="B66" s="115"/>
      <c r="C66" s="115" t="s">
        <v>206</v>
      </c>
      <c r="D66" s="116">
        <v>1100.0</v>
      </c>
      <c r="E66" s="95"/>
      <c r="F66" s="95"/>
      <c r="G66" s="95"/>
      <c r="H66" s="95"/>
      <c r="I66" s="95"/>
      <c r="J66" s="97"/>
      <c r="L66" s="98" t="s">
        <v>93</v>
      </c>
      <c r="M66" s="58">
        <f t="shared" si="6"/>
        <v>1100</v>
      </c>
    </row>
    <row r="67" ht="15.75" customHeight="1">
      <c r="A67" s="114" t="s">
        <v>143</v>
      </c>
      <c r="B67" s="115"/>
      <c r="C67" s="115" t="s">
        <v>207</v>
      </c>
      <c r="D67" s="116">
        <v>1740.0</v>
      </c>
      <c r="E67" s="95"/>
      <c r="F67" s="95"/>
      <c r="G67" s="95"/>
      <c r="H67" s="95"/>
      <c r="I67" s="95"/>
      <c r="J67" s="97"/>
      <c r="L67" s="98" t="s">
        <v>93</v>
      </c>
      <c r="M67" s="58">
        <f t="shared" si="6"/>
        <v>1740</v>
      </c>
    </row>
    <row r="68" ht="15.75" customHeight="1">
      <c r="A68" s="114" t="s">
        <v>143</v>
      </c>
      <c r="B68" s="115"/>
      <c r="C68" s="115" t="s">
        <v>33</v>
      </c>
      <c r="D68" s="116">
        <v>840.0</v>
      </c>
      <c r="E68" s="95"/>
      <c r="F68" s="95"/>
      <c r="G68" s="95"/>
      <c r="H68" s="95"/>
      <c r="I68" s="95"/>
      <c r="J68" s="97"/>
      <c r="L68" s="98" t="s">
        <v>93</v>
      </c>
      <c r="M68" s="58">
        <f t="shared" si="6"/>
        <v>840</v>
      </c>
    </row>
    <row r="69" ht="15.75" customHeight="1">
      <c r="A69" s="114" t="s">
        <v>143</v>
      </c>
      <c r="B69" s="115"/>
      <c r="C69" s="115" t="s">
        <v>34</v>
      </c>
      <c r="D69" s="116">
        <v>5000.0</v>
      </c>
      <c r="E69" s="95"/>
      <c r="F69" s="95"/>
      <c r="G69" s="95"/>
      <c r="H69" s="95"/>
      <c r="I69" s="95"/>
      <c r="J69" s="97"/>
      <c r="L69" s="98" t="s">
        <v>93</v>
      </c>
      <c r="M69" s="58">
        <f t="shared" si="6"/>
        <v>5000</v>
      </c>
    </row>
    <row r="70" ht="15.75" customHeight="1">
      <c r="A70" s="114" t="s">
        <v>143</v>
      </c>
      <c r="B70" s="115"/>
      <c r="C70" s="115" t="s">
        <v>35</v>
      </c>
      <c r="D70" s="116">
        <v>3500.0</v>
      </c>
      <c r="E70" s="95"/>
      <c r="F70" s="95"/>
      <c r="G70" s="95"/>
      <c r="H70" s="95"/>
      <c r="I70" s="95"/>
      <c r="J70" s="97"/>
      <c r="L70" s="98" t="s">
        <v>93</v>
      </c>
      <c r="M70" s="58">
        <f t="shared" si="6"/>
        <v>3500</v>
      </c>
    </row>
    <row r="71" ht="15.75" customHeight="1">
      <c r="A71" s="114" t="s">
        <v>143</v>
      </c>
      <c r="B71" s="115"/>
      <c r="C71" s="115" t="s">
        <v>210</v>
      </c>
      <c r="D71" s="116">
        <v>25000.0</v>
      </c>
      <c r="E71" s="95"/>
      <c r="F71" s="95"/>
      <c r="G71" s="95"/>
      <c r="H71" s="95"/>
      <c r="I71" s="95"/>
      <c r="J71" s="97"/>
      <c r="L71" s="98" t="s">
        <v>93</v>
      </c>
      <c r="M71" s="58">
        <f t="shared" si="6"/>
        <v>25000</v>
      </c>
    </row>
    <row r="72" ht="15.75" customHeight="1">
      <c r="A72" s="114" t="s">
        <v>171</v>
      </c>
      <c r="B72" s="115"/>
      <c r="C72" s="115" t="s">
        <v>212</v>
      </c>
      <c r="D72" s="116">
        <v>14000.0</v>
      </c>
      <c r="E72" s="93"/>
      <c r="G72" s="95"/>
      <c r="H72" s="95"/>
      <c r="I72" s="95"/>
      <c r="J72" s="97">
        <f t="shared" ref="J72:J86" si="7">D72</f>
        <v>14000</v>
      </c>
      <c r="L72" s="98" t="s">
        <v>93</v>
      </c>
      <c r="M72" s="116">
        <v>14000.0</v>
      </c>
    </row>
    <row r="73" ht="15.75" customHeight="1">
      <c r="A73" s="114" t="s">
        <v>171</v>
      </c>
      <c r="B73" s="115"/>
      <c r="C73" s="115" t="s">
        <v>215</v>
      </c>
      <c r="D73" s="116">
        <v>9000.0</v>
      </c>
      <c r="E73" s="93"/>
      <c r="G73" s="95"/>
      <c r="H73" s="95"/>
      <c r="I73" s="95"/>
      <c r="J73" s="97">
        <f t="shared" si="7"/>
        <v>9000</v>
      </c>
      <c r="L73" s="98" t="s">
        <v>93</v>
      </c>
      <c r="M73" s="116">
        <v>9000.0</v>
      </c>
    </row>
    <row r="74" ht="15.75" customHeight="1">
      <c r="A74" s="114" t="s">
        <v>171</v>
      </c>
      <c r="B74" s="115"/>
      <c r="C74" s="115" t="s">
        <v>216</v>
      </c>
      <c r="D74" s="116">
        <v>15000.0</v>
      </c>
      <c r="E74" s="93"/>
      <c r="G74" s="95"/>
      <c r="H74" s="95"/>
      <c r="I74" s="95"/>
      <c r="J74" s="97">
        <f t="shared" si="7"/>
        <v>15000</v>
      </c>
      <c r="L74" s="98" t="s">
        <v>93</v>
      </c>
      <c r="M74" s="116">
        <v>15000.0</v>
      </c>
    </row>
    <row r="75" ht="15.75" customHeight="1">
      <c r="A75" s="114" t="s">
        <v>171</v>
      </c>
      <c r="B75" s="115"/>
      <c r="C75" s="115" t="s">
        <v>218</v>
      </c>
      <c r="D75" s="116">
        <v>24000.0</v>
      </c>
      <c r="E75" s="95"/>
      <c r="F75" s="95"/>
      <c r="G75" s="95"/>
      <c r="H75" s="95"/>
      <c r="I75" s="95"/>
      <c r="J75" s="97">
        <f t="shared" si="7"/>
        <v>24000</v>
      </c>
      <c r="L75" s="98" t="s">
        <v>93</v>
      </c>
      <c r="M75" s="116">
        <v>24000.0</v>
      </c>
    </row>
    <row r="76" ht="15.75" customHeight="1">
      <c r="A76" s="114" t="s">
        <v>171</v>
      </c>
      <c r="B76" s="115"/>
      <c r="C76" s="115" t="s">
        <v>219</v>
      </c>
      <c r="D76" s="116">
        <v>12000.0</v>
      </c>
      <c r="E76" s="95"/>
      <c r="F76" s="95"/>
      <c r="G76" s="95"/>
      <c r="H76" s="95"/>
      <c r="I76" s="95"/>
      <c r="J76" s="97">
        <f t="shared" si="7"/>
        <v>12000</v>
      </c>
      <c r="L76" s="98" t="s">
        <v>93</v>
      </c>
      <c r="M76" s="116">
        <v>12000.0</v>
      </c>
    </row>
    <row r="77" ht="15.75" customHeight="1">
      <c r="A77" s="114" t="s">
        <v>220</v>
      </c>
      <c r="B77" s="115"/>
      <c r="C77" s="115" t="s">
        <v>221</v>
      </c>
      <c r="D77" s="116">
        <v>700000.0</v>
      </c>
      <c r="E77" s="95"/>
      <c r="F77" s="95"/>
      <c r="G77" s="95"/>
      <c r="H77" s="95"/>
      <c r="I77" s="95"/>
      <c r="J77" s="97">
        <f t="shared" si="7"/>
        <v>700000</v>
      </c>
      <c r="L77" s="98" t="s">
        <v>93</v>
      </c>
      <c r="M77" s="116">
        <v>700000.0</v>
      </c>
    </row>
    <row r="78" ht="15.75" customHeight="1">
      <c r="A78" s="114" t="s">
        <v>171</v>
      </c>
      <c r="B78" s="115"/>
      <c r="C78" s="115" t="s">
        <v>222</v>
      </c>
      <c r="D78" s="116">
        <v>4000.0</v>
      </c>
      <c r="E78" s="95"/>
      <c r="F78" s="95"/>
      <c r="G78" s="95"/>
      <c r="H78" s="95"/>
      <c r="I78" s="95"/>
      <c r="J78" s="97">
        <f t="shared" si="7"/>
        <v>4000</v>
      </c>
      <c r="L78" s="98" t="s">
        <v>93</v>
      </c>
      <c r="M78" s="116">
        <f>J78</f>
        <v>4000</v>
      </c>
    </row>
    <row r="79" ht="15.75" customHeight="1">
      <c r="A79" s="114" t="s">
        <v>171</v>
      </c>
      <c r="B79" s="115"/>
      <c r="C79" s="115" t="s">
        <v>223</v>
      </c>
      <c r="D79" s="116">
        <v>5000.0</v>
      </c>
      <c r="E79" s="95"/>
      <c r="F79" s="95"/>
      <c r="G79" s="95"/>
      <c r="H79" s="95"/>
      <c r="I79" s="95"/>
      <c r="J79" s="97">
        <f t="shared" si="7"/>
        <v>5000</v>
      </c>
      <c r="L79" s="167" t="s">
        <v>226</v>
      </c>
      <c r="M79" s="116"/>
      <c r="N79" s="11" t="s">
        <v>227</v>
      </c>
    </row>
    <row r="80" ht="15.75" customHeight="1">
      <c r="A80" s="114" t="s">
        <v>143</v>
      </c>
      <c r="B80" s="164"/>
      <c r="C80" s="164" t="s">
        <v>228</v>
      </c>
      <c r="D80" s="165">
        <v>600000.0</v>
      </c>
      <c r="E80" s="165">
        <v>1189536.08</v>
      </c>
      <c r="F80" s="168"/>
      <c r="G80" s="168"/>
      <c r="H80" s="168"/>
      <c r="I80" s="168"/>
      <c r="J80" s="169">
        <f t="shared" si="7"/>
        <v>600000</v>
      </c>
      <c r="L80" s="170" t="s">
        <v>199</v>
      </c>
      <c r="M80" s="116">
        <v>600000.0</v>
      </c>
      <c r="N80" s="11" t="s">
        <v>230</v>
      </c>
    </row>
    <row r="81" ht="15.75" customHeight="1">
      <c r="A81" s="114" t="s">
        <v>143</v>
      </c>
      <c r="B81" s="115"/>
      <c r="C81" s="115" t="s">
        <v>231</v>
      </c>
      <c r="D81" s="116">
        <v>65000.0</v>
      </c>
      <c r="E81" s="95"/>
      <c r="F81" s="95"/>
      <c r="G81" s="95"/>
      <c r="H81" s="95"/>
      <c r="I81" s="95"/>
      <c r="J81" s="97">
        <f t="shared" si="7"/>
        <v>65000</v>
      </c>
      <c r="L81" s="98" t="s">
        <v>93</v>
      </c>
      <c r="M81" s="116">
        <v>65000.0</v>
      </c>
    </row>
    <row r="82" ht="15.75" customHeight="1">
      <c r="A82" s="114" t="s">
        <v>143</v>
      </c>
      <c r="B82" s="115"/>
      <c r="C82" s="115" t="s">
        <v>232</v>
      </c>
      <c r="D82" s="116">
        <v>295043.18</v>
      </c>
      <c r="E82" s="95"/>
      <c r="F82" s="95"/>
      <c r="G82" s="95"/>
      <c r="H82" s="95"/>
      <c r="I82" s="95"/>
      <c r="J82" s="97">
        <f t="shared" si="7"/>
        <v>295043.18</v>
      </c>
      <c r="L82" s="98" t="s">
        <v>93</v>
      </c>
      <c r="M82" s="116">
        <v>295043.18</v>
      </c>
    </row>
    <row r="83" ht="15.75" customHeight="1">
      <c r="A83" s="114" t="s">
        <v>143</v>
      </c>
      <c r="B83" s="115"/>
      <c r="C83" s="115" t="s">
        <v>233</v>
      </c>
      <c r="D83" s="116">
        <v>120000.0</v>
      </c>
      <c r="E83" s="95"/>
      <c r="F83" s="95"/>
      <c r="G83" s="95"/>
      <c r="H83" s="95"/>
      <c r="I83" s="95"/>
      <c r="J83" s="97">
        <f t="shared" si="7"/>
        <v>120000</v>
      </c>
      <c r="L83" s="98" t="s">
        <v>93</v>
      </c>
      <c r="M83" s="116">
        <v>120000.0</v>
      </c>
    </row>
    <row r="84" ht="15.75" customHeight="1">
      <c r="A84" s="114" t="s">
        <v>143</v>
      </c>
      <c r="B84" s="115"/>
      <c r="C84" s="115" t="s">
        <v>236</v>
      </c>
      <c r="D84" s="116">
        <v>25000.0</v>
      </c>
      <c r="E84" s="95"/>
      <c r="F84" s="95"/>
      <c r="G84" s="95"/>
      <c r="H84" s="95"/>
      <c r="I84" s="95"/>
      <c r="J84" s="97">
        <f t="shared" si="7"/>
        <v>25000</v>
      </c>
      <c r="L84" s="98" t="s">
        <v>93</v>
      </c>
      <c r="M84" s="116">
        <v>25000.0</v>
      </c>
    </row>
    <row r="85" ht="15.75" customHeight="1">
      <c r="A85" s="114" t="s">
        <v>143</v>
      </c>
      <c r="B85" s="115"/>
      <c r="C85" s="115" t="s">
        <v>237</v>
      </c>
      <c r="D85" s="116">
        <v>42000.0</v>
      </c>
      <c r="E85" s="95"/>
      <c r="F85" s="95"/>
      <c r="G85" s="95"/>
      <c r="H85" s="95"/>
      <c r="I85" s="95"/>
      <c r="J85" s="97">
        <f t="shared" si="7"/>
        <v>42000</v>
      </c>
      <c r="L85" s="98" t="s">
        <v>93</v>
      </c>
      <c r="M85" s="116">
        <v>42000.0</v>
      </c>
    </row>
    <row r="86" ht="15.75" customHeight="1">
      <c r="A86" s="114" t="s">
        <v>143</v>
      </c>
      <c r="B86" s="115"/>
      <c r="C86" s="115" t="s">
        <v>238</v>
      </c>
      <c r="D86" s="116">
        <v>31000.0</v>
      </c>
      <c r="E86" s="95"/>
      <c r="F86" s="95"/>
      <c r="G86" s="95"/>
      <c r="H86" s="95"/>
      <c r="I86" s="95"/>
      <c r="J86" s="97">
        <f t="shared" si="7"/>
        <v>31000</v>
      </c>
      <c r="L86" s="98" t="s">
        <v>93</v>
      </c>
      <c r="M86" s="116">
        <v>31000.0</v>
      </c>
    </row>
    <row r="87" ht="15.75" customHeight="1">
      <c r="A87" s="171"/>
      <c r="B87" s="63"/>
      <c r="C87" s="63"/>
      <c r="D87" s="128"/>
      <c r="F87" s="97"/>
      <c r="G87" s="97"/>
      <c r="H87" s="97"/>
      <c r="I87" s="97"/>
      <c r="J87" s="97"/>
      <c r="M87" s="14"/>
    </row>
    <row r="88" ht="15.75" customHeight="1">
      <c r="A88" s="171"/>
      <c r="B88" s="63"/>
      <c r="C88" s="63"/>
      <c r="D88" s="128"/>
      <c r="F88" s="97"/>
      <c r="G88" s="97"/>
      <c r="H88" s="97"/>
      <c r="I88" s="97"/>
      <c r="J88" s="97"/>
      <c r="M88" s="14"/>
    </row>
  </sheetData>
  <mergeCells count="1">
    <mergeCell ref="C1:I1"/>
  </mergeCells>
  <hyperlinks>
    <hyperlink r:id="rId1" ref="K44"/>
  </hyperlinks>
  <printOptions/>
  <pageMargins bottom="0.75" footer="0.0" header="0.0" left="0.7" right="0.7" top="0.75"/>
  <pageSetup fitToHeight="0" paperSize="9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hidden="1" min="1" max="1" width="11.57"/>
    <col customWidth="1" min="2" max="2" width="63.71"/>
    <col customWidth="1" min="3" max="3" width="13.71"/>
    <col customWidth="1" min="4" max="4" width="41.14"/>
    <col customWidth="1" min="5" max="5" width="14.0"/>
    <col customWidth="1" min="6" max="7" width="12.71"/>
    <col customWidth="1" min="8" max="8" width="13.71"/>
    <col customWidth="1" min="9" max="9" width="16.43"/>
    <col customWidth="1" min="10" max="10" width="12.57"/>
    <col customWidth="1" min="11" max="11" width="12.0"/>
    <col customWidth="1" min="12" max="12" width="12.86"/>
    <col customWidth="1" min="13" max="13" width="20.71"/>
    <col customWidth="1" min="14" max="14" width="16.14"/>
    <col customWidth="1" min="15" max="26" width="10.0"/>
  </cols>
  <sheetData>
    <row r="1" ht="15.75" customHeight="1">
      <c r="A1" s="48"/>
      <c r="B1" s="53" t="s">
        <v>0</v>
      </c>
      <c r="C1" s="4"/>
      <c r="D1" s="4"/>
      <c r="E1" s="4"/>
      <c r="F1" s="4"/>
      <c r="G1" s="5"/>
      <c r="H1" s="56"/>
      <c r="K1" s="58" t="s">
        <v>42</v>
      </c>
      <c r="L1" s="11" t="s">
        <v>44</v>
      </c>
      <c r="M1" s="11" t="s">
        <v>45</v>
      </c>
      <c r="N1" s="11" t="s">
        <v>47</v>
      </c>
    </row>
    <row r="2" ht="15.75" customHeight="1">
      <c r="A2" s="48"/>
      <c r="B2" s="63"/>
      <c r="C2" s="65"/>
      <c r="D2" s="66"/>
      <c r="E2" s="66"/>
      <c r="F2" s="66"/>
      <c r="G2" s="66"/>
      <c r="H2" s="56"/>
      <c r="K2" s="58">
        <f>IFERROR(__xludf.DUMMYFUNCTION("IMPORTRANGE(""https://docs.google.com/spreadsheets/d/1QHciYMvliATvWbE-ZiCODSi4C7HCgtLrWiSYo1XuIdk"", ""2024!diff_ingreso_gasto"")"),188138.43999999762)</f>
        <v>188138.44</v>
      </c>
      <c r="L2" s="11">
        <v>4000000.0</v>
      </c>
      <c r="M2" s="14">
        <f>(K2+L2)-N2</f>
        <v>-1962774.74</v>
      </c>
      <c r="N2" s="14">
        <f>SUM(C4:C75)</f>
        <v>6150913.18</v>
      </c>
    </row>
    <row r="3" ht="23.25" customHeight="1">
      <c r="A3" s="76" t="s">
        <v>2</v>
      </c>
      <c r="B3" s="78" t="s">
        <v>3</v>
      </c>
      <c r="C3" s="80" t="s">
        <v>4</v>
      </c>
      <c r="D3" s="81" t="s">
        <v>1</v>
      </c>
      <c r="E3" s="81" t="s">
        <v>5</v>
      </c>
      <c r="F3" s="81" t="s">
        <v>6</v>
      </c>
      <c r="G3" s="81" t="s">
        <v>9</v>
      </c>
      <c r="H3" s="81" t="s">
        <v>10</v>
      </c>
      <c r="J3" s="81" t="s">
        <v>54</v>
      </c>
      <c r="K3" s="86" t="s">
        <v>4</v>
      </c>
      <c r="L3" s="84" t="s">
        <v>55</v>
      </c>
    </row>
    <row r="4" ht="15.75" customHeight="1">
      <c r="A4" s="114" t="s">
        <v>90</v>
      </c>
      <c r="B4" s="115" t="s">
        <v>91</v>
      </c>
      <c r="C4" s="116">
        <v>120000.0</v>
      </c>
      <c r="D4" s="93" t="s">
        <v>250</v>
      </c>
      <c r="F4" s="95"/>
      <c r="G4" s="95"/>
      <c r="H4" s="97">
        <f>C4</f>
        <v>120000</v>
      </c>
      <c r="J4" s="98" t="s">
        <v>93</v>
      </c>
      <c r="K4" s="58">
        <v>120000.0</v>
      </c>
    </row>
    <row r="5" ht="15.75" customHeight="1">
      <c r="A5" s="114" t="s">
        <v>90</v>
      </c>
      <c r="B5" s="115" t="s">
        <v>94</v>
      </c>
      <c r="C5" s="116">
        <v>650000.0</v>
      </c>
      <c r="D5" s="95"/>
      <c r="E5" s="95"/>
      <c r="F5" s="95"/>
      <c r="G5" s="95"/>
      <c r="H5" s="119">
        <v>650000.0</v>
      </c>
      <c r="K5" s="58">
        <v>650000.0</v>
      </c>
    </row>
    <row r="6" ht="15.75" customHeight="1">
      <c r="A6" s="114" t="s">
        <v>95</v>
      </c>
      <c r="B6" s="174" t="s">
        <v>96</v>
      </c>
      <c r="C6" s="124">
        <v>200000.0</v>
      </c>
      <c r="D6" s="95"/>
      <c r="E6" s="125"/>
      <c r="F6" s="63"/>
      <c r="G6" s="63"/>
      <c r="H6" s="128">
        <f t="shared" ref="H6:H17" si="1">C6</f>
        <v>200000</v>
      </c>
      <c r="J6" s="98" t="s">
        <v>93</v>
      </c>
      <c r="K6" s="124">
        <v>200000.0</v>
      </c>
    </row>
    <row r="7" ht="15.75" customHeight="1">
      <c r="A7" s="114" t="s">
        <v>101</v>
      </c>
      <c r="B7" s="174" t="s">
        <v>102</v>
      </c>
      <c r="C7" s="124">
        <v>90000.0</v>
      </c>
      <c r="D7" s="95"/>
      <c r="E7" s="125"/>
      <c r="F7" s="63"/>
      <c r="G7" s="63"/>
      <c r="H7" s="128">
        <f t="shared" si="1"/>
        <v>90000</v>
      </c>
      <c r="I7" s="132" t="s">
        <v>104</v>
      </c>
      <c r="J7" s="98" t="s">
        <v>93</v>
      </c>
      <c r="K7" s="124">
        <v>90000.0</v>
      </c>
    </row>
    <row r="8" ht="15.75" customHeight="1">
      <c r="A8" s="114" t="s">
        <v>95</v>
      </c>
      <c r="B8" s="174" t="s">
        <v>82</v>
      </c>
      <c r="C8" s="124">
        <v>60000.0</v>
      </c>
      <c r="D8" s="95"/>
      <c r="E8" s="125"/>
      <c r="F8" s="63"/>
      <c r="G8" s="63"/>
      <c r="H8" s="128">
        <f t="shared" si="1"/>
        <v>60000</v>
      </c>
      <c r="J8" s="98" t="s">
        <v>93</v>
      </c>
      <c r="K8" s="124">
        <v>60000.0</v>
      </c>
    </row>
    <row r="9" ht="15.75" customHeight="1">
      <c r="A9" s="114" t="s">
        <v>95</v>
      </c>
      <c r="B9" s="174" t="s">
        <v>84</v>
      </c>
      <c r="C9" s="124">
        <v>40000.0</v>
      </c>
      <c r="D9" s="95"/>
      <c r="E9" s="125"/>
      <c r="F9" s="63"/>
      <c r="G9" s="63"/>
      <c r="H9" s="128">
        <f t="shared" si="1"/>
        <v>40000</v>
      </c>
      <c r="J9" s="98" t="s">
        <v>93</v>
      </c>
      <c r="K9" s="124">
        <v>40000.0</v>
      </c>
    </row>
    <row r="10" ht="15.75" customHeight="1">
      <c r="A10" s="114" t="s">
        <v>95</v>
      </c>
      <c r="B10" s="174" t="s">
        <v>107</v>
      </c>
      <c r="C10" s="124">
        <v>10000.0</v>
      </c>
      <c r="D10" s="95"/>
      <c r="E10" s="125"/>
      <c r="F10" s="63"/>
      <c r="G10" s="63"/>
      <c r="H10" s="128">
        <f t="shared" si="1"/>
        <v>10000</v>
      </c>
      <c r="J10" s="98" t="s">
        <v>93</v>
      </c>
      <c r="K10" s="124">
        <v>10000.0</v>
      </c>
    </row>
    <row r="11" ht="15.75" customHeight="1">
      <c r="A11" s="114" t="s">
        <v>95</v>
      </c>
      <c r="B11" s="174" t="s">
        <v>109</v>
      </c>
      <c r="C11" s="124">
        <v>25000.0</v>
      </c>
      <c r="D11" s="95"/>
      <c r="E11" s="125"/>
      <c r="F11" s="63"/>
      <c r="G11" s="63"/>
      <c r="H11" s="128">
        <f t="shared" si="1"/>
        <v>25000</v>
      </c>
      <c r="J11" s="98" t="s">
        <v>93</v>
      </c>
      <c r="K11" s="124">
        <v>25000.0</v>
      </c>
    </row>
    <row r="12" ht="15.75" customHeight="1">
      <c r="A12" s="114" t="s">
        <v>95</v>
      </c>
      <c r="B12" s="174" t="s">
        <v>112</v>
      </c>
      <c r="C12" s="124">
        <v>35000.0</v>
      </c>
      <c r="D12" s="95"/>
      <c r="E12" s="125"/>
      <c r="F12" s="63"/>
      <c r="G12" s="63"/>
      <c r="H12" s="128">
        <f t="shared" si="1"/>
        <v>35000</v>
      </c>
      <c r="J12" s="98" t="s">
        <v>93</v>
      </c>
      <c r="K12" s="124">
        <v>35000.0</v>
      </c>
    </row>
    <row r="13" ht="15.75" customHeight="1">
      <c r="A13" s="114" t="s">
        <v>95</v>
      </c>
      <c r="B13" s="174" t="s">
        <v>86</v>
      </c>
      <c r="C13" s="124">
        <v>15000.0</v>
      </c>
      <c r="D13" s="95"/>
      <c r="E13" s="125"/>
      <c r="F13" s="63"/>
      <c r="G13" s="63"/>
      <c r="H13" s="128">
        <f t="shared" si="1"/>
        <v>15000</v>
      </c>
      <c r="J13" s="98" t="s">
        <v>93</v>
      </c>
      <c r="K13" s="124">
        <v>15000.0</v>
      </c>
    </row>
    <row r="14" ht="15.75" customHeight="1">
      <c r="A14" s="114" t="s">
        <v>95</v>
      </c>
      <c r="B14" s="174" t="s">
        <v>114</v>
      </c>
      <c r="C14" s="124">
        <v>60000.0</v>
      </c>
      <c r="D14" s="95"/>
      <c r="E14" s="125"/>
      <c r="F14" s="63"/>
      <c r="G14" s="63"/>
      <c r="H14" s="128">
        <f t="shared" si="1"/>
        <v>60000</v>
      </c>
      <c r="J14" s="98" t="s">
        <v>93</v>
      </c>
      <c r="K14" s="124">
        <v>60000.0</v>
      </c>
    </row>
    <row r="15" ht="15.75" customHeight="1">
      <c r="A15" s="114" t="s">
        <v>95</v>
      </c>
      <c r="B15" s="174" t="s">
        <v>116</v>
      </c>
      <c r="C15" s="124">
        <v>70000.0</v>
      </c>
      <c r="D15" s="93" t="s">
        <v>259</v>
      </c>
      <c r="E15" s="125"/>
      <c r="F15" s="63"/>
      <c r="G15" s="63"/>
      <c r="H15" s="128">
        <f t="shared" si="1"/>
        <v>70000</v>
      </c>
      <c r="J15" s="98" t="s">
        <v>93</v>
      </c>
      <c r="K15" s="124">
        <v>70000.0</v>
      </c>
      <c r="L15" s="11" t="s">
        <v>117</v>
      </c>
    </row>
    <row r="16" ht="15.75" customHeight="1">
      <c r="A16" s="114" t="s">
        <v>118</v>
      </c>
      <c r="B16" s="174" t="s">
        <v>119</v>
      </c>
      <c r="C16" s="124">
        <v>100000.0</v>
      </c>
      <c r="D16" s="95"/>
      <c r="E16" s="125"/>
      <c r="F16" s="63"/>
      <c r="G16" s="63"/>
      <c r="H16" s="128">
        <f t="shared" si="1"/>
        <v>100000</v>
      </c>
      <c r="J16" s="98" t="s">
        <v>93</v>
      </c>
      <c r="K16" s="124">
        <v>100000.0</v>
      </c>
    </row>
    <row r="17" ht="15.75" customHeight="1">
      <c r="A17" s="114" t="s">
        <v>147</v>
      </c>
      <c r="B17" s="175" t="s">
        <v>148</v>
      </c>
      <c r="C17" s="116">
        <v>150000.0</v>
      </c>
      <c r="D17" s="93"/>
      <c r="F17" s="95"/>
      <c r="G17" s="95"/>
      <c r="H17" s="97">
        <f t="shared" si="1"/>
        <v>150000</v>
      </c>
      <c r="I17" s="154" t="s">
        <v>151</v>
      </c>
      <c r="J17" s="98" t="s">
        <v>93</v>
      </c>
      <c r="K17" s="116">
        <v>100000.0</v>
      </c>
    </row>
    <row r="18" ht="15.75" customHeight="1">
      <c r="A18" s="114" t="s">
        <v>120</v>
      </c>
      <c r="B18" s="121" t="s">
        <v>122</v>
      </c>
      <c r="C18" s="142">
        <v>1200.0</v>
      </c>
      <c r="D18" s="93"/>
      <c r="E18" s="125"/>
      <c r="F18" s="63"/>
      <c r="G18" s="63"/>
      <c r="H18" s="63"/>
      <c r="J18" s="98" t="s">
        <v>93</v>
      </c>
      <c r="K18" s="14">
        <f t="shared" ref="K18:K32" si="2">C18</f>
        <v>1200</v>
      </c>
    </row>
    <row r="19" ht="15.75" customHeight="1">
      <c r="A19" s="114" t="s">
        <v>120</v>
      </c>
      <c r="B19" s="121" t="s">
        <v>124</v>
      </c>
      <c r="C19" s="142">
        <v>12000.0</v>
      </c>
      <c r="D19" s="93"/>
      <c r="E19" s="125"/>
      <c r="F19" s="63"/>
      <c r="G19" s="63"/>
      <c r="H19" s="63"/>
      <c r="J19" s="98" t="s">
        <v>93</v>
      </c>
      <c r="K19" s="14">
        <f t="shared" si="2"/>
        <v>12000</v>
      </c>
    </row>
    <row r="20" ht="15.75" customHeight="1">
      <c r="A20" s="114" t="s">
        <v>120</v>
      </c>
      <c r="B20" s="121" t="s">
        <v>125</v>
      </c>
      <c r="C20" s="142">
        <v>25000.0</v>
      </c>
      <c r="D20" s="93"/>
      <c r="E20" s="125"/>
      <c r="F20" s="63"/>
      <c r="G20" s="63"/>
      <c r="H20" s="63"/>
      <c r="J20" s="98" t="s">
        <v>93</v>
      </c>
      <c r="K20" s="14">
        <f t="shared" si="2"/>
        <v>25000</v>
      </c>
    </row>
    <row r="21" ht="15.75" customHeight="1">
      <c r="A21" s="114" t="s">
        <v>120</v>
      </c>
      <c r="B21" s="121" t="s">
        <v>126</v>
      </c>
      <c r="C21" s="142">
        <v>6000.0</v>
      </c>
      <c r="D21" s="93"/>
      <c r="E21" s="125"/>
      <c r="F21" s="63"/>
      <c r="G21" s="63"/>
      <c r="H21" s="63"/>
      <c r="J21" s="98" t="s">
        <v>93</v>
      </c>
      <c r="K21" s="14">
        <f t="shared" si="2"/>
        <v>6000</v>
      </c>
    </row>
    <row r="22" ht="15.75" customHeight="1">
      <c r="A22" s="114" t="s">
        <v>120</v>
      </c>
      <c r="B22" s="121" t="s">
        <v>130</v>
      </c>
      <c r="C22" s="142">
        <v>3000.0</v>
      </c>
      <c r="D22" s="95"/>
      <c r="E22" s="125"/>
      <c r="F22" s="63"/>
      <c r="G22" s="63"/>
      <c r="H22" s="63"/>
      <c r="J22" s="98" t="s">
        <v>93</v>
      </c>
      <c r="K22" s="14">
        <f t="shared" si="2"/>
        <v>3000</v>
      </c>
    </row>
    <row r="23" ht="15.75" customHeight="1">
      <c r="A23" s="114" t="s">
        <v>120</v>
      </c>
      <c r="B23" s="121" t="s">
        <v>103</v>
      </c>
      <c r="C23" s="142">
        <v>40000.0</v>
      </c>
      <c r="D23" s="93"/>
      <c r="E23" s="125"/>
      <c r="F23" s="63"/>
      <c r="G23" s="63"/>
      <c r="H23" s="63"/>
      <c r="J23" s="98" t="s">
        <v>93</v>
      </c>
      <c r="K23" s="14">
        <f t="shared" si="2"/>
        <v>40000</v>
      </c>
    </row>
    <row r="24" ht="15.75" customHeight="1">
      <c r="A24" s="114" t="s">
        <v>120</v>
      </c>
      <c r="B24" s="121" t="s">
        <v>131</v>
      </c>
      <c r="C24" s="142">
        <v>40000.0</v>
      </c>
      <c r="D24" s="93"/>
      <c r="E24" s="125"/>
      <c r="F24" s="63"/>
      <c r="G24" s="63"/>
      <c r="H24" s="63"/>
      <c r="J24" s="98" t="s">
        <v>93</v>
      </c>
      <c r="K24" s="14">
        <f t="shared" si="2"/>
        <v>40000</v>
      </c>
    </row>
    <row r="25" ht="15.75" customHeight="1">
      <c r="A25" s="114" t="s">
        <v>120</v>
      </c>
      <c r="B25" s="121" t="s">
        <v>132</v>
      </c>
      <c r="C25" s="142">
        <v>40000.0</v>
      </c>
      <c r="D25" s="93"/>
      <c r="E25" s="125"/>
      <c r="F25" s="63"/>
      <c r="G25" s="63"/>
      <c r="H25" s="63"/>
      <c r="J25" s="98" t="s">
        <v>93</v>
      </c>
      <c r="K25" s="14">
        <f t="shared" si="2"/>
        <v>40000</v>
      </c>
    </row>
    <row r="26" ht="15.75" customHeight="1">
      <c r="A26" s="114" t="s">
        <v>120</v>
      </c>
      <c r="B26" s="121" t="s">
        <v>134</v>
      </c>
      <c r="C26" s="142">
        <v>30000.0</v>
      </c>
      <c r="D26" s="95"/>
      <c r="E26" s="125"/>
      <c r="F26" s="63"/>
      <c r="G26" s="63"/>
      <c r="H26" s="63"/>
      <c r="J26" s="98" t="s">
        <v>93</v>
      </c>
      <c r="K26" s="14">
        <f t="shared" si="2"/>
        <v>30000</v>
      </c>
    </row>
    <row r="27" ht="15.75" customHeight="1">
      <c r="A27" s="114" t="s">
        <v>120</v>
      </c>
      <c r="B27" s="121" t="s">
        <v>113</v>
      </c>
      <c r="C27" s="142">
        <v>5000.0</v>
      </c>
      <c r="D27" s="95"/>
      <c r="E27" s="125"/>
      <c r="F27" s="63"/>
      <c r="G27" s="63"/>
      <c r="H27" s="63"/>
      <c r="J27" s="98" t="s">
        <v>93</v>
      </c>
      <c r="K27" s="14">
        <f t="shared" si="2"/>
        <v>5000</v>
      </c>
    </row>
    <row r="28" ht="15.75" customHeight="1">
      <c r="A28" s="114" t="s">
        <v>120</v>
      </c>
      <c r="B28" s="121" t="s">
        <v>135</v>
      </c>
      <c r="C28" s="142">
        <v>4000.0</v>
      </c>
      <c r="D28" s="95"/>
      <c r="E28" s="125"/>
      <c r="F28" s="63"/>
      <c r="G28" s="63"/>
      <c r="H28" s="63"/>
      <c r="J28" s="98" t="s">
        <v>93</v>
      </c>
      <c r="K28" s="14">
        <f t="shared" si="2"/>
        <v>4000</v>
      </c>
    </row>
    <row r="29" ht="15.75" customHeight="1">
      <c r="A29" s="114" t="s">
        <v>120</v>
      </c>
      <c r="B29" s="121" t="s">
        <v>137</v>
      </c>
      <c r="C29" s="142">
        <v>5000.0</v>
      </c>
      <c r="D29" s="95"/>
      <c r="E29" s="125"/>
      <c r="F29" s="63"/>
      <c r="G29" s="63"/>
      <c r="H29" s="63"/>
      <c r="J29" s="98" t="s">
        <v>93</v>
      </c>
      <c r="K29" s="14">
        <f t="shared" si="2"/>
        <v>5000</v>
      </c>
    </row>
    <row r="30" ht="15.75" customHeight="1">
      <c r="A30" s="114" t="s">
        <v>120</v>
      </c>
      <c r="B30" s="121" t="s">
        <v>139</v>
      </c>
      <c r="C30" s="142">
        <v>5790.0</v>
      </c>
      <c r="D30" s="95"/>
      <c r="E30" s="125"/>
      <c r="F30" s="63"/>
      <c r="G30" s="63"/>
      <c r="H30" s="63"/>
      <c r="J30" s="98" t="s">
        <v>93</v>
      </c>
      <c r="K30" s="14">
        <f t="shared" si="2"/>
        <v>5790</v>
      </c>
    </row>
    <row r="31" ht="15.75" customHeight="1">
      <c r="A31" s="114" t="s">
        <v>120</v>
      </c>
      <c r="B31" s="121" t="s">
        <v>140</v>
      </c>
      <c r="C31" s="142">
        <v>5000.0</v>
      </c>
      <c r="D31" s="95"/>
      <c r="E31" s="125"/>
      <c r="F31" s="63"/>
      <c r="G31" s="63"/>
      <c r="H31" s="63"/>
      <c r="J31" s="98" t="s">
        <v>93</v>
      </c>
      <c r="K31" s="14">
        <f t="shared" si="2"/>
        <v>5000</v>
      </c>
    </row>
    <row r="32" ht="15.75" customHeight="1">
      <c r="A32" s="114" t="s">
        <v>141</v>
      </c>
      <c r="B32" s="121" t="s">
        <v>142</v>
      </c>
      <c r="C32" s="142">
        <v>6000.0</v>
      </c>
      <c r="D32" s="95"/>
      <c r="E32" s="125"/>
      <c r="F32" s="63"/>
      <c r="G32" s="63"/>
      <c r="H32" s="63"/>
      <c r="J32" s="98" t="s">
        <v>93</v>
      </c>
      <c r="K32" s="14">
        <f t="shared" si="2"/>
        <v>6000</v>
      </c>
    </row>
    <row r="33" ht="15.75" customHeight="1">
      <c r="A33" s="114" t="s">
        <v>143</v>
      </c>
      <c r="B33" s="115" t="s">
        <v>275</v>
      </c>
      <c r="C33" s="116">
        <v>500000.0</v>
      </c>
      <c r="D33" s="93"/>
      <c r="F33" s="95"/>
      <c r="G33" s="95"/>
      <c r="H33" s="119">
        <v>500000.0</v>
      </c>
      <c r="I33" s="11"/>
      <c r="J33" s="98" t="s">
        <v>145</v>
      </c>
      <c r="K33" s="116">
        <v>500000.0</v>
      </c>
    </row>
    <row r="34" ht="15.75" customHeight="1">
      <c r="A34" s="114" t="s">
        <v>155</v>
      </c>
      <c r="B34" s="115" t="s">
        <v>157</v>
      </c>
      <c r="C34" s="116">
        <v>150000.0</v>
      </c>
      <c r="D34" s="93"/>
      <c r="F34" s="95"/>
      <c r="G34" s="95"/>
      <c r="H34" s="97">
        <f t="shared" ref="H34:H42" si="3">C34</f>
        <v>150000</v>
      </c>
      <c r="J34" s="98" t="s">
        <v>93</v>
      </c>
      <c r="K34" s="116">
        <v>100000.0</v>
      </c>
    </row>
    <row r="35" ht="15.75" customHeight="1">
      <c r="A35" s="114" t="s">
        <v>143</v>
      </c>
      <c r="B35" s="115" t="s">
        <v>276</v>
      </c>
      <c r="C35" s="116">
        <v>400000.0</v>
      </c>
      <c r="D35" s="93"/>
      <c r="F35" s="95"/>
      <c r="G35" s="95"/>
      <c r="H35" s="97">
        <f t="shared" si="3"/>
        <v>400000</v>
      </c>
      <c r="J35" s="98" t="s">
        <v>93</v>
      </c>
      <c r="K35" s="116">
        <v>400000.0</v>
      </c>
    </row>
    <row r="36" ht="15.75" customHeight="1">
      <c r="A36" s="114" t="s">
        <v>164</v>
      </c>
      <c r="B36" s="115" t="s">
        <v>165</v>
      </c>
      <c r="C36" s="116">
        <v>150000.0</v>
      </c>
      <c r="D36" s="95"/>
      <c r="E36" s="95"/>
      <c r="F36" s="95"/>
      <c r="G36" s="95"/>
      <c r="H36" s="97">
        <f t="shared" si="3"/>
        <v>150000</v>
      </c>
      <c r="J36" s="98" t="s">
        <v>93</v>
      </c>
      <c r="K36" s="116">
        <v>150000.0</v>
      </c>
    </row>
    <row r="37" ht="15.75" customHeight="1">
      <c r="A37" s="114" t="s">
        <v>143</v>
      </c>
      <c r="B37" s="115" t="s">
        <v>167</v>
      </c>
      <c r="C37" s="116">
        <v>40000.0</v>
      </c>
      <c r="D37" s="95"/>
      <c r="E37" s="95"/>
      <c r="F37" s="95"/>
      <c r="G37" s="95"/>
      <c r="H37" s="97">
        <f t="shared" si="3"/>
        <v>40000</v>
      </c>
      <c r="J37" s="98" t="s">
        <v>93</v>
      </c>
      <c r="K37" s="116">
        <v>40000.0</v>
      </c>
    </row>
    <row r="38" ht="15.75" customHeight="1">
      <c r="A38" s="114" t="s">
        <v>143</v>
      </c>
      <c r="B38" s="115" t="s">
        <v>168</v>
      </c>
      <c r="C38" s="116">
        <v>50000.0</v>
      </c>
      <c r="D38" s="95"/>
      <c r="E38" s="95"/>
      <c r="F38" s="95"/>
      <c r="G38" s="95"/>
      <c r="H38" s="97">
        <f t="shared" si="3"/>
        <v>50000</v>
      </c>
      <c r="J38" s="98" t="s">
        <v>93</v>
      </c>
      <c r="K38" s="116">
        <v>50000.0</v>
      </c>
    </row>
    <row r="39" ht="15.75" customHeight="1">
      <c r="A39" s="114" t="s">
        <v>143</v>
      </c>
      <c r="B39" s="115" t="s">
        <v>169</v>
      </c>
      <c r="C39" s="116">
        <v>80000.0</v>
      </c>
      <c r="D39" s="95"/>
      <c r="E39" s="95"/>
      <c r="F39" s="95"/>
      <c r="G39" s="95"/>
      <c r="H39" s="97">
        <f t="shared" si="3"/>
        <v>80000</v>
      </c>
      <c r="J39" s="98" t="s">
        <v>93</v>
      </c>
      <c r="K39" s="116">
        <v>80000.0</v>
      </c>
    </row>
    <row r="40" ht="15.75" customHeight="1">
      <c r="A40" s="114" t="s">
        <v>171</v>
      </c>
      <c r="B40" s="115" t="s">
        <v>173</v>
      </c>
      <c r="C40" s="116">
        <v>8500.0</v>
      </c>
      <c r="D40" s="95"/>
      <c r="E40" s="95"/>
      <c r="F40" s="95"/>
      <c r="G40" s="95"/>
      <c r="H40" s="97">
        <f t="shared" si="3"/>
        <v>8500</v>
      </c>
      <c r="J40" s="98" t="s">
        <v>93</v>
      </c>
      <c r="K40" s="116">
        <v>8500.0</v>
      </c>
    </row>
    <row r="41" ht="15.75" customHeight="1">
      <c r="A41" s="114" t="s">
        <v>171</v>
      </c>
      <c r="B41" s="115" t="s">
        <v>174</v>
      </c>
      <c r="C41" s="116">
        <v>14000.0</v>
      </c>
      <c r="D41" s="95"/>
      <c r="E41" s="95"/>
      <c r="F41" s="95"/>
      <c r="G41" s="95"/>
      <c r="H41" s="97">
        <f t="shared" si="3"/>
        <v>14000</v>
      </c>
      <c r="J41" s="98" t="s">
        <v>93</v>
      </c>
      <c r="K41" s="116">
        <v>14000.0</v>
      </c>
    </row>
    <row r="42" ht="15.75" customHeight="1">
      <c r="A42" s="114" t="s">
        <v>171</v>
      </c>
      <c r="B42" s="115" t="s">
        <v>175</v>
      </c>
      <c r="C42" s="116">
        <v>1200.0</v>
      </c>
      <c r="D42" s="95"/>
      <c r="E42" s="95"/>
      <c r="F42" s="95"/>
      <c r="G42" s="95"/>
      <c r="H42" s="97">
        <f t="shared" si="3"/>
        <v>1200</v>
      </c>
      <c r="J42" s="98" t="s">
        <v>93</v>
      </c>
      <c r="K42" s="116">
        <v>1200.0</v>
      </c>
    </row>
    <row r="43" ht="15.75" customHeight="1">
      <c r="A43" s="114" t="s">
        <v>143</v>
      </c>
      <c r="B43" s="115" t="s">
        <v>176</v>
      </c>
      <c r="C43" s="116">
        <v>18000.0</v>
      </c>
      <c r="D43" s="95"/>
      <c r="E43" s="95"/>
      <c r="F43" s="95"/>
      <c r="G43" s="95"/>
      <c r="H43" s="97"/>
      <c r="J43" s="98" t="s">
        <v>93</v>
      </c>
      <c r="K43" s="14">
        <f t="shared" ref="K43:K49" si="4">C43</f>
        <v>18000</v>
      </c>
    </row>
    <row r="44" ht="15.75" customHeight="1">
      <c r="A44" s="114" t="s">
        <v>143</v>
      </c>
      <c r="B44" s="115" t="s">
        <v>21</v>
      </c>
      <c r="C44" s="116">
        <v>16000.0</v>
      </c>
      <c r="D44" s="95"/>
      <c r="E44" s="95"/>
      <c r="F44" s="95"/>
      <c r="G44" s="95"/>
      <c r="H44" s="97"/>
      <c r="J44" s="98" t="s">
        <v>93</v>
      </c>
      <c r="K44" s="14">
        <f t="shared" si="4"/>
        <v>16000</v>
      </c>
    </row>
    <row r="45" ht="15.75" customHeight="1">
      <c r="A45" s="114" t="s">
        <v>143</v>
      </c>
      <c r="B45" s="121" t="s">
        <v>177</v>
      </c>
      <c r="C45" s="142">
        <v>270000.0</v>
      </c>
      <c r="D45" s="95"/>
      <c r="E45" s="125"/>
      <c r="F45" s="63"/>
      <c r="G45" s="63"/>
      <c r="H45" s="128">
        <f>C45</f>
        <v>270000</v>
      </c>
      <c r="J45" s="98" t="s">
        <v>93</v>
      </c>
      <c r="K45" s="14">
        <f t="shared" si="4"/>
        <v>270000</v>
      </c>
    </row>
    <row r="46" ht="15.75" customHeight="1">
      <c r="A46" s="114" t="s">
        <v>143</v>
      </c>
      <c r="B46" s="115" t="s">
        <v>178</v>
      </c>
      <c r="C46" s="116">
        <v>2000.0</v>
      </c>
      <c r="D46" s="95"/>
      <c r="E46" s="95"/>
      <c r="F46" s="95"/>
      <c r="G46" s="95"/>
      <c r="H46" s="97"/>
      <c r="J46" s="98" t="s">
        <v>93</v>
      </c>
      <c r="K46" s="14">
        <f t="shared" si="4"/>
        <v>2000</v>
      </c>
      <c r="L46" s="11" t="s">
        <v>179</v>
      </c>
    </row>
    <row r="47" ht="15.75" customHeight="1">
      <c r="A47" s="114" t="s">
        <v>143</v>
      </c>
      <c r="B47" s="115" t="s">
        <v>182</v>
      </c>
      <c r="C47" s="116">
        <v>25000.0</v>
      </c>
      <c r="D47" s="95"/>
      <c r="E47" s="95"/>
      <c r="F47" s="95"/>
      <c r="G47" s="95"/>
      <c r="H47" s="97"/>
      <c r="J47" s="98" t="s">
        <v>93</v>
      </c>
      <c r="K47" s="14">
        <f t="shared" si="4"/>
        <v>25000</v>
      </c>
    </row>
    <row r="48" ht="15.75" customHeight="1">
      <c r="A48" s="114" t="s">
        <v>143</v>
      </c>
      <c r="B48" s="155" t="s">
        <v>62</v>
      </c>
      <c r="C48" s="156">
        <v>123000.0</v>
      </c>
      <c r="D48" s="157"/>
      <c r="E48" s="159"/>
      <c r="F48" s="159"/>
      <c r="G48" s="159"/>
      <c r="H48" s="159"/>
      <c r="I48" s="160"/>
      <c r="J48" s="161" t="s">
        <v>93</v>
      </c>
      <c r="K48" s="104">
        <f t="shared" si="4"/>
        <v>123000</v>
      </c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 ht="15.75" customHeight="1">
      <c r="A49" s="114" t="s">
        <v>143</v>
      </c>
      <c r="B49" s="155" t="s">
        <v>188</v>
      </c>
      <c r="C49" s="156">
        <v>100000.0</v>
      </c>
      <c r="D49" s="159"/>
      <c r="E49" s="159"/>
      <c r="F49" s="159"/>
      <c r="G49" s="159"/>
      <c r="H49" s="159"/>
      <c r="I49" s="160"/>
      <c r="J49" s="161" t="s">
        <v>93</v>
      </c>
      <c r="K49" s="104">
        <f t="shared" si="4"/>
        <v>100000</v>
      </c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 ht="15.75" customHeight="1">
      <c r="A50" s="114" t="s">
        <v>143</v>
      </c>
      <c r="B50" s="164" t="s">
        <v>191</v>
      </c>
      <c r="C50" s="165">
        <v>300000.0</v>
      </c>
      <c r="D50" s="93" t="s">
        <v>192</v>
      </c>
      <c r="E50" s="93" t="s">
        <v>194</v>
      </c>
      <c r="F50" s="95"/>
      <c r="G50" s="95"/>
      <c r="H50" s="119"/>
      <c r="J50" s="98" t="s">
        <v>93</v>
      </c>
      <c r="K50" s="58">
        <v>300000.0</v>
      </c>
    </row>
    <row r="51" ht="15.75" customHeight="1">
      <c r="A51" s="114" t="s">
        <v>143</v>
      </c>
      <c r="B51" s="164" t="s">
        <v>196</v>
      </c>
      <c r="C51" s="165">
        <v>40000.0</v>
      </c>
      <c r="D51" s="93" t="s">
        <v>197</v>
      </c>
      <c r="E51" s="165">
        <v>162168.05</v>
      </c>
      <c r="F51" s="95"/>
      <c r="G51" s="95"/>
      <c r="H51" s="119" t="s">
        <v>198</v>
      </c>
      <c r="K51" s="14"/>
    </row>
    <row r="52" ht="15.75" customHeight="1">
      <c r="A52" s="114" t="s">
        <v>143</v>
      </c>
      <c r="B52" s="164" t="s">
        <v>75</v>
      </c>
      <c r="C52" s="11">
        <v>0.0</v>
      </c>
      <c r="D52" s="93"/>
      <c r="E52" s="116">
        <v>242400.0</v>
      </c>
      <c r="F52" s="95"/>
      <c r="G52" s="95"/>
      <c r="H52" s="97"/>
      <c r="J52" s="11" t="s">
        <v>199</v>
      </c>
      <c r="K52" s="14"/>
    </row>
    <row r="53" ht="15.75" customHeight="1">
      <c r="A53" s="114" t="s">
        <v>143</v>
      </c>
      <c r="B53" s="164" t="s">
        <v>290</v>
      </c>
      <c r="C53" s="11">
        <v>0.0</v>
      </c>
      <c r="D53" s="95"/>
      <c r="E53" s="116">
        <v>34233.74</v>
      </c>
      <c r="F53" s="95"/>
      <c r="G53" s="95"/>
      <c r="H53" s="97"/>
      <c r="K53" s="14"/>
    </row>
    <row r="54" ht="15.75" customHeight="1">
      <c r="A54" s="114" t="s">
        <v>143</v>
      </c>
      <c r="B54" s="115" t="s">
        <v>203</v>
      </c>
      <c r="C54" s="116">
        <v>12000.0</v>
      </c>
      <c r="D54" s="93"/>
      <c r="E54" s="95"/>
      <c r="F54" s="95"/>
      <c r="G54" s="95"/>
      <c r="H54" s="97"/>
      <c r="J54" s="98" t="s">
        <v>93</v>
      </c>
      <c r="K54" s="58">
        <f t="shared" ref="K54:K60" si="5">C54</f>
        <v>12000</v>
      </c>
    </row>
    <row r="55" ht="15.75" customHeight="1">
      <c r="A55" s="114" t="s">
        <v>143</v>
      </c>
      <c r="B55" s="115" t="s">
        <v>206</v>
      </c>
      <c r="C55" s="116">
        <v>1100.0</v>
      </c>
      <c r="D55" s="95"/>
      <c r="E55" s="95"/>
      <c r="F55" s="95"/>
      <c r="G55" s="95"/>
      <c r="H55" s="97"/>
      <c r="J55" s="98" t="s">
        <v>93</v>
      </c>
      <c r="K55" s="58">
        <f t="shared" si="5"/>
        <v>1100</v>
      </c>
    </row>
    <row r="56" ht="15.75" customHeight="1">
      <c r="A56" s="114" t="s">
        <v>143</v>
      </c>
      <c r="B56" s="115" t="s">
        <v>207</v>
      </c>
      <c r="C56" s="116">
        <v>1740.0</v>
      </c>
      <c r="D56" s="95"/>
      <c r="E56" s="95"/>
      <c r="F56" s="95"/>
      <c r="G56" s="95"/>
      <c r="H56" s="97"/>
      <c r="J56" s="98" t="s">
        <v>93</v>
      </c>
      <c r="K56" s="58">
        <f t="shared" si="5"/>
        <v>1740</v>
      </c>
    </row>
    <row r="57" ht="15.75" customHeight="1">
      <c r="A57" s="114" t="s">
        <v>143</v>
      </c>
      <c r="B57" s="115" t="s">
        <v>33</v>
      </c>
      <c r="C57" s="116">
        <v>840.0</v>
      </c>
      <c r="D57" s="95"/>
      <c r="E57" s="95"/>
      <c r="F57" s="95"/>
      <c r="G57" s="95"/>
      <c r="H57" s="97"/>
      <c r="J57" s="98" t="s">
        <v>93</v>
      </c>
      <c r="K57" s="58">
        <f t="shared" si="5"/>
        <v>840</v>
      </c>
    </row>
    <row r="58" ht="15.75" customHeight="1">
      <c r="A58" s="114" t="s">
        <v>143</v>
      </c>
      <c r="B58" s="115" t="s">
        <v>34</v>
      </c>
      <c r="C58" s="116">
        <v>5000.0</v>
      </c>
      <c r="D58" s="95"/>
      <c r="E58" s="95"/>
      <c r="F58" s="95"/>
      <c r="G58" s="95"/>
      <c r="H58" s="97"/>
      <c r="J58" s="98" t="s">
        <v>93</v>
      </c>
      <c r="K58" s="58">
        <f t="shared" si="5"/>
        <v>5000</v>
      </c>
    </row>
    <row r="59" ht="15.75" customHeight="1">
      <c r="A59" s="114" t="s">
        <v>143</v>
      </c>
      <c r="B59" s="115" t="s">
        <v>35</v>
      </c>
      <c r="C59" s="116">
        <v>3500.0</v>
      </c>
      <c r="D59" s="95"/>
      <c r="E59" s="95"/>
      <c r="F59" s="95"/>
      <c r="G59" s="95"/>
      <c r="H59" s="97"/>
      <c r="J59" s="98" t="s">
        <v>93</v>
      </c>
      <c r="K59" s="58">
        <f t="shared" si="5"/>
        <v>3500</v>
      </c>
    </row>
    <row r="60" ht="15.75" customHeight="1">
      <c r="A60" s="114" t="s">
        <v>143</v>
      </c>
      <c r="B60" s="115" t="s">
        <v>210</v>
      </c>
      <c r="C60" s="116">
        <v>25000.0</v>
      </c>
      <c r="D60" s="95"/>
      <c r="E60" s="95"/>
      <c r="F60" s="95"/>
      <c r="G60" s="95"/>
      <c r="H60" s="97"/>
      <c r="J60" s="98" t="s">
        <v>93</v>
      </c>
      <c r="K60" s="58">
        <f t="shared" si="5"/>
        <v>25000</v>
      </c>
    </row>
    <row r="61" ht="15.75" customHeight="1">
      <c r="A61" s="114" t="s">
        <v>171</v>
      </c>
      <c r="B61" s="115" t="s">
        <v>212</v>
      </c>
      <c r="C61" s="116">
        <v>14000.0</v>
      </c>
      <c r="D61" s="93"/>
      <c r="F61" s="95"/>
      <c r="G61" s="95"/>
      <c r="H61" s="97">
        <f t="shared" ref="H61:H75" si="6">C61</f>
        <v>14000</v>
      </c>
      <c r="J61" s="98" t="s">
        <v>93</v>
      </c>
      <c r="K61" s="116">
        <v>14000.0</v>
      </c>
    </row>
    <row r="62" ht="15.75" customHeight="1">
      <c r="A62" s="114" t="s">
        <v>171</v>
      </c>
      <c r="B62" s="115" t="s">
        <v>215</v>
      </c>
      <c r="C62" s="116">
        <v>9000.0</v>
      </c>
      <c r="D62" s="93"/>
      <c r="F62" s="95"/>
      <c r="G62" s="95"/>
      <c r="H62" s="97">
        <f t="shared" si="6"/>
        <v>9000</v>
      </c>
      <c r="J62" s="98" t="s">
        <v>93</v>
      </c>
      <c r="K62" s="116">
        <v>9000.0</v>
      </c>
    </row>
    <row r="63" ht="15.75" customHeight="1">
      <c r="A63" s="114" t="s">
        <v>171</v>
      </c>
      <c r="B63" s="115" t="s">
        <v>216</v>
      </c>
      <c r="C63" s="116">
        <v>15000.0</v>
      </c>
      <c r="D63" s="93"/>
      <c r="F63" s="95"/>
      <c r="G63" s="95"/>
      <c r="H63" s="97">
        <f t="shared" si="6"/>
        <v>15000</v>
      </c>
      <c r="J63" s="98" t="s">
        <v>93</v>
      </c>
      <c r="K63" s="116">
        <v>15000.0</v>
      </c>
    </row>
    <row r="64" ht="15.75" customHeight="1">
      <c r="A64" s="114" t="s">
        <v>171</v>
      </c>
      <c r="B64" s="115" t="s">
        <v>218</v>
      </c>
      <c r="C64" s="116">
        <v>24000.0</v>
      </c>
      <c r="D64" s="95"/>
      <c r="E64" s="95"/>
      <c r="F64" s="95"/>
      <c r="G64" s="95"/>
      <c r="H64" s="97">
        <f t="shared" si="6"/>
        <v>24000</v>
      </c>
      <c r="J64" s="98" t="s">
        <v>93</v>
      </c>
      <c r="K64" s="116">
        <v>24000.0</v>
      </c>
    </row>
    <row r="65" ht="15.75" customHeight="1">
      <c r="A65" s="114" t="s">
        <v>171</v>
      </c>
      <c r="B65" s="115" t="s">
        <v>219</v>
      </c>
      <c r="C65" s="116">
        <v>12000.0</v>
      </c>
      <c r="D65" s="95"/>
      <c r="E65" s="95"/>
      <c r="F65" s="95"/>
      <c r="G65" s="95"/>
      <c r="H65" s="97">
        <f t="shared" si="6"/>
        <v>12000</v>
      </c>
      <c r="J65" s="98" t="s">
        <v>93</v>
      </c>
      <c r="K65" s="116">
        <v>12000.0</v>
      </c>
    </row>
    <row r="66" ht="15.75" customHeight="1">
      <c r="A66" s="114" t="s">
        <v>220</v>
      </c>
      <c r="B66" s="115" t="s">
        <v>221</v>
      </c>
      <c r="C66" s="116">
        <v>700000.0</v>
      </c>
      <c r="D66" s="95"/>
      <c r="E66" s="95"/>
      <c r="F66" s="95"/>
      <c r="G66" s="95"/>
      <c r="H66" s="97">
        <f t="shared" si="6"/>
        <v>700000</v>
      </c>
      <c r="J66" s="98" t="s">
        <v>93</v>
      </c>
      <c r="K66" s="116">
        <v>700000.0</v>
      </c>
    </row>
    <row r="67" ht="15.75" customHeight="1">
      <c r="A67" s="114" t="s">
        <v>171</v>
      </c>
      <c r="B67" s="115" t="s">
        <v>222</v>
      </c>
      <c r="C67" s="116">
        <v>4000.0</v>
      </c>
      <c r="D67" s="95"/>
      <c r="E67" s="95"/>
      <c r="F67" s="95"/>
      <c r="G67" s="95"/>
      <c r="H67" s="97">
        <f t="shared" si="6"/>
        <v>4000</v>
      </c>
      <c r="J67" s="98" t="s">
        <v>93</v>
      </c>
      <c r="K67" s="116">
        <f>H67</f>
        <v>4000</v>
      </c>
    </row>
    <row r="68" ht="15.75" customHeight="1">
      <c r="A68" s="114" t="s">
        <v>171</v>
      </c>
      <c r="B68" s="115" t="s">
        <v>223</v>
      </c>
      <c r="C68" s="116">
        <v>5000.0</v>
      </c>
      <c r="D68" s="95"/>
      <c r="E68" s="95"/>
      <c r="F68" s="95"/>
      <c r="G68" s="95"/>
      <c r="H68" s="97">
        <f t="shared" si="6"/>
        <v>5000</v>
      </c>
      <c r="J68" s="167" t="s">
        <v>226</v>
      </c>
      <c r="K68" s="116"/>
      <c r="L68" s="11" t="s">
        <v>227</v>
      </c>
    </row>
    <row r="69" ht="15.75" customHeight="1">
      <c r="A69" s="114" t="s">
        <v>143</v>
      </c>
      <c r="B69" s="189" t="s">
        <v>307</v>
      </c>
      <c r="C69" s="190">
        <v>600000.0</v>
      </c>
      <c r="D69" s="165">
        <v>1189536.08</v>
      </c>
      <c r="E69" s="168"/>
      <c r="F69" s="168"/>
      <c r="G69" s="168"/>
      <c r="H69" s="169">
        <f t="shared" si="6"/>
        <v>600000</v>
      </c>
      <c r="J69" s="170" t="s">
        <v>199</v>
      </c>
      <c r="K69" s="116">
        <v>600000.0</v>
      </c>
      <c r="L69" s="11" t="s">
        <v>230</v>
      </c>
    </row>
    <row r="70" ht="15.75" customHeight="1">
      <c r="A70" s="114" t="s">
        <v>143</v>
      </c>
      <c r="B70" s="115" t="s">
        <v>231</v>
      </c>
      <c r="C70" s="116">
        <v>65000.0</v>
      </c>
      <c r="D70" s="95"/>
      <c r="E70" s="95"/>
      <c r="F70" s="95"/>
      <c r="G70" s="95"/>
      <c r="H70" s="97">
        <f t="shared" si="6"/>
        <v>65000</v>
      </c>
      <c r="J70" s="98" t="s">
        <v>93</v>
      </c>
      <c r="K70" s="116">
        <v>65000.0</v>
      </c>
    </row>
    <row r="71" ht="15.75" customHeight="1">
      <c r="A71" s="114" t="s">
        <v>143</v>
      </c>
      <c r="B71" s="115" t="s">
        <v>308</v>
      </c>
      <c r="C71" s="116">
        <v>295043.18</v>
      </c>
      <c r="D71" s="95"/>
      <c r="E71" s="95"/>
      <c r="F71" s="95"/>
      <c r="G71" s="95"/>
      <c r="H71" s="97">
        <f t="shared" si="6"/>
        <v>295043.18</v>
      </c>
      <c r="J71" s="98" t="s">
        <v>93</v>
      </c>
      <c r="K71" s="116">
        <v>295043.18</v>
      </c>
    </row>
    <row r="72" ht="15.75" customHeight="1">
      <c r="A72" s="114" t="s">
        <v>143</v>
      </c>
      <c r="B72" s="115" t="s">
        <v>233</v>
      </c>
      <c r="C72" s="116">
        <v>120000.0</v>
      </c>
      <c r="D72" s="95"/>
      <c r="E72" s="95"/>
      <c r="F72" s="95"/>
      <c r="G72" s="95"/>
      <c r="H72" s="97">
        <f t="shared" si="6"/>
        <v>120000</v>
      </c>
      <c r="J72" s="98" t="s">
        <v>93</v>
      </c>
      <c r="K72" s="116">
        <v>120000.0</v>
      </c>
    </row>
    <row r="73" ht="15.75" customHeight="1">
      <c r="A73" s="114" t="s">
        <v>143</v>
      </c>
      <c r="B73" s="115" t="s">
        <v>236</v>
      </c>
      <c r="C73" s="116">
        <v>25000.0</v>
      </c>
      <c r="D73" s="95"/>
      <c r="E73" s="95"/>
      <c r="F73" s="95"/>
      <c r="G73" s="95"/>
      <c r="H73" s="97">
        <f t="shared" si="6"/>
        <v>25000</v>
      </c>
      <c r="J73" s="98" t="s">
        <v>93</v>
      </c>
      <c r="K73" s="116">
        <v>25000.0</v>
      </c>
    </row>
    <row r="74" ht="15.75" customHeight="1">
      <c r="A74" s="114" t="s">
        <v>143</v>
      </c>
      <c r="B74" s="115" t="s">
        <v>237</v>
      </c>
      <c r="C74" s="116">
        <v>42000.0</v>
      </c>
      <c r="D74" s="95"/>
      <c r="E74" s="95"/>
      <c r="F74" s="95"/>
      <c r="G74" s="95"/>
      <c r="H74" s="97">
        <f t="shared" si="6"/>
        <v>42000</v>
      </c>
      <c r="J74" s="98" t="s">
        <v>93</v>
      </c>
      <c r="K74" s="116">
        <v>42000.0</v>
      </c>
    </row>
    <row r="75" ht="15.75" customHeight="1">
      <c r="A75" s="114" t="s">
        <v>143</v>
      </c>
      <c r="B75" s="115" t="s">
        <v>238</v>
      </c>
      <c r="C75" s="116">
        <v>31000.0</v>
      </c>
      <c r="D75" s="95"/>
      <c r="E75" s="95"/>
      <c r="F75" s="95"/>
      <c r="G75" s="95"/>
      <c r="H75" s="97">
        <f t="shared" si="6"/>
        <v>31000</v>
      </c>
      <c r="J75" s="98" t="s">
        <v>93</v>
      </c>
      <c r="K75" s="116">
        <v>31000.0</v>
      </c>
    </row>
    <row r="76" ht="15.75" customHeight="1">
      <c r="A76" s="171"/>
      <c r="B76" s="63"/>
      <c r="C76" s="128"/>
      <c r="E76" s="97"/>
      <c r="F76" s="97"/>
      <c r="G76" s="97"/>
      <c r="H76" s="97"/>
      <c r="K76" s="14"/>
    </row>
    <row r="77" ht="15.75" customHeight="1">
      <c r="A77" s="171"/>
      <c r="B77" s="63"/>
      <c r="C77" s="128">
        <f>SUM(C2:C75)</f>
        <v>6150913.18</v>
      </c>
      <c r="E77" s="97"/>
      <c r="F77" s="97"/>
      <c r="G77" s="97"/>
      <c r="H77" s="97"/>
      <c r="K77" s="14"/>
    </row>
  </sheetData>
  <mergeCells count="1">
    <mergeCell ref="B1:G1"/>
  </mergeCells>
  <hyperlinks>
    <hyperlink r:id="rId4" ref="I17"/>
  </hyperlinks>
  <printOptions/>
  <pageMargins bottom="0.75" footer="0.0" header="0.0" left="0.7" right="0.7" top="0.75"/>
  <pageSetup paperSize="9" orientation="landscape"/>
  <drawing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1.57"/>
    <col customWidth="1" min="2" max="2" width="18.29"/>
    <col customWidth="1" min="3" max="3" width="63.71"/>
    <col customWidth="1" min="4" max="5" width="13.71"/>
    <col customWidth="1" min="6" max="6" width="14.0"/>
    <col customWidth="1" min="7" max="8" width="12.71"/>
    <col customWidth="1" min="9" max="9" width="13.71"/>
    <col customWidth="1" min="10" max="10" width="16.43"/>
    <col customWidth="1" min="11" max="11" width="12.57"/>
    <col customWidth="1" min="12" max="12" width="12.0"/>
    <col customWidth="1" min="13" max="13" width="12.86"/>
    <col customWidth="1" min="14" max="14" width="20.71"/>
    <col customWidth="1" min="15" max="27" width="10.0"/>
  </cols>
  <sheetData>
    <row r="1" ht="15.75" customHeight="1">
      <c r="A1" s="48"/>
      <c r="B1" s="50" t="s">
        <v>323</v>
      </c>
      <c r="C1" s="53" t="s">
        <v>0</v>
      </c>
      <c r="D1" s="4"/>
      <c r="E1" s="4"/>
      <c r="F1" s="4"/>
      <c r="G1" s="4"/>
      <c r="H1" s="5"/>
      <c r="I1" s="56"/>
      <c r="L1" s="58" t="s">
        <v>42</v>
      </c>
      <c r="M1" s="11" t="s">
        <v>44</v>
      </c>
      <c r="N1" s="11" t="s">
        <v>45</v>
      </c>
      <c r="O1" s="11" t="s">
        <v>47</v>
      </c>
    </row>
    <row r="2" ht="15.75" customHeight="1">
      <c r="A2" s="48"/>
      <c r="B2" s="63"/>
      <c r="C2" s="63"/>
      <c r="D2" s="65"/>
      <c r="E2" s="66"/>
      <c r="F2" s="66"/>
      <c r="G2" s="66"/>
      <c r="H2" s="66"/>
      <c r="I2" s="56"/>
      <c r="L2" s="58">
        <f>IFERROR(__xludf.DUMMYFUNCTION("IMPORTRANGE(""https://docs.google.com/spreadsheets/d/1QHciYMvliATvWbE-ZiCODSi4C7HCgtLrWiSYo1XuIdk"", ""2024!diff_ingreso_gasto"")"),188138.43999999762)</f>
        <v>188138.44</v>
      </c>
      <c r="M2" s="11">
        <v>4000000.0</v>
      </c>
      <c r="N2" s="14">
        <f>(L2+M2)-O2</f>
        <v>-2080774.74</v>
      </c>
      <c r="O2" s="14">
        <f>SUM(D4:D78)</f>
        <v>6268913.18</v>
      </c>
    </row>
    <row r="3" ht="23.25" customHeight="1">
      <c r="A3" s="76" t="s">
        <v>2</v>
      </c>
      <c r="B3" s="78"/>
      <c r="C3" s="78" t="s">
        <v>3</v>
      </c>
      <c r="D3" s="80" t="s">
        <v>4</v>
      </c>
      <c r="E3" s="81" t="s">
        <v>1</v>
      </c>
      <c r="F3" s="81" t="s">
        <v>5</v>
      </c>
      <c r="G3" s="81" t="s">
        <v>6</v>
      </c>
      <c r="H3" s="81" t="s">
        <v>9</v>
      </c>
      <c r="I3" s="81" t="s">
        <v>10</v>
      </c>
      <c r="K3" s="81" t="s">
        <v>54</v>
      </c>
      <c r="L3" s="86" t="s">
        <v>4</v>
      </c>
      <c r="M3" s="84" t="s">
        <v>55</v>
      </c>
    </row>
    <row r="4" ht="15.75" customHeight="1">
      <c r="A4" s="114" t="s">
        <v>90</v>
      </c>
      <c r="B4" s="115">
        <v>1610.0</v>
      </c>
      <c r="C4" s="115" t="s">
        <v>91</v>
      </c>
      <c r="D4" s="116">
        <v>120000.0</v>
      </c>
      <c r="E4" s="93"/>
      <c r="G4" s="95"/>
      <c r="H4" s="95"/>
      <c r="I4" s="97">
        <f>D4</f>
        <v>120000</v>
      </c>
      <c r="K4" s="98" t="s">
        <v>93</v>
      </c>
      <c r="L4" s="58">
        <v>120000.0</v>
      </c>
    </row>
    <row r="5" ht="15.75" customHeight="1">
      <c r="A5" s="114" t="s">
        <v>90</v>
      </c>
      <c r="B5" s="115">
        <v>3300.0</v>
      </c>
      <c r="C5" s="115" t="s">
        <v>94</v>
      </c>
      <c r="D5" s="116">
        <v>650000.0</v>
      </c>
      <c r="E5" s="95"/>
      <c r="F5" s="95"/>
      <c r="G5" s="95"/>
      <c r="H5" s="95"/>
      <c r="I5" s="119">
        <v>650000.0</v>
      </c>
      <c r="L5" s="58">
        <v>650000.0</v>
      </c>
    </row>
    <row r="6" ht="15.75" customHeight="1">
      <c r="A6" s="114" t="s">
        <v>95</v>
      </c>
      <c r="B6" s="121">
        <v>1710.0</v>
      </c>
      <c r="C6" s="121" t="s">
        <v>96</v>
      </c>
      <c r="D6" s="124">
        <v>200000.0</v>
      </c>
      <c r="E6" s="95"/>
      <c r="F6" s="125"/>
      <c r="G6" s="63"/>
      <c r="H6" s="63"/>
      <c r="I6" s="128">
        <f t="shared" ref="I6:I16" si="1">D6</f>
        <v>200000</v>
      </c>
      <c r="K6" s="98" t="s">
        <v>93</v>
      </c>
      <c r="L6" s="124">
        <v>200000.0</v>
      </c>
    </row>
    <row r="7" ht="15.75" customHeight="1">
      <c r="A7" s="114" t="s">
        <v>101</v>
      </c>
      <c r="B7" s="121"/>
      <c r="C7" s="121" t="s">
        <v>102</v>
      </c>
      <c r="D7" s="124">
        <v>90000.0</v>
      </c>
      <c r="E7" s="95"/>
      <c r="F7" s="125"/>
      <c r="G7" s="63"/>
      <c r="H7" s="63"/>
      <c r="I7" s="128">
        <f t="shared" si="1"/>
        <v>90000</v>
      </c>
      <c r="J7" s="132" t="s">
        <v>104</v>
      </c>
      <c r="K7" s="98" t="s">
        <v>93</v>
      </c>
      <c r="L7" s="124">
        <v>90000.0</v>
      </c>
    </row>
    <row r="8" ht="15.75" customHeight="1">
      <c r="A8" s="114" t="s">
        <v>95</v>
      </c>
      <c r="B8" s="121">
        <v>1530.0</v>
      </c>
      <c r="C8" s="121" t="s">
        <v>82</v>
      </c>
      <c r="D8" s="124">
        <v>60000.0</v>
      </c>
      <c r="E8" s="95"/>
      <c r="F8" s="125"/>
      <c r="G8" s="63"/>
      <c r="H8" s="63"/>
      <c r="I8" s="128">
        <f t="shared" si="1"/>
        <v>60000</v>
      </c>
      <c r="K8" s="98" t="s">
        <v>93</v>
      </c>
      <c r="L8" s="124">
        <v>60000.0</v>
      </c>
    </row>
    <row r="9" ht="15.75" customHeight="1">
      <c r="A9" s="114" t="s">
        <v>95</v>
      </c>
      <c r="B9" s="121" t="s">
        <v>105</v>
      </c>
      <c r="C9" s="121" t="s">
        <v>84</v>
      </c>
      <c r="D9" s="124">
        <v>40000.0</v>
      </c>
      <c r="E9" s="95"/>
      <c r="F9" s="125"/>
      <c r="G9" s="63"/>
      <c r="H9" s="63"/>
      <c r="I9" s="128">
        <f t="shared" si="1"/>
        <v>40000</v>
      </c>
      <c r="K9" s="98" t="s">
        <v>93</v>
      </c>
      <c r="L9" s="124">
        <v>40000.0</v>
      </c>
    </row>
    <row r="10" ht="15.75" customHeight="1">
      <c r="A10" s="114" t="s">
        <v>95</v>
      </c>
      <c r="B10" s="121" t="s">
        <v>106</v>
      </c>
      <c r="C10" s="121" t="s">
        <v>107</v>
      </c>
      <c r="D10" s="124">
        <v>10000.0</v>
      </c>
      <c r="E10" s="95"/>
      <c r="F10" s="125"/>
      <c r="G10" s="63"/>
      <c r="H10" s="63"/>
      <c r="I10" s="128">
        <f t="shared" si="1"/>
        <v>10000</v>
      </c>
      <c r="K10" s="98" t="s">
        <v>93</v>
      </c>
      <c r="L10" s="124">
        <v>10000.0</v>
      </c>
    </row>
    <row r="11" ht="15.75" customHeight="1">
      <c r="A11" s="114" t="s">
        <v>95</v>
      </c>
      <c r="B11" s="121" t="s">
        <v>105</v>
      </c>
      <c r="C11" s="121" t="s">
        <v>109</v>
      </c>
      <c r="D11" s="124">
        <v>25000.0</v>
      </c>
      <c r="E11" s="95"/>
      <c r="F11" s="125"/>
      <c r="G11" s="63"/>
      <c r="H11" s="63"/>
      <c r="I11" s="128">
        <f t="shared" si="1"/>
        <v>25000</v>
      </c>
      <c r="K11" s="98" t="s">
        <v>93</v>
      </c>
      <c r="L11" s="124">
        <v>25000.0</v>
      </c>
    </row>
    <row r="12" ht="15.75" customHeight="1">
      <c r="A12" s="114" t="s">
        <v>95</v>
      </c>
      <c r="B12" s="121">
        <v>1710.0</v>
      </c>
      <c r="C12" s="121" t="s">
        <v>112</v>
      </c>
      <c r="D12" s="124">
        <v>35000.0</v>
      </c>
      <c r="E12" s="95"/>
      <c r="F12" s="125"/>
      <c r="G12" s="63"/>
      <c r="H12" s="63"/>
      <c r="I12" s="128">
        <f t="shared" si="1"/>
        <v>35000</v>
      </c>
      <c r="K12" s="98" t="s">
        <v>93</v>
      </c>
      <c r="L12" s="124">
        <v>35000.0</v>
      </c>
    </row>
    <row r="13" ht="15.75" customHeight="1">
      <c r="A13" s="114" t="s">
        <v>95</v>
      </c>
      <c r="B13" s="121">
        <v>1530.0</v>
      </c>
      <c r="C13" s="121" t="s">
        <v>86</v>
      </c>
      <c r="D13" s="124">
        <v>15000.0</v>
      </c>
      <c r="E13" s="95"/>
      <c r="F13" s="125"/>
      <c r="G13" s="63"/>
      <c r="H13" s="63"/>
      <c r="I13" s="128">
        <f t="shared" si="1"/>
        <v>15000</v>
      </c>
      <c r="K13" s="98" t="s">
        <v>93</v>
      </c>
      <c r="L13" s="124">
        <v>15000.0</v>
      </c>
    </row>
    <row r="14" ht="15.75" customHeight="1">
      <c r="A14" s="114" t="s">
        <v>95</v>
      </c>
      <c r="B14" s="121">
        <v>1710.0</v>
      </c>
      <c r="C14" s="121" t="s">
        <v>114</v>
      </c>
      <c r="D14" s="124">
        <v>60000.0</v>
      </c>
      <c r="E14" s="95"/>
      <c r="F14" s="125"/>
      <c r="G14" s="63"/>
      <c r="H14" s="63"/>
      <c r="I14" s="128">
        <f t="shared" si="1"/>
        <v>60000</v>
      </c>
      <c r="K14" s="98" t="s">
        <v>93</v>
      </c>
      <c r="L14" s="124">
        <v>60000.0</v>
      </c>
    </row>
    <row r="15" ht="15.75" customHeight="1">
      <c r="A15" s="114" t="s">
        <v>95</v>
      </c>
      <c r="B15" s="121">
        <v>1530.0</v>
      </c>
      <c r="C15" s="121" t="s">
        <v>116</v>
      </c>
      <c r="D15" s="124">
        <v>70000.0</v>
      </c>
      <c r="E15" s="95"/>
      <c r="F15" s="125"/>
      <c r="G15" s="63"/>
      <c r="H15" s="63"/>
      <c r="I15" s="128">
        <f t="shared" si="1"/>
        <v>70000</v>
      </c>
      <c r="K15" s="98" t="s">
        <v>93</v>
      </c>
      <c r="L15" s="124">
        <v>70000.0</v>
      </c>
      <c r="M15" s="11" t="s">
        <v>117</v>
      </c>
    </row>
    <row r="16" ht="15.75" customHeight="1">
      <c r="A16" s="114" t="s">
        <v>118</v>
      </c>
      <c r="B16" s="121">
        <v>1640.0</v>
      </c>
      <c r="C16" s="121" t="s">
        <v>119</v>
      </c>
      <c r="D16" s="124">
        <v>100000.0</v>
      </c>
      <c r="E16" s="95"/>
      <c r="F16" s="125"/>
      <c r="G16" s="63"/>
      <c r="H16" s="63"/>
      <c r="I16" s="128">
        <f t="shared" si="1"/>
        <v>100000</v>
      </c>
      <c r="K16" s="98" t="s">
        <v>93</v>
      </c>
      <c r="L16" s="124">
        <v>100000.0</v>
      </c>
    </row>
    <row r="17" ht="15.75" customHeight="1">
      <c r="A17" s="114" t="s">
        <v>120</v>
      </c>
      <c r="B17" s="115">
        <v>1610.0</v>
      </c>
      <c r="C17" s="121" t="s">
        <v>122</v>
      </c>
      <c r="D17" s="142">
        <v>1200.0</v>
      </c>
      <c r="E17" s="93"/>
      <c r="F17" s="125"/>
      <c r="G17" s="63"/>
      <c r="H17" s="63"/>
      <c r="I17" s="63"/>
      <c r="K17" s="98" t="s">
        <v>93</v>
      </c>
      <c r="L17" s="14">
        <f t="shared" ref="L17:L32" si="2">D17</f>
        <v>1200</v>
      </c>
    </row>
    <row r="18" ht="15.75" customHeight="1">
      <c r="A18" s="114" t="s">
        <v>120</v>
      </c>
      <c r="B18" s="115">
        <v>1610.0</v>
      </c>
      <c r="C18" s="121" t="s">
        <v>124</v>
      </c>
      <c r="D18" s="142">
        <v>12000.0</v>
      </c>
      <c r="E18" s="93"/>
      <c r="F18" s="125"/>
      <c r="G18" s="63"/>
      <c r="H18" s="63"/>
      <c r="I18" s="63"/>
      <c r="K18" s="98" t="s">
        <v>93</v>
      </c>
      <c r="L18" s="14">
        <f t="shared" si="2"/>
        <v>12000</v>
      </c>
    </row>
    <row r="19" ht="15.75" customHeight="1">
      <c r="A19" s="114" t="s">
        <v>120</v>
      </c>
      <c r="B19" s="115">
        <v>1610.0</v>
      </c>
      <c r="C19" s="121" t="s">
        <v>125</v>
      </c>
      <c r="D19" s="142">
        <v>25000.0</v>
      </c>
      <c r="E19" s="93"/>
      <c r="F19" s="125"/>
      <c r="G19" s="63"/>
      <c r="H19" s="63"/>
      <c r="I19" s="63"/>
      <c r="K19" s="98" t="s">
        <v>93</v>
      </c>
      <c r="L19" s="14">
        <f t="shared" si="2"/>
        <v>25000</v>
      </c>
    </row>
    <row r="20" ht="15.75" customHeight="1">
      <c r="A20" s="114" t="s">
        <v>120</v>
      </c>
      <c r="B20" s="115">
        <v>1610.0</v>
      </c>
      <c r="C20" s="121" t="s">
        <v>126</v>
      </c>
      <c r="D20" s="142">
        <v>6000.0</v>
      </c>
      <c r="E20" s="93"/>
      <c r="F20" s="125"/>
      <c r="G20" s="63"/>
      <c r="H20" s="63"/>
      <c r="I20" s="63"/>
      <c r="K20" s="98" t="s">
        <v>93</v>
      </c>
      <c r="L20" s="14">
        <f t="shared" si="2"/>
        <v>6000</v>
      </c>
    </row>
    <row r="21" ht="15.75" customHeight="1">
      <c r="A21" s="114" t="s">
        <v>120</v>
      </c>
      <c r="B21" s="115">
        <v>1610.0</v>
      </c>
      <c r="C21" s="121" t="s">
        <v>130</v>
      </c>
      <c r="D21" s="142">
        <v>3000.0</v>
      </c>
      <c r="E21" s="95"/>
      <c r="F21" s="125"/>
      <c r="G21" s="63"/>
      <c r="H21" s="63"/>
      <c r="I21" s="63"/>
      <c r="K21" s="98" t="s">
        <v>93</v>
      </c>
      <c r="L21" s="14">
        <f t="shared" si="2"/>
        <v>3000</v>
      </c>
    </row>
    <row r="22" ht="15.75" customHeight="1">
      <c r="A22" s="114" t="s">
        <v>120</v>
      </c>
      <c r="B22" s="115">
        <v>1610.0</v>
      </c>
      <c r="C22" s="121" t="s">
        <v>103</v>
      </c>
      <c r="D22" s="142">
        <v>40000.0</v>
      </c>
      <c r="E22" s="93"/>
      <c r="F22" s="125"/>
      <c r="G22" s="63"/>
      <c r="H22" s="63"/>
      <c r="I22" s="63"/>
      <c r="K22" s="98" t="s">
        <v>93</v>
      </c>
      <c r="L22" s="14">
        <f t="shared" si="2"/>
        <v>40000</v>
      </c>
    </row>
    <row r="23" ht="15.75" customHeight="1">
      <c r="A23" s="114" t="s">
        <v>120</v>
      </c>
      <c r="B23" s="115">
        <v>1610.0</v>
      </c>
      <c r="C23" s="121" t="s">
        <v>131</v>
      </c>
      <c r="D23" s="142">
        <v>40000.0</v>
      </c>
      <c r="E23" s="93"/>
      <c r="F23" s="125"/>
      <c r="G23" s="63"/>
      <c r="H23" s="63"/>
      <c r="I23" s="63"/>
      <c r="K23" s="98" t="s">
        <v>93</v>
      </c>
      <c r="L23" s="14">
        <f t="shared" si="2"/>
        <v>40000</v>
      </c>
    </row>
    <row r="24" ht="15.75" customHeight="1">
      <c r="A24" s="114" t="s">
        <v>120</v>
      </c>
      <c r="B24" s="115">
        <v>1610.0</v>
      </c>
      <c r="C24" s="121" t="s">
        <v>132</v>
      </c>
      <c r="D24" s="142">
        <v>40000.0</v>
      </c>
      <c r="E24" s="93"/>
      <c r="F24" s="125"/>
      <c r="G24" s="63"/>
      <c r="H24" s="63"/>
      <c r="I24" s="63"/>
      <c r="K24" s="98" t="s">
        <v>93</v>
      </c>
      <c r="L24" s="14">
        <f t="shared" si="2"/>
        <v>40000</v>
      </c>
    </row>
    <row r="25" ht="15.75" customHeight="1">
      <c r="A25" s="114" t="s">
        <v>120</v>
      </c>
      <c r="B25" s="115">
        <v>1610.0</v>
      </c>
      <c r="C25" s="121" t="s">
        <v>134</v>
      </c>
      <c r="D25" s="142">
        <v>30000.0</v>
      </c>
      <c r="E25" s="95"/>
      <c r="F25" s="125"/>
      <c r="G25" s="63"/>
      <c r="H25" s="63"/>
      <c r="I25" s="63"/>
      <c r="K25" s="98" t="s">
        <v>93</v>
      </c>
      <c r="L25" s="14">
        <f t="shared" si="2"/>
        <v>30000</v>
      </c>
    </row>
    <row r="26" ht="15.75" customHeight="1">
      <c r="A26" s="114" t="s">
        <v>120</v>
      </c>
      <c r="B26" s="115">
        <v>1610.0</v>
      </c>
      <c r="C26" s="121" t="s">
        <v>113</v>
      </c>
      <c r="D26" s="142">
        <v>5000.0</v>
      </c>
      <c r="E26" s="95"/>
      <c r="F26" s="125"/>
      <c r="G26" s="63"/>
      <c r="H26" s="63"/>
      <c r="I26" s="63"/>
      <c r="K26" s="98" t="s">
        <v>93</v>
      </c>
      <c r="L26" s="14">
        <f t="shared" si="2"/>
        <v>5000</v>
      </c>
    </row>
    <row r="27" ht="15.75" customHeight="1">
      <c r="A27" s="114" t="s">
        <v>120</v>
      </c>
      <c r="B27" s="115">
        <v>1610.0</v>
      </c>
      <c r="C27" s="121" t="s">
        <v>135</v>
      </c>
      <c r="D27" s="142">
        <v>4000.0</v>
      </c>
      <c r="E27" s="95"/>
      <c r="F27" s="125"/>
      <c r="G27" s="63"/>
      <c r="H27" s="63"/>
      <c r="I27" s="63"/>
      <c r="K27" s="98" t="s">
        <v>93</v>
      </c>
      <c r="L27" s="14">
        <f t="shared" si="2"/>
        <v>4000</v>
      </c>
    </row>
    <row r="28" ht="15.75" customHeight="1">
      <c r="A28" s="114" t="s">
        <v>120</v>
      </c>
      <c r="B28" s="115">
        <v>1610.0</v>
      </c>
      <c r="C28" s="121" t="s">
        <v>137</v>
      </c>
      <c r="D28" s="142">
        <v>5000.0</v>
      </c>
      <c r="E28" s="95"/>
      <c r="F28" s="125"/>
      <c r="G28" s="63"/>
      <c r="H28" s="63"/>
      <c r="I28" s="63"/>
      <c r="K28" s="98" t="s">
        <v>93</v>
      </c>
      <c r="L28" s="14">
        <f t="shared" si="2"/>
        <v>5000</v>
      </c>
    </row>
    <row r="29" ht="15.75" customHeight="1">
      <c r="A29" s="114" t="s">
        <v>120</v>
      </c>
      <c r="B29" s="115">
        <v>1610.0</v>
      </c>
      <c r="C29" s="121" t="s">
        <v>139</v>
      </c>
      <c r="D29" s="142">
        <v>5790.0</v>
      </c>
      <c r="E29" s="95"/>
      <c r="F29" s="125"/>
      <c r="G29" s="63"/>
      <c r="H29" s="63"/>
      <c r="I29" s="63"/>
      <c r="K29" s="98" t="s">
        <v>93</v>
      </c>
      <c r="L29" s="14">
        <f t="shared" si="2"/>
        <v>5790</v>
      </c>
    </row>
    <row r="30" ht="15.75" customHeight="1">
      <c r="A30" s="114" t="s">
        <v>120</v>
      </c>
      <c r="B30" s="121">
        <v>3262.0</v>
      </c>
      <c r="C30" s="121" t="s">
        <v>140</v>
      </c>
      <c r="D30" s="142">
        <v>5000.0</v>
      </c>
      <c r="E30" s="95"/>
      <c r="F30" s="125"/>
      <c r="G30" s="63"/>
      <c r="H30" s="63"/>
      <c r="I30" s="63"/>
      <c r="K30" s="98" t="s">
        <v>93</v>
      </c>
      <c r="L30" s="14">
        <f t="shared" si="2"/>
        <v>5000</v>
      </c>
    </row>
    <row r="31" ht="15.75" customHeight="1">
      <c r="A31" s="114" t="s">
        <v>141</v>
      </c>
      <c r="B31" s="121">
        <v>3261.0</v>
      </c>
      <c r="C31" s="121" t="s">
        <v>340</v>
      </c>
      <c r="D31" s="142">
        <v>7000.0</v>
      </c>
      <c r="E31" s="95"/>
      <c r="F31" s="125"/>
      <c r="G31" s="63"/>
      <c r="H31" s="63"/>
      <c r="I31" s="63"/>
      <c r="K31" s="98" t="s">
        <v>93</v>
      </c>
      <c r="L31" s="14">
        <f t="shared" si="2"/>
        <v>7000</v>
      </c>
    </row>
    <row r="32" ht="15.75" customHeight="1">
      <c r="A32" s="114" t="s">
        <v>141</v>
      </c>
      <c r="B32" s="121">
        <v>3262.0</v>
      </c>
      <c r="C32" s="121" t="s">
        <v>341</v>
      </c>
      <c r="D32" s="142">
        <v>7000.0</v>
      </c>
      <c r="E32" s="95"/>
      <c r="F32" s="125"/>
      <c r="G32" s="63"/>
      <c r="H32" s="63"/>
      <c r="I32" s="63"/>
      <c r="K32" s="98" t="s">
        <v>93</v>
      </c>
      <c r="L32" s="14">
        <f t="shared" si="2"/>
        <v>7000</v>
      </c>
    </row>
    <row r="33" ht="15.75" customHeight="1">
      <c r="A33" s="114" t="s">
        <v>143</v>
      </c>
      <c r="B33" s="115"/>
      <c r="C33" s="115" t="s">
        <v>144</v>
      </c>
      <c r="D33" s="116">
        <v>500000.0</v>
      </c>
      <c r="E33" s="93"/>
      <c r="G33" s="95"/>
      <c r="H33" s="95"/>
      <c r="I33" s="119">
        <v>500000.0</v>
      </c>
      <c r="J33" s="11"/>
      <c r="K33" s="98" t="s">
        <v>145</v>
      </c>
      <c r="L33" s="116">
        <v>500000.0</v>
      </c>
    </row>
    <row r="34" ht="15.75" customHeight="1">
      <c r="A34" s="114" t="s">
        <v>147</v>
      </c>
      <c r="B34" s="115"/>
      <c r="C34" s="115" t="s">
        <v>342</v>
      </c>
      <c r="D34" s="116">
        <v>150000.0</v>
      </c>
      <c r="E34" s="93"/>
      <c r="G34" s="95"/>
      <c r="H34" s="95"/>
      <c r="I34" s="97">
        <f t="shared" ref="I34:I44" si="3">D34</f>
        <v>150000</v>
      </c>
      <c r="J34" s="154" t="s">
        <v>151</v>
      </c>
      <c r="K34" s="98" t="s">
        <v>93</v>
      </c>
      <c r="L34" s="116">
        <v>100000.0</v>
      </c>
    </row>
    <row r="35" ht="15.75" customHeight="1">
      <c r="A35" s="114" t="s">
        <v>155</v>
      </c>
      <c r="B35" s="115" t="s">
        <v>156</v>
      </c>
      <c r="C35" s="115" t="s">
        <v>157</v>
      </c>
      <c r="D35" s="116">
        <v>150000.0</v>
      </c>
      <c r="E35" s="93"/>
      <c r="G35" s="95"/>
      <c r="H35" s="95"/>
      <c r="I35" s="97">
        <f t="shared" si="3"/>
        <v>150000</v>
      </c>
      <c r="K35" s="98" t="s">
        <v>93</v>
      </c>
      <c r="L35" s="116">
        <v>100000.0</v>
      </c>
    </row>
    <row r="36" ht="15.75" customHeight="1">
      <c r="A36" s="114" t="s">
        <v>143</v>
      </c>
      <c r="B36" s="115">
        <v>1710.0</v>
      </c>
      <c r="C36" s="115" t="s">
        <v>276</v>
      </c>
      <c r="D36" s="116">
        <v>400000.0</v>
      </c>
      <c r="E36" s="93"/>
      <c r="G36" s="95"/>
      <c r="H36" s="95"/>
      <c r="I36" s="97">
        <f t="shared" si="3"/>
        <v>400000</v>
      </c>
      <c r="K36" s="98" t="s">
        <v>93</v>
      </c>
      <c r="L36" s="116">
        <v>400000.0</v>
      </c>
    </row>
    <row r="37" ht="15.75" customHeight="1">
      <c r="A37" s="114" t="s">
        <v>143</v>
      </c>
      <c r="B37" s="115">
        <v>1710.0</v>
      </c>
      <c r="C37" s="115" t="s">
        <v>27</v>
      </c>
      <c r="D37" s="116">
        <v>50000.0</v>
      </c>
      <c r="E37" s="93"/>
      <c r="G37" s="95"/>
      <c r="H37" s="95"/>
      <c r="I37" s="97">
        <f t="shared" si="3"/>
        <v>50000</v>
      </c>
      <c r="K37" s="98" t="s">
        <v>93</v>
      </c>
      <c r="L37" s="116">
        <v>50000.0</v>
      </c>
    </row>
    <row r="38" ht="15.75" customHeight="1">
      <c r="A38" s="114" t="s">
        <v>164</v>
      </c>
      <c r="B38" s="115">
        <v>1710.0</v>
      </c>
      <c r="C38" s="115" t="s">
        <v>165</v>
      </c>
      <c r="D38" s="116">
        <v>150000.0</v>
      </c>
      <c r="E38" s="95"/>
      <c r="F38" s="95"/>
      <c r="G38" s="95"/>
      <c r="H38" s="95"/>
      <c r="I38" s="97">
        <f t="shared" si="3"/>
        <v>150000</v>
      </c>
      <c r="K38" s="98" t="s">
        <v>93</v>
      </c>
      <c r="L38" s="116">
        <v>150000.0</v>
      </c>
    </row>
    <row r="39" ht="15.75" customHeight="1">
      <c r="A39" s="114" t="s">
        <v>143</v>
      </c>
      <c r="B39" s="115"/>
      <c r="C39" s="115" t="s">
        <v>167</v>
      </c>
      <c r="D39" s="116">
        <v>40000.0</v>
      </c>
      <c r="E39" s="95"/>
      <c r="F39" s="95"/>
      <c r="G39" s="95"/>
      <c r="H39" s="95"/>
      <c r="I39" s="97">
        <f t="shared" si="3"/>
        <v>40000</v>
      </c>
      <c r="K39" s="98" t="s">
        <v>93</v>
      </c>
      <c r="L39" s="116">
        <v>40000.0</v>
      </c>
    </row>
    <row r="40" ht="15.75" customHeight="1">
      <c r="A40" s="114" t="s">
        <v>143</v>
      </c>
      <c r="B40" s="115"/>
      <c r="C40" s="115" t="s">
        <v>168</v>
      </c>
      <c r="D40" s="116">
        <v>50000.0</v>
      </c>
      <c r="E40" s="95"/>
      <c r="F40" s="95"/>
      <c r="G40" s="95"/>
      <c r="H40" s="95"/>
      <c r="I40" s="97">
        <f t="shared" si="3"/>
        <v>50000</v>
      </c>
      <c r="K40" s="98" t="s">
        <v>93</v>
      </c>
      <c r="L40" s="116">
        <v>50000.0</v>
      </c>
    </row>
    <row r="41" ht="15.75" customHeight="1">
      <c r="A41" s="114" t="s">
        <v>143</v>
      </c>
      <c r="B41" s="115"/>
      <c r="C41" s="115" t="s">
        <v>169</v>
      </c>
      <c r="D41" s="116">
        <v>80000.0</v>
      </c>
      <c r="E41" s="95"/>
      <c r="F41" s="95"/>
      <c r="G41" s="95"/>
      <c r="H41" s="95"/>
      <c r="I41" s="97">
        <f t="shared" si="3"/>
        <v>80000</v>
      </c>
      <c r="K41" s="98" t="s">
        <v>93</v>
      </c>
      <c r="L41" s="116">
        <v>80000.0</v>
      </c>
    </row>
    <row r="42" ht="15.75" customHeight="1">
      <c r="A42" s="114" t="s">
        <v>171</v>
      </c>
      <c r="B42" s="115"/>
      <c r="C42" s="115" t="s">
        <v>173</v>
      </c>
      <c r="D42" s="116">
        <v>8500.0</v>
      </c>
      <c r="E42" s="95"/>
      <c r="F42" s="95"/>
      <c r="G42" s="95"/>
      <c r="H42" s="95"/>
      <c r="I42" s="97">
        <f t="shared" si="3"/>
        <v>8500</v>
      </c>
      <c r="K42" s="98" t="s">
        <v>93</v>
      </c>
      <c r="L42" s="116">
        <v>8500.0</v>
      </c>
    </row>
    <row r="43" ht="15.75" customHeight="1">
      <c r="A43" s="114" t="s">
        <v>171</v>
      </c>
      <c r="B43" s="115"/>
      <c r="C43" s="115" t="s">
        <v>174</v>
      </c>
      <c r="D43" s="116">
        <v>14000.0</v>
      </c>
      <c r="E43" s="95"/>
      <c r="F43" s="95"/>
      <c r="G43" s="95"/>
      <c r="H43" s="95"/>
      <c r="I43" s="97">
        <f t="shared" si="3"/>
        <v>14000</v>
      </c>
      <c r="K43" s="98" t="s">
        <v>93</v>
      </c>
      <c r="L43" s="116">
        <v>14000.0</v>
      </c>
    </row>
    <row r="44" ht="15.75" customHeight="1">
      <c r="A44" s="114" t="s">
        <v>171</v>
      </c>
      <c r="B44" s="115"/>
      <c r="C44" s="115" t="s">
        <v>175</v>
      </c>
      <c r="D44" s="116">
        <v>1200.0</v>
      </c>
      <c r="E44" s="95"/>
      <c r="F44" s="95"/>
      <c r="G44" s="95"/>
      <c r="H44" s="95"/>
      <c r="I44" s="97">
        <f t="shared" si="3"/>
        <v>1200</v>
      </c>
      <c r="K44" s="98" t="s">
        <v>93</v>
      </c>
      <c r="L44" s="116">
        <v>1200.0</v>
      </c>
    </row>
    <row r="45" ht="15.75" customHeight="1">
      <c r="A45" s="114" t="s">
        <v>143</v>
      </c>
      <c r="B45" s="115"/>
      <c r="C45" s="115" t="s">
        <v>344</v>
      </c>
      <c r="D45" s="116">
        <v>60000.0</v>
      </c>
      <c r="E45" s="95"/>
      <c r="F45" s="95"/>
      <c r="G45" s="95"/>
      <c r="H45" s="95"/>
      <c r="I45" s="97"/>
      <c r="K45" s="98" t="s">
        <v>93</v>
      </c>
      <c r="L45" s="14">
        <f t="shared" ref="L45:L52" si="4">D45</f>
        <v>60000</v>
      </c>
    </row>
    <row r="46" ht="15.75" customHeight="1">
      <c r="A46" s="114" t="s">
        <v>143</v>
      </c>
      <c r="B46" s="115"/>
      <c r="C46" s="115" t="s">
        <v>176</v>
      </c>
      <c r="D46" s="116">
        <v>18000.0</v>
      </c>
      <c r="E46" s="95"/>
      <c r="F46" s="95"/>
      <c r="G46" s="95"/>
      <c r="H46" s="95"/>
      <c r="I46" s="97"/>
      <c r="K46" s="98" t="s">
        <v>93</v>
      </c>
      <c r="L46" s="14">
        <f t="shared" si="4"/>
        <v>18000</v>
      </c>
    </row>
    <row r="47" ht="15.75" customHeight="1">
      <c r="A47" s="114" t="s">
        <v>143</v>
      </c>
      <c r="B47" s="115"/>
      <c r="C47" s="115" t="s">
        <v>21</v>
      </c>
      <c r="D47" s="116">
        <v>16000.0</v>
      </c>
      <c r="E47" s="95"/>
      <c r="F47" s="95"/>
      <c r="G47" s="95"/>
      <c r="H47" s="95"/>
      <c r="I47" s="97"/>
      <c r="K47" s="98" t="s">
        <v>93</v>
      </c>
      <c r="L47" s="14">
        <f t="shared" si="4"/>
        <v>16000</v>
      </c>
    </row>
    <row r="48" ht="15.75" customHeight="1">
      <c r="A48" s="114" t="s">
        <v>143</v>
      </c>
      <c r="B48" s="121"/>
      <c r="C48" s="121" t="s">
        <v>177</v>
      </c>
      <c r="D48" s="142">
        <v>270000.0</v>
      </c>
      <c r="E48" s="95"/>
      <c r="F48" s="125"/>
      <c r="G48" s="63"/>
      <c r="H48" s="63"/>
      <c r="I48" s="128">
        <f>D48</f>
        <v>270000</v>
      </c>
      <c r="K48" s="98" t="s">
        <v>93</v>
      </c>
      <c r="L48" s="14">
        <f t="shared" si="4"/>
        <v>270000</v>
      </c>
    </row>
    <row r="49" ht="15.75" customHeight="1">
      <c r="A49" s="114" t="s">
        <v>143</v>
      </c>
      <c r="B49" s="115"/>
      <c r="C49" s="115" t="s">
        <v>178</v>
      </c>
      <c r="D49" s="116">
        <v>2000.0</v>
      </c>
      <c r="E49" s="95"/>
      <c r="F49" s="95"/>
      <c r="G49" s="95"/>
      <c r="H49" s="95"/>
      <c r="I49" s="97"/>
      <c r="K49" s="98" t="s">
        <v>93</v>
      </c>
      <c r="L49" s="14">
        <f t="shared" si="4"/>
        <v>2000</v>
      </c>
      <c r="M49" s="11" t="s">
        <v>179</v>
      </c>
    </row>
    <row r="50" ht="15.75" customHeight="1">
      <c r="A50" s="114" t="s">
        <v>143</v>
      </c>
      <c r="B50" s="115"/>
      <c r="C50" s="115" t="s">
        <v>182</v>
      </c>
      <c r="D50" s="116">
        <v>25000.0</v>
      </c>
      <c r="E50" s="95"/>
      <c r="F50" s="95"/>
      <c r="G50" s="95"/>
      <c r="H50" s="95"/>
      <c r="I50" s="97"/>
      <c r="K50" s="98" t="s">
        <v>93</v>
      </c>
      <c r="L50" s="14">
        <f t="shared" si="4"/>
        <v>25000</v>
      </c>
    </row>
    <row r="51" ht="15.75" customHeight="1">
      <c r="A51" s="114" t="s">
        <v>143</v>
      </c>
      <c r="B51" s="155"/>
      <c r="C51" s="155" t="s">
        <v>62</v>
      </c>
      <c r="D51" s="156">
        <v>123000.0</v>
      </c>
      <c r="E51" s="157"/>
      <c r="F51" s="159"/>
      <c r="G51" s="159"/>
      <c r="H51" s="159"/>
      <c r="I51" s="159"/>
      <c r="J51" s="160"/>
      <c r="K51" s="161" t="s">
        <v>93</v>
      </c>
      <c r="L51" s="104">
        <f t="shared" si="4"/>
        <v>123000</v>
      </c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  <c r="AA51" s="160"/>
    </row>
    <row r="52" ht="15.75" customHeight="1">
      <c r="A52" s="114" t="s">
        <v>143</v>
      </c>
      <c r="B52" s="155"/>
      <c r="C52" s="155" t="s">
        <v>188</v>
      </c>
      <c r="D52" s="156">
        <v>100000.0</v>
      </c>
      <c r="E52" s="159"/>
      <c r="F52" s="159"/>
      <c r="G52" s="159"/>
      <c r="H52" s="159"/>
      <c r="I52" s="159"/>
      <c r="J52" s="160"/>
      <c r="K52" s="161" t="s">
        <v>93</v>
      </c>
      <c r="L52" s="104">
        <f t="shared" si="4"/>
        <v>100000</v>
      </c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  <c r="AA52" s="160"/>
    </row>
    <row r="53" ht="15.75" customHeight="1">
      <c r="A53" s="114" t="s">
        <v>143</v>
      </c>
      <c r="B53" s="164"/>
      <c r="C53" s="164" t="s">
        <v>191</v>
      </c>
      <c r="D53" s="165">
        <v>300000.0</v>
      </c>
      <c r="E53" s="93" t="s">
        <v>192</v>
      </c>
      <c r="F53" s="93" t="s">
        <v>194</v>
      </c>
      <c r="G53" s="95"/>
      <c r="H53" s="95"/>
      <c r="I53" s="119"/>
      <c r="K53" s="98" t="s">
        <v>93</v>
      </c>
      <c r="L53" s="58">
        <v>300000.0</v>
      </c>
    </row>
    <row r="54" ht="15.75" customHeight="1">
      <c r="A54" s="114" t="s">
        <v>143</v>
      </c>
      <c r="B54" s="164"/>
      <c r="C54" s="164" t="s">
        <v>196</v>
      </c>
      <c r="D54" s="165">
        <v>40000.0</v>
      </c>
      <c r="E54" s="93" t="s">
        <v>197</v>
      </c>
      <c r="F54" s="165">
        <v>162168.05</v>
      </c>
      <c r="G54" s="95"/>
      <c r="H54" s="95"/>
      <c r="I54" s="119" t="s">
        <v>198</v>
      </c>
      <c r="L54" s="14"/>
    </row>
    <row r="55" ht="15.75" customHeight="1">
      <c r="A55" s="114" t="s">
        <v>143</v>
      </c>
      <c r="B55" s="164"/>
      <c r="C55" s="164" t="s">
        <v>75</v>
      </c>
      <c r="D55" s="11">
        <v>0.0</v>
      </c>
      <c r="E55" s="93"/>
      <c r="F55" s="116">
        <v>242400.0</v>
      </c>
      <c r="G55" s="95"/>
      <c r="H55" s="95"/>
      <c r="I55" s="97"/>
      <c r="K55" s="11" t="s">
        <v>199</v>
      </c>
      <c r="L55" s="14"/>
    </row>
    <row r="56" ht="15.75" customHeight="1">
      <c r="A56" s="114" t="s">
        <v>143</v>
      </c>
      <c r="B56" s="164"/>
      <c r="C56" s="164" t="s">
        <v>290</v>
      </c>
      <c r="D56" s="11">
        <v>0.0</v>
      </c>
      <c r="E56" s="95"/>
      <c r="F56" s="116">
        <v>34233.74</v>
      </c>
      <c r="G56" s="95"/>
      <c r="H56" s="95"/>
      <c r="I56" s="97"/>
      <c r="L56" s="14"/>
    </row>
    <row r="57" ht="15.75" customHeight="1">
      <c r="A57" s="114" t="s">
        <v>143</v>
      </c>
      <c r="B57" s="115"/>
      <c r="C57" s="115" t="s">
        <v>203</v>
      </c>
      <c r="D57" s="116">
        <v>12000.0</v>
      </c>
      <c r="E57" s="93"/>
      <c r="F57" s="95"/>
      <c r="G57" s="95"/>
      <c r="H57" s="95"/>
      <c r="I57" s="97"/>
      <c r="K57" s="98" t="s">
        <v>93</v>
      </c>
      <c r="L57" s="58">
        <f t="shared" ref="L57:L63" si="5">D57</f>
        <v>12000</v>
      </c>
    </row>
    <row r="58" ht="15.75" customHeight="1">
      <c r="A58" s="114" t="s">
        <v>143</v>
      </c>
      <c r="B58" s="115"/>
      <c r="C58" s="115" t="s">
        <v>206</v>
      </c>
      <c r="D58" s="116">
        <v>1100.0</v>
      </c>
      <c r="E58" s="95"/>
      <c r="F58" s="95"/>
      <c r="G58" s="95"/>
      <c r="H58" s="95"/>
      <c r="I58" s="97"/>
      <c r="K58" s="98" t="s">
        <v>93</v>
      </c>
      <c r="L58" s="58">
        <f t="shared" si="5"/>
        <v>1100</v>
      </c>
    </row>
    <row r="59" ht="15.75" customHeight="1">
      <c r="A59" s="114" t="s">
        <v>143</v>
      </c>
      <c r="B59" s="115"/>
      <c r="C59" s="115" t="s">
        <v>207</v>
      </c>
      <c r="D59" s="116">
        <v>1740.0</v>
      </c>
      <c r="E59" s="95"/>
      <c r="F59" s="95"/>
      <c r="G59" s="95"/>
      <c r="H59" s="95"/>
      <c r="I59" s="97"/>
      <c r="K59" s="98" t="s">
        <v>93</v>
      </c>
      <c r="L59" s="58">
        <f t="shared" si="5"/>
        <v>1740</v>
      </c>
    </row>
    <row r="60" ht="15.75" customHeight="1">
      <c r="A60" s="114" t="s">
        <v>143</v>
      </c>
      <c r="B60" s="115"/>
      <c r="C60" s="115" t="s">
        <v>33</v>
      </c>
      <c r="D60" s="116">
        <v>840.0</v>
      </c>
      <c r="E60" s="95"/>
      <c r="F60" s="95"/>
      <c r="G60" s="95"/>
      <c r="H60" s="95"/>
      <c r="I60" s="97"/>
      <c r="K60" s="98" t="s">
        <v>93</v>
      </c>
      <c r="L60" s="58">
        <f t="shared" si="5"/>
        <v>840</v>
      </c>
    </row>
    <row r="61" ht="15.75" customHeight="1">
      <c r="A61" s="114" t="s">
        <v>143</v>
      </c>
      <c r="B61" s="115"/>
      <c r="C61" s="115" t="s">
        <v>34</v>
      </c>
      <c r="D61" s="116">
        <v>5000.0</v>
      </c>
      <c r="E61" s="95"/>
      <c r="F61" s="95"/>
      <c r="G61" s="95"/>
      <c r="H61" s="95"/>
      <c r="I61" s="97"/>
      <c r="K61" s="98" t="s">
        <v>93</v>
      </c>
      <c r="L61" s="58">
        <f t="shared" si="5"/>
        <v>5000</v>
      </c>
    </row>
    <row r="62" ht="15.75" customHeight="1">
      <c r="A62" s="114" t="s">
        <v>143</v>
      </c>
      <c r="B62" s="115"/>
      <c r="C62" s="115" t="s">
        <v>35</v>
      </c>
      <c r="D62" s="116">
        <v>3500.0</v>
      </c>
      <c r="E62" s="95"/>
      <c r="F62" s="95"/>
      <c r="G62" s="95"/>
      <c r="H62" s="95"/>
      <c r="I62" s="97"/>
      <c r="K62" s="98" t="s">
        <v>93</v>
      </c>
      <c r="L62" s="58">
        <f t="shared" si="5"/>
        <v>3500</v>
      </c>
    </row>
    <row r="63" ht="15.75" customHeight="1">
      <c r="A63" s="114" t="s">
        <v>143</v>
      </c>
      <c r="B63" s="115"/>
      <c r="C63" s="115" t="s">
        <v>210</v>
      </c>
      <c r="D63" s="116">
        <v>25000.0</v>
      </c>
      <c r="E63" s="95"/>
      <c r="F63" s="95"/>
      <c r="G63" s="95"/>
      <c r="H63" s="95"/>
      <c r="I63" s="97"/>
      <c r="K63" s="98" t="s">
        <v>93</v>
      </c>
      <c r="L63" s="58">
        <f t="shared" si="5"/>
        <v>25000</v>
      </c>
    </row>
    <row r="64" ht="15.75" customHeight="1">
      <c r="A64" s="114" t="s">
        <v>171</v>
      </c>
      <c r="B64" s="115"/>
      <c r="C64" s="115" t="s">
        <v>212</v>
      </c>
      <c r="D64" s="116">
        <v>14000.0</v>
      </c>
      <c r="E64" s="93"/>
      <c r="G64" s="95"/>
      <c r="H64" s="95"/>
      <c r="I64" s="97">
        <f t="shared" ref="I64:I78" si="6">D64</f>
        <v>14000</v>
      </c>
      <c r="K64" s="98" t="s">
        <v>93</v>
      </c>
      <c r="L64" s="116">
        <v>14000.0</v>
      </c>
    </row>
    <row r="65" ht="15.75" customHeight="1">
      <c r="A65" s="114" t="s">
        <v>171</v>
      </c>
      <c r="B65" s="115"/>
      <c r="C65" s="115" t="s">
        <v>215</v>
      </c>
      <c r="D65" s="116">
        <v>9000.0</v>
      </c>
      <c r="E65" s="93"/>
      <c r="G65" s="95"/>
      <c r="H65" s="95"/>
      <c r="I65" s="97">
        <f t="shared" si="6"/>
        <v>9000</v>
      </c>
      <c r="K65" s="98" t="s">
        <v>93</v>
      </c>
      <c r="L65" s="116">
        <v>9000.0</v>
      </c>
    </row>
    <row r="66" ht="15.75" customHeight="1">
      <c r="A66" s="114" t="s">
        <v>171</v>
      </c>
      <c r="B66" s="115"/>
      <c r="C66" s="115" t="s">
        <v>216</v>
      </c>
      <c r="D66" s="116">
        <v>15000.0</v>
      </c>
      <c r="E66" s="93"/>
      <c r="G66" s="95"/>
      <c r="H66" s="95"/>
      <c r="I66" s="97">
        <f t="shared" si="6"/>
        <v>15000</v>
      </c>
      <c r="K66" s="98" t="s">
        <v>93</v>
      </c>
      <c r="L66" s="116">
        <v>15000.0</v>
      </c>
    </row>
    <row r="67" ht="15.75" customHeight="1">
      <c r="A67" s="114" t="s">
        <v>171</v>
      </c>
      <c r="B67" s="115"/>
      <c r="C67" s="115" t="s">
        <v>218</v>
      </c>
      <c r="D67" s="116">
        <v>24000.0</v>
      </c>
      <c r="E67" s="95"/>
      <c r="F67" s="95"/>
      <c r="G67" s="95"/>
      <c r="H67" s="95"/>
      <c r="I67" s="97">
        <f t="shared" si="6"/>
        <v>24000</v>
      </c>
      <c r="K67" s="98" t="s">
        <v>93</v>
      </c>
      <c r="L67" s="116">
        <v>24000.0</v>
      </c>
    </row>
    <row r="68" ht="15.75" customHeight="1">
      <c r="A68" s="114" t="s">
        <v>171</v>
      </c>
      <c r="B68" s="115"/>
      <c r="C68" s="115" t="s">
        <v>219</v>
      </c>
      <c r="D68" s="116">
        <v>12000.0</v>
      </c>
      <c r="E68" s="95"/>
      <c r="F68" s="95"/>
      <c r="G68" s="95"/>
      <c r="H68" s="95"/>
      <c r="I68" s="97">
        <f t="shared" si="6"/>
        <v>12000</v>
      </c>
      <c r="K68" s="98" t="s">
        <v>93</v>
      </c>
      <c r="L68" s="116">
        <v>12000.0</v>
      </c>
    </row>
    <row r="69" ht="15.75" customHeight="1">
      <c r="A69" s="114" t="s">
        <v>220</v>
      </c>
      <c r="B69" s="115"/>
      <c r="C69" s="115" t="s">
        <v>221</v>
      </c>
      <c r="D69" s="116">
        <v>700000.0</v>
      </c>
      <c r="E69" s="95"/>
      <c r="F69" s="95"/>
      <c r="G69" s="95"/>
      <c r="H69" s="95"/>
      <c r="I69" s="97">
        <f t="shared" si="6"/>
        <v>700000</v>
      </c>
      <c r="K69" s="98" t="s">
        <v>93</v>
      </c>
      <c r="L69" s="116">
        <v>700000.0</v>
      </c>
    </row>
    <row r="70" ht="15.75" customHeight="1">
      <c r="A70" s="114" t="s">
        <v>171</v>
      </c>
      <c r="B70" s="115"/>
      <c r="C70" s="115" t="s">
        <v>222</v>
      </c>
      <c r="D70" s="116">
        <v>4000.0</v>
      </c>
      <c r="E70" s="95"/>
      <c r="F70" s="95"/>
      <c r="G70" s="95"/>
      <c r="H70" s="95"/>
      <c r="I70" s="97">
        <f t="shared" si="6"/>
        <v>4000</v>
      </c>
      <c r="K70" s="98" t="s">
        <v>93</v>
      </c>
      <c r="L70" s="116">
        <f>I70</f>
        <v>4000</v>
      </c>
    </row>
    <row r="71" ht="15.75" customHeight="1">
      <c r="A71" s="114" t="s">
        <v>171</v>
      </c>
      <c r="B71" s="115"/>
      <c r="C71" s="115" t="s">
        <v>223</v>
      </c>
      <c r="D71" s="116">
        <v>5000.0</v>
      </c>
      <c r="E71" s="95"/>
      <c r="F71" s="95"/>
      <c r="G71" s="95"/>
      <c r="H71" s="95"/>
      <c r="I71" s="97">
        <f t="shared" si="6"/>
        <v>5000</v>
      </c>
      <c r="K71" s="167" t="s">
        <v>226</v>
      </c>
      <c r="L71" s="116"/>
      <c r="M71" s="11" t="s">
        <v>227</v>
      </c>
    </row>
    <row r="72" ht="15.75" customHeight="1">
      <c r="A72" s="114" t="s">
        <v>143</v>
      </c>
      <c r="B72" s="164"/>
      <c r="C72" s="164" t="s">
        <v>307</v>
      </c>
      <c r="D72" s="165">
        <v>600000.0</v>
      </c>
      <c r="E72" s="165">
        <v>1189536.08</v>
      </c>
      <c r="F72" s="168"/>
      <c r="G72" s="168"/>
      <c r="H72" s="168"/>
      <c r="I72" s="169">
        <f t="shared" si="6"/>
        <v>600000</v>
      </c>
      <c r="K72" s="170" t="s">
        <v>199</v>
      </c>
      <c r="L72" s="116">
        <v>600000.0</v>
      </c>
      <c r="M72" s="11" t="s">
        <v>230</v>
      </c>
    </row>
    <row r="73" ht="15.75" customHeight="1">
      <c r="A73" s="114" t="s">
        <v>143</v>
      </c>
      <c r="B73" s="115"/>
      <c r="C73" s="115" t="s">
        <v>231</v>
      </c>
      <c r="D73" s="116">
        <v>65000.0</v>
      </c>
      <c r="E73" s="95"/>
      <c r="F73" s="95"/>
      <c r="G73" s="95"/>
      <c r="H73" s="95"/>
      <c r="I73" s="97">
        <f t="shared" si="6"/>
        <v>65000</v>
      </c>
      <c r="K73" s="98" t="s">
        <v>93</v>
      </c>
      <c r="L73" s="116">
        <v>65000.0</v>
      </c>
    </row>
    <row r="74" ht="15.75" customHeight="1">
      <c r="A74" s="114" t="s">
        <v>143</v>
      </c>
      <c r="B74" s="115"/>
      <c r="C74" s="115" t="s">
        <v>308</v>
      </c>
      <c r="D74" s="116">
        <v>295043.18</v>
      </c>
      <c r="E74" s="95"/>
      <c r="F74" s="95"/>
      <c r="G74" s="95"/>
      <c r="H74" s="95"/>
      <c r="I74" s="97">
        <f t="shared" si="6"/>
        <v>295043.18</v>
      </c>
      <c r="K74" s="98" t="s">
        <v>93</v>
      </c>
      <c r="L74" s="116">
        <v>295043.18</v>
      </c>
    </row>
    <row r="75" ht="15.75" customHeight="1">
      <c r="A75" s="114" t="s">
        <v>143</v>
      </c>
      <c r="B75" s="115"/>
      <c r="C75" s="115" t="s">
        <v>233</v>
      </c>
      <c r="D75" s="116">
        <v>120000.0</v>
      </c>
      <c r="E75" s="95"/>
      <c r="F75" s="95"/>
      <c r="G75" s="95"/>
      <c r="H75" s="95"/>
      <c r="I75" s="97">
        <f t="shared" si="6"/>
        <v>120000</v>
      </c>
      <c r="K75" s="98" t="s">
        <v>93</v>
      </c>
      <c r="L75" s="116">
        <v>120000.0</v>
      </c>
    </row>
    <row r="76" ht="15.75" customHeight="1">
      <c r="A76" s="114" t="s">
        <v>143</v>
      </c>
      <c r="B76" s="115"/>
      <c r="C76" s="115" t="s">
        <v>236</v>
      </c>
      <c r="D76" s="116">
        <v>25000.0</v>
      </c>
      <c r="E76" s="95"/>
      <c r="F76" s="95"/>
      <c r="G76" s="95"/>
      <c r="H76" s="95"/>
      <c r="I76" s="97">
        <f t="shared" si="6"/>
        <v>25000</v>
      </c>
      <c r="K76" s="98" t="s">
        <v>93</v>
      </c>
      <c r="L76" s="116">
        <v>25000.0</v>
      </c>
    </row>
    <row r="77" ht="15.75" customHeight="1">
      <c r="A77" s="114" t="s">
        <v>143</v>
      </c>
      <c r="B77" s="115"/>
      <c r="C77" s="115" t="s">
        <v>237</v>
      </c>
      <c r="D77" s="116">
        <v>42000.0</v>
      </c>
      <c r="E77" s="95"/>
      <c r="F77" s="95"/>
      <c r="G77" s="95"/>
      <c r="H77" s="95"/>
      <c r="I77" s="97">
        <f t="shared" si="6"/>
        <v>42000</v>
      </c>
      <c r="K77" s="98" t="s">
        <v>93</v>
      </c>
      <c r="L77" s="116">
        <v>42000.0</v>
      </c>
    </row>
    <row r="78" ht="15.75" customHeight="1">
      <c r="A78" s="114" t="s">
        <v>143</v>
      </c>
      <c r="B78" s="115"/>
      <c r="C78" s="115" t="s">
        <v>238</v>
      </c>
      <c r="D78" s="116">
        <v>31000.0</v>
      </c>
      <c r="E78" s="95"/>
      <c r="F78" s="95"/>
      <c r="G78" s="95"/>
      <c r="H78" s="95"/>
      <c r="I78" s="97">
        <f t="shared" si="6"/>
        <v>31000</v>
      </c>
      <c r="K78" s="98" t="s">
        <v>93</v>
      </c>
      <c r="L78" s="116">
        <v>31000.0</v>
      </c>
    </row>
    <row r="79" ht="15.75" customHeight="1">
      <c r="A79" s="171"/>
      <c r="B79" s="63"/>
      <c r="C79" s="63"/>
      <c r="D79" s="128"/>
      <c r="F79" s="97"/>
      <c r="G79" s="97"/>
      <c r="H79" s="97"/>
      <c r="I79" s="97"/>
      <c r="L79" s="14"/>
    </row>
    <row r="80" ht="15.75" customHeight="1">
      <c r="A80" s="171"/>
      <c r="B80" s="63"/>
      <c r="C80" s="63"/>
      <c r="D80" s="128"/>
      <c r="F80" s="97"/>
      <c r="G80" s="97"/>
      <c r="H80" s="97"/>
      <c r="I80" s="97"/>
      <c r="L80" s="14"/>
    </row>
  </sheetData>
  <mergeCells count="1">
    <mergeCell ref="C1:H1"/>
  </mergeCells>
  <hyperlinks>
    <hyperlink r:id="rId1" ref="J34"/>
  </hyperlinks>
  <printOptions/>
  <pageMargins bottom="0.75" footer="0.0" header="0.0" left="0.7" right="0.7" top="0.75"/>
  <pageSetup orientation="landscape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.86"/>
    <col customWidth="1" min="2" max="2" width="60.57"/>
    <col customWidth="1" min="3" max="4" width="13.71"/>
    <col customWidth="1" min="5" max="6" width="2.29"/>
    <col customWidth="1" min="7" max="7" width="0.86"/>
    <col customWidth="1" min="8" max="8" width="13.71"/>
    <col customWidth="1" min="9" max="9" width="1.86"/>
    <col customWidth="1" min="10" max="10" width="12.57"/>
    <col customWidth="1" min="11" max="12" width="12.0"/>
    <col customWidth="1" min="13" max="13" width="12.86"/>
    <col customWidth="1" min="14" max="14" width="20.71"/>
    <col customWidth="1" min="15" max="27" width="10.0"/>
  </cols>
  <sheetData>
    <row r="1" ht="15.75" customHeight="1">
      <c r="A1" s="48"/>
      <c r="B1" s="53" t="s">
        <v>0</v>
      </c>
      <c r="C1" s="4"/>
      <c r="D1" s="4"/>
      <c r="E1" s="4"/>
      <c r="F1" s="4"/>
      <c r="G1" s="5"/>
      <c r="H1" s="56"/>
      <c r="K1" s="58"/>
      <c r="L1" s="58" t="s">
        <v>42</v>
      </c>
      <c r="M1" s="11" t="s">
        <v>44</v>
      </c>
      <c r="N1" s="11" t="s">
        <v>45</v>
      </c>
      <c r="O1" s="11" t="s">
        <v>47</v>
      </c>
    </row>
    <row r="2" ht="39.0" customHeight="1">
      <c r="A2" s="48"/>
      <c r="B2" s="63"/>
      <c r="C2" s="65"/>
      <c r="D2" s="66"/>
      <c r="E2" s="66"/>
      <c r="F2" s="66"/>
      <c r="G2" s="66"/>
      <c r="H2" s="56"/>
      <c r="K2" s="58"/>
      <c r="L2" s="58">
        <f>IFERROR(__xludf.DUMMYFUNCTION("IMPORTRANGE(""https://docs.google.com/spreadsheets/d/1QHciYMvliATvWbE-ZiCODSi4C7HCgtLrWiSYo1XuIdk"", ""2024!diff_ingreso_gasto"")"),188138.43999999762)</f>
        <v>188138.44</v>
      </c>
      <c r="M2" s="11">
        <v>4000000.0</v>
      </c>
      <c r="N2" s="14">
        <f>(L2+M2)-O2</f>
        <v>-1436174.74</v>
      </c>
      <c r="O2" s="14">
        <f>L8+L28+L107+L168+L177+L190+L5+L31</f>
        <v>5624313.18</v>
      </c>
    </row>
    <row r="3" ht="23.25" customHeight="1">
      <c r="A3" s="76" t="s">
        <v>2</v>
      </c>
      <c r="B3" s="78" t="s">
        <v>3</v>
      </c>
      <c r="C3" s="80" t="s">
        <v>4</v>
      </c>
      <c r="D3" s="81" t="s">
        <v>1</v>
      </c>
      <c r="E3" s="81" t="s">
        <v>5</v>
      </c>
      <c r="F3" s="81" t="s">
        <v>6</v>
      </c>
      <c r="G3" s="81" t="s">
        <v>9</v>
      </c>
      <c r="H3" s="81" t="s">
        <v>10</v>
      </c>
      <c r="J3" s="81" t="s">
        <v>54</v>
      </c>
      <c r="K3" s="86"/>
      <c r="L3" s="86" t="s">
        <v>4</v>
      </c>
      <c r="M3" s="84" t="s">
        <v>55</v>
      </c>
    </row>
    <row r="4" ht="15.75" customHeight="1">
      <c r="A4" s="114" t="s">
        <v>345</v>
      </c>
      <c r="B4" s="238" t="s">
        <v>346</v>
      </c>
      <c r="C4" s="128"/>
      <c r="D4" s="95"/>
      <c r="E4" s="125"/>
      <c r="F4" s="63"/>
      <c r="G4" s="63"/>
      <c r="H4" s="63"/>
      <c r="K4" s="14"/>
      <c r="L4" s="14"/>
    </row>
    <row r="5" ht="15.75" customHeight="1">
      <c r="A5" s="114" t="s">
        <v>347</v>
      </c>
      <c r="B5" s="239" t="s">
        <v>348</v>
      </c>
      <c r="C5" s="240">
        <f>SUM(C6)</f>
        <v>1500000</v>
      </c>
      <c r="D5" s="95"/>
      <c r="E5" s="95"/>
      <c r="F5" s="95"/>
      <c r="G5" s="95"/>
      <c r="H5" s="241">
        <f>SUM(H6)</f>
        <v>1500000</v>
      </c>
      <c r="J5" s="170" t="s">
        <v>199</v>
      </c>
      <c r="K5" s="242"/>
      <c r="L5" s="242">
        <f>SUM(L6)</f>
        <v>120000</v>
      </c>
      <c r="M5" s="11" t="s">
        <v>349</v>
      </c>
    </row>
    <row r="6" ht="15.75" customHeight="1">
      <c r="A6" s="243"/>
      <c r="B6" s="115" t="s">
        <v>91</v>
      </c>
      <c r="C6" s="116">
        <v>1500000.0</v>
      </c>
      <c r="D6" s="93"/>
      <c r="F6" s="95"/>
      <c r="G6" s="95"/>
      <c r="H6" s="97">
        <f>C6</f>
        <v>1500000</v>
      </c>
      <c r="J6" s="98" t="s">
        <v>93</v>
      </c>
      <c r="K6" s="58" t="s">
        <v>350</v>
      </c>
      <c r="L6" s="58">
        <v>120000.0</v>
      </c>
    </row>
    <row r="7" ht="15.75" customHeight="1">
      <c r="A7" s="243"/>
      <c r="B7" s="115"/>
      <c r="C7" s="116"/>
      <c r="D7" s="95"/>
      <c r="E7" s="95"/>
      <c r="F7" s="95"/>
      <c r="G7" s="95"/>
      <c r="H7" s="97"/>
      <c r="K7" s="14"/>
      <c r="L7" s="14"/>
    </row>
    <row r="8" ht="15.75" customHeight="1">
      <c r="A8" s="114"/>
      <c r="B8" s="238" t="s">
        <v>352</v>
      </c>
      <c r="C8" s="240">
        <f>SUM(C9:C24)</f>
        <v>1175000</v>
      </c>
      <c r="D8" s="95"/>
      <c r="E8" s="125"/>
      <c r="F8" s="63"/>
      <c r="G8" s="63"/>
      <c r="H8" s="244">
        <f>SUM(H9:H24)</f>
        <v>1175000</v>
      </c>
      <c r="K8" s="242"/>
      <c r="L8" s="242">
        <f>SUM(L9:L24)</f>
        <v>705000</v>
      </c>
    </row>
    <row r="9" ht="15.75" customHeight="1">
      <c r="A9" s="114"/>
      <c r="B9" s="121" t="s">
        <v>96</v>
      </c>
      <c r="C9" s="124">
        <v>200000.0</v>
      </c>
      <c r="D9" s="95"/>
      <c r="E9" s="125"/>
      <c r="F9" s="63"/>
      <c r="G9" s="63"/>
      <c r="H9" s="128">
        <f t="shared" ref="H9:H24" si="1">C9</f>
        <v>200000</v>
      </c>
      <c r="J9" s="98" t="s">
        <v>93</v>
      </c>
      <c r="K9" s="124" t="s">
        <v>350</v>
      </c>
      <c r="L9" s="124">
        <v>200000.0</v>
      </c>
    </row>
    <row r="10" ht="15.75" customHeight="1">
      <c r="A10" s="114"/>
      <c r="B10" s="121" t="s">
        <v>353</v>
      </c>
      <c r="C10" s="124">
        <v>130000.0</v>
      </c>
      <c r="D10" s="95"/>
      <c r="E10" s="125"/>
      <c r="F10" s="63"/>
      <c r="G10" s="63"/>
      <c r="H10" s="128">
        <f t="shared" si="1"/>
        <v>130000</v>
      </c>
      <c r="J10" s="245" t="s">
        <v>226</v>
      </c>
      <c r="K10" s="124"/>
      <c r="L10" s="124"/>
      <c r="M10" s="11" t="s">
        <v>354</v>
      </c>
    </row>
    <row r="11" ht="15.75" customHeight="1">
      <c r="A11" s="114"/>
      <c r="B11" s="121" t="s">
        <v>102</v>
      </c>
      <c r="C11" s="124">
        <v>90000.0</v>
      </c>
      <c r="D11" s="95"/>
      <c r="E11" s="125"/>
      <c r="F11" s="63"/>
      <c r="G11" s="63"/>
      <c r="H11" s="128">
        <f t="shared" si="1"/>
        <v>90000</v>
      </c>
      <c r="I11" s="132" t="s">
        <v>104</v>
      </c>
      <c r="J11" s="98" t="s">
        <v>93</v>
      </c>
      <c r="K11" s="124" t="s">
        <v>350</v>
      </c>
      <c r="L11" s="124">
        <v>90000.0</v>
      </c>
    </row>
    <row r="12" ht="15.75" customHeight="1">
      <c r="A12" s="114"/>
      <c r="B12" s="121" t="s">
        <v>357</v>
      </c>
      <c r="C12" s="124">
        <v>150000.0</v>
      </c>
      <c r="D12" s="95"/>
      <c r="E12" s="125"/>
      <c r="F12" s="63"/>
      <c r="G12" s="63"/>
      <c r="H12" s="128">
        <f t="shared" si="1"/>
        <v>150000</v>
      </c>
      <c r="J12" s="245" t="s">
        <v>226</v>
      </c>
      <c r="K12" s="14"/>
      <c r="L12" s="14"/>
      <c r="M12" s="11" t="s">
        <v>358</v>
      </c>
    </row>
    <row r="13" ht="15.75" customHeight="1">
      <c r="A13" s="114"/>
      <c r="B13" s="121" t="s">
        <v>82</v>
      </c>
      <c r="C13" s="124">
        <v>60000.0</v>
      </c>
      <c r="D13" s="95"/>
      <c r="E13" s="125"/>
      <c r="F13" s="63"/>
      <c r="G13" s="63"/>
      <c r="H13" s="128">
        <f t="shared" si="1"/>
        <v>60000</v>
      </c>
      <c r="J13" s="98" t="s">
        <v>93</v>
      </c>
      <c r="K13" s="124" t="s">
        <v>350</v>
      </c>
      <c r="L13" s="124">
        <v>60000.0</v>
      </c>
    </row>
    <row r="14" ht="15.75" customHeight="1">
      <c r="A14" s="114"/>
      <c r="B14" s="121" t="s">
        <v>84</v>
      </c>
      <c r="C14" s="124">
        <v>40000.0</v>
      </c>
      <c r="D14" s="95"/>
      <c r="E14" s="125"/>
      <c r="F14" s="63"/>
      <c r="G14" s="63"/>
      <c r="H14" s="128">
        <f t="shared" si="1"/>
        <v>40000</v>
      </c>
      <c r="J14" s="98" t="s">
        <v>93</v>
      </c>
      <c r="K14" s="124" t="s">
        <v>350</v>
      </c>
      <c r="L14" s="124">
        <v>40000.0</v>
      </c>
    </row>
    <row r="15" ht="15.75" customHeight="1">
      <c r="A15" s="114"/>
      <c r="B15" s="121" t="s">
        <v>107</v>
      </c>
      <c r="C15" s="124">
        <v>10000.0</v>
      </c>
      <c r="D15" s="95"/>
      <c r="E15" s="125"/>
      <c r="F15" s="63"/>
      <c r="G15" s="63"/>
      <c r="H15" s="128">
        <f t="shared" si="1"/>
        <v>10000</v>
      </c>
      <c r="J15" s="98" t="s">
        <v>93</v>
      </c>
      <c r="K15" s="124" t="s">
        <v>350</v>
      </c>
      <c r="L15" s="124">
        <v>10000.0</v>
      </c>
    </row>
    <row r="16" ht="15.75" customHeight="1">
      <c r="A16" s="114"/>
      <c r="B16" s="121" t="s">
        <v>360</v>
      </c>
      <c r="C16" s="124">
        <v>85000.0</v>
      </c>
      <c r="D16" s="95"/>
      <c r="E16" s="125"/>
      <c r="F16" s="63"/>
      <c r="G16" s="63"/>
      <c r="H16" s="128">
        <f t="shared" si="1"/>
        <v>85000</v>
      </c>
      <c r="J16" s="170" t="s">
        <v>199</v>
      </c>
      <c r="K16" s="14"/>
      <c r="L16" s="14"/>
      <c r="M16" s="11" t="s">
        <v>361</v>
      </c>
    </row>
    <row r="17" ht="15.75" customHeight="1">
      <c r="A17" s="114"/>
      <c r="B17" s="121" t="s">
        <v>109</v>
      </c>
      <c r="C17" s="124">
        <v>25000.0</v>
      </c>
      <c r="D17" s="95"/>
      <c r="E17" s="125"/>
      <c r="F17" s="63"/>
      <c r="G17" s="63"/>
      <c r="H17" s="128">
        <f t="shared" si="1"/>
        <v>25000</v>
      </c>
      <c r="J17" s="98" t="s">
        <v>93</v>
      </c>
      <c r="K17" s="124" t="s">
        <v>350</v>
      </c>
      <c r="L17" s="124">
        <v>25000.0</v>
      </c>
    </row>
    <row r="18" ht="15.75" customHeight="1">
      <c r="A18" s="114"/>
      <c r="B18" s="121" t="s">
        <v>362</v>
      </c>
      <c r="C18" s="124">
        <v>90000.0</v>
      </c>
      <c r="D18" s="95"/>
      <c r="E18" s="125"/>
      <c r="F18" s="63"/>
      <c r="G18" s="63"/>
      <c r="H18" s="128">
        <f t="shared" si="1"/>
        <v>90000</v>
      </c>
      <c r="J18" s="170" t="s">
        <v>199</v>
      </c>
      <c r="K18" s="14"/>
      <c r="L18" s="14"/>
      <c r="M18" s="11" t="s">
        <v>361</v>
      </c>
    </row>
    <row r="19" ht="15.75" customHeight="1">
      <c r="A19" s="114"/>
      <c r="B19" s="121" t="s">
        <v>364</v>
      </c>
      <c r="C19" s="124">
        <v>15000.0</v>
      </c>
      <c r="D19" s="95"/>
      <c r="E19" s="125"/>
      <c r="F19" s="63"/>
      <c r="G19" s="63"/>
      <c r="H19" s="128">
        <f t="shared" si="1"/>
        <v>15000</v>
      </c>
      <c r="J19" s="170" t="s">
        <v>199</v>
      </c>
      <c r="K19" s="14"/>
      <c r="L19" s="14"/>
      <c r="M19" s="11" t="s">
        <v>361</v>
      </c>
    </row>
    <row r="20" ht="15.75" customHeight="1">
      <c r="A20" s="114"/>
      <c r="B20" s="121" t="s">
        <v>112</v>
      </c>
      <c r="C20" s="124">
        <v>35000.0</v>
      </c>
      <c r="D20" s="95"/>
      <c r="E20" s="125"/>
      <c r="F20" s="63"/>
      <c r="G20" s="63"/>
      <c r="H20" s="128">
        <f t="shared" si="1"/>
        <v>35000</v>
      </c>
      <c r="J20" s="98" t="s">
        <v>93</v>
      </c>
      <c r="K20" s="124" t="s">
        <v>350</v>
      </c>
      <c r="L20" s="124">
        <v>35000.0</v>
      </c>
    </row>
    <row r="21" ht="15.75" customHeight="1">
      <c r="A21" s="114"/>
      <c r="B21" s="121" t="s">
        <v>86</v>
      </c>
      <c r="C21" s="124">
        <v>15000.0</v>
      </c>
      <c r="D21" s="95"/>
      <c r="E21" s="125"/>
      <c r="F21" s="63"/>
      <c r="G21" s="63"/>
      <c r="H21" s="128">
        <f t="shared" si="1"/>
        <v>15000</v>
      </c>
      <c r="J21" s="98" t="s">
        <v>93</v>
      </c>
      <c r="K21" s="124" t="s">
        <v>350</v>
      </c>
      <c r="L21" s="124">
        <v>15000.0</v>
      </c>
    </row>
    <row r="22" ht="15.75" customHeight="1">
      <c r="A22" s="114"/>
      <c r="B22" s="121" t="s">
        <v>114</v>
      </c>
      <c r="C22" s="124">
        <v>60000.0</v>
      </c>
      <c r="D22" s="95"/>
      <c r="E22" s="125"/>
      <c r="F22" s="63"/>
      <c r="G22" s="63"/>
      <c r="H22" s="128">
        <f t="shared" si="1"/>
        <v>60000</v>
      </c>
      <c r="J22" s="98" t="s">
        <v>93</v>
      </c>
      <c r="K22" s="124" t="s">
        <v>350</v>
      </c>
      <c r="L22" s="124">
        <v>60000.0</v>
      </c>
    </row>
    <row r="23" ht="15.75" customHeight="1">
      <c r="A23" s="114"/>
      <c r="B23" s="121" t="s">
        <v>116</v>
      </c>
      <c r="C23" s="124">
        <v>70000.0</v>
      </c>
      <c r="D23" s="95"/>
      <c r="E23" s="125"/>
      <c r="F23" s="63"/>
      <c r="G23" s="63"/>
      <c r="H23" s="128">
        <f t="shared" si="1"/>
        <v>70000</v>
      </c>
      <c r="J23" s="98" t="s">
        <v>93</v>
      </c>
      <c r="K23" s="124" t="s">
        <v>350</v>
      </c>
      <c r="L23" s="124">
        <v>70000.0</v>
      </c>
      <c r="M23" s="11" t="s">
        <v>117</v>
      </c>
    </row>
    <row r="24" ht="15.75" customHeight="1">
      <c r="A24" s="114"/>
      <c r="B24" s="121" t="s">
        <v>119</v>
      </c>
      <c r="C24" s="124">
        <v>100000.0</v>
      </c>
      <c r="D24" s="95"/>
      <c r="E24" s="125"/>
      <c r="F24" s="63"/>
      <c r="G24" s="63"/>
      <c r="H24" s="128">
        <f t="shared" si="1"/>
        <v>100000</v>
      </c>
      <c r="J24" s="98" t="s">
        <v>93</v>
      </c>
      <c r="K24" s="124" t="s">
        <v>350</v>
      </c>
      <c r="L24" s="124">
        <v>100000.0</v>
      </c>
    </row>
    <row r="25" ht="15.75" customHeight="1">
      <c r="A25" s="114"/>
      <c r="K25" s="14"/>
      <c r="L25" s="14"/>
    </row>
    <row r="26" ht="15.75" customHeight="1">
      <c r="A26" s="114"/>
      <c r="B26" s="238"/>
      <c r="C26" s="128"/>
      <c r="D26" s="95"/>
      <c r="E26" s="125"/>
      <c r="F26" s="63"/>
      <c r="G26" s="63"/>
      <c r="H26" s="63"/>
      <c r="K26" s="14"/>
      <c r="L26" s="14"/>
    </row>
    <row r="27" ht="15.75" customHeight="1">
      <c r="A27" s="114" t="s">
        <v>345</v>
      </c>
      <c r="B27" s="238" t="s">
        <v>365</v>
      </c>
      <c r="C27" s="128"/>
      <c r="D27" s="95"/>
      <c r="E27" s="125"/>
      <c r="F27" s="63"/>
      <c r="G27" s="63"/>
      <c r="H27" s="63"/>
      <c r="K27" s="14"/>
      <c r="L27" s="14"/>
    </row>
    <row r="28" ht="15.75" customHeight="1">
      <c r="A28" s="114" t="s">
        <v>347</v>
      </c>
      <c r="B28" s="246" t="s">
        <v>365</v>
      </c>
      <c r="C28" s="240">
        <f>SUM(C29)</f>
        <v>650000</v>
      </c>
      <c r="D28" s="95"/>
      <c r="E28" s="95"/>
      <c r="F28" s="95"/>
      <c r="G28" s="95"/>
      <c r="H28" s="241">
        <f>SUM(H29)</f>
        <v>650000</v>
      </c>
      <c r="K28" s="242"/>
      <c r="L28" s="242">
        <f t="shared" ref="L28:L29" si="2">H28</f>
        <v>650000</v>
      </c>
    </row>
    <row r="29" ht="15.75" customHeight="1">
      <c r="A29" s="243"/>
      <c r="B29" s="115" t="s">
        <v>94</v>
      </c>
      <c r="C29" s="116">
        <v>650000.0</v>
      </c>
      <c r="D29" s="93"/>
      <c r="F29" s="95"/>
      <c r="G29" s="95"/>
      <c r="H29" s="97">
        <f>C29</f>
        <v>650000</v>
      </c>
      <c r="J29" s="98" t="s">
        <v>93</v>
      </c>
      <c r="K29" s="58" t="s">
        <v>350</v>
      </c>
      <c r="L29" s="14">
        <f t="shared" si="2"/>
        <v>650000</v>
      </c>
      <c r="M29" s="11" t="s">
        <v>367</v>
      </c>
    </row>
    <row r="30" ht="15.75" customHeight="1">
      <c r="A30" s="114"/>
      <c r="B30" s="238"/>
      <c r="C30" s="128"/>
      <c r="D30" s="95"/>
      <c r="E30" s="125"/>
      <c r="F30" s="63"/>
      <c r="G30" s="63"/>
      <c r="H30" s="63"/>
      <c r="K30" s="14"/>
      <c r="L30" s="14"/>
    </row>
    <row r="31" ht="15.75" customHeight="1">
      <c r="A31" s="114" t="s">
        <v>345</v>
      </c>
      <c r="B31" s="238" t="s">
        <v>368</v>
      </c>
      <c r="C31" s="247">
        <f t="shared" ref="C31:G31" si="3">SUM(C32:C96)</f>
        <v>4065390</v>
      </c>
      <c r="D31" s="247">
        <f t="shared" si="3"/>
        <v>0</v>
      </c>
      <c r="E31" s="247">
        <f t="shared" si="3"/>
        <v>0</v>
      </c>
      <c r="F31" s="247">
        <f t="shared" si="3"/>
        <v>0</v>
      </c>
      <c r="G31" s="247">
        <f t="shared" si="3"/>
        <v>0</v>
      </c>
      <c r="H31" s="247">
        <v>3968390.0</v>
      </c>
      <c r="K31" s="242"/>
      <c r="L31" s="242">
        <f>SUM(L32:L96)</f>
        <v>240390</v>
      </c>
    </row>
    <row r="32" ht="15.75" customHeight="1">
      <c r="A32" s="114"/>
      <c r="B32" s="121" t="s">
        <v>122</v>
      </c>
      <c r="C32" s="142">
        <v>1200.0</v>
      </c>
      <c r="D32" s="93"/>
      <c r="E32" s="125"/>
      <c r="F32" s="63"/>
      <c r="G32" s="63"/>
      <c r="H32" s="63"/>
      <c r="J32" s="98" t="s">
        <v>93</v>
      </c>
      <c r="K32" s="58" t="s">
        <v>350</v>
      </c>
      <c r="L32" s="14">
        <f t="shared" ref="L32:L42" si="4">C32</f>
        <v>1200</v>
      </c>
    </row>
    <row r="33" ht="15.75" customHeight="1">
      <c r="A33" s="114"/>
      <c r="B33" s="121" t="s">
        <v>369</v>
      </c>
      <c r="C33" s="142">
        <v>5600.0</v>
      </c>
      <c r="D33" s="93"/>
      <c r="E33" s="125"/>
      <c r="F33" s="63"/>
      <c r="G33" s="63"/>
      <c r="H33" s="63"/>
      <c r="K33" s="14"/>
      <c r="L33" s="14">
        <f t="shared" si="4"/>
        <v>5600</v>
      </c>
      <c r="M33" s="248" t="s">
        <v>370</v>
      </c>
    </row>
    <row r="34" ht="15.75" customHeight="1">
      <c r="A34" s="114"/>
      <c r="B34" s="121" t="s">
        <v>371</v>
      </c>
      <c r="C34" s="142">
        <v>4800.0</v>
      </c>
      <c r="D34" s="93"/>
      <c r="E34" s="125"/>
      <c r="F34" s="63"/>
      <c r="G34" s="63"/>
      <c r="H34" s="63"/>
      <c r="K34" s="14"/>
      <c r="L34" s="14">
        <f t="shared" si="4"/>
        <v>4800</v>
      </c>
      <c r="M34" s="248" t="s">
        <v>370</v>
      </c>
    </row>
    <row r="35" ht="15.75" customHeight="1">
      <c r="A35" s="114"/>
      <c r="B35" s="121" t="s">
        <v>124</v>
      </c>
      <c r="C35" s="142">
        <v>12000.0</v>
      </c>
      <c r="D35" s="93"/>
      <c r="E35" s="125"/>
      <c r="F35" s="63"/>
      <c r="G35" s="63"/>
      <c r="H35" s="63"/>
      <c r="J35" s="98" t="s">
        <v>93</v>
      </c>
      <c r="K35" s="58" t="s">
        <v>350</v>
      </c>
      <c r="L35" s="14">
        <f t="shared" si="4"/>
        <v>12000</v>
      </c>
    </row>
    <row r="36" ht="15.75" customHeight="1">
      <c r="A36" s="114"/>
      <c r="B36" s="121" t="s">
        <v>125</v>
      </c>
      <c r="C36" s="142">
        <v>25000.0</v>
      </c>
      <c r="D36" s="93"/>
      <c r="E36" s="125"/>
      <c r="F36" s="63"/>
      <c r="G36" s="63"/>
      <c r="H36" s="63"/>
      <c r="J36" s="98" t="s">
        <v>93</v>
      </c>
      <c r="K36" s="58" t="s">
        <v>350</v>
      </c>
      <c r="L36" s="14">
        <f t="shared" si="4"/>
        <v>25000</v>
      </c>
    </row>
    <row r="37" ht="15.75" customHeight="1">
      <c r="A37" s="114"/>
      <c r="B37" s="121" t="s">
        <v>126</v>
      </c>
      <c r="C37" s="142">
        <v>6000.0</v>
      </c>
      <c r="D37" s="93"/>
      <c r="E37" s="125"/>
      <c r="F37" s="63"/>
      <c r="G37" s="63"/>
      <c r="H37" s="63"/>
      <c r="J37" s="98" t="s">
        <v>93</v>
      </c>
      <c r="K37" s="58" t="s">
        <v>350</v>
      </c>
      <c r="L37" s="14">
        <f t="shared" si="4"/>
        <v>6000</v>
      </c>
    </row>
    <row r="38" ht="15.75" customHeight="1">
      <c r="A38" s="114"/>
      <c r="B38" s="121" t="s">
        <v>130</v>
      </c>
      <c r="C38" s="142">
        <v>3000.0</v>
      </c>
      <c r="D38" s="95"/>
      <c r="E38" s="125"/>
      <c r="F38" s="63"/>
      <c r="G38" s="63"/>
      <c r="H38" s="63"/>
      <c r="J38" s="98" t="s">
        <v>93</v>
      </c>
      <c r="K38" s="58" t="s">
        <v>350</v>
      </c>
      <c r="L38" s="14">
        <f t="shared" si="4"/>
        <v>3000</v>
      </c>
    </row>
    <row r="39" ht="15.75" customHeight="1">
      <c r="A39" s="114"/>
      <c r="B39" s="121" t="s">
        <v>103</v>
      </c>
      <c r="C39" s="142">
        <v>40000.0</v>
      </c>
      <c r="D39" s="93"/>
      <c r="E39" s="125"/>
      <c r="F39" s="63"/>
      <c r="G39" s="63"/>
      <c r="H39" s="63"/>
      <c r="J39" s="98" t="s">
        <v>93</v>
      </c>
      <c r="K39" s="58" t="s">
        <v>350</v>
      </c>
      <c r="L39" s="14">
        <f t="shared" si="4"/>
        <v>40000</v>
      </c>
    </row>
    <row r="40" ht="15.75" customHeight="1">
      <c r="A40" s="114"/>
      <c r="B40" s="121" t="s">
        <v>131</v>
      </c>
      <c r="C40" s="142">
        <v>40000.0</v>
      </c>
      <c r="D40" s="93"/>
      <c r="E40" s="125"/>
      <c r="F40" s="63"/>
      <c r="G40" s="63"/>
      <c r="H40" s="63"/>
      <c r="J40" s="98" t="s">
        <v>93</v>
      </c>
      <c r="K40" s="58" t="s">
        <v>350</v>
      </c>
      <c r="L40" s="14">
        <f t="shared" si="4"/>
        <v>40000</v>
      </c>
    </row>
    <row r="41" ht="15.75" customHeight="1">
      <c r="A41" s="114"/>
      <c r="B41" s="121" t="s">
        <v>132</v>
      </c>
      <c r="C41" s="142">
        <v>40000.0</v>
      </c>
      <c r="D41" s="93"/>
      <c r="E41" s="125"/>
      <c r="F41" s="63"/>
      <c r="G41" s="63"/>
      <c r="H41" s="63"/>
      <c r="J41" s="98" t="s">
        <v>93</v>
      </c>
      <c r="K41" s="58" t="s">
        <v>350</v>
      </c>
      <c r="L41" s="14">
        <f t="shared" si="4"/>
        <v>40000</v>
      </c>
    </row>
    <row r="42" ht="15.75" customHeight="1">
      <c r="A42" s="114"/>
      <c r="B42" s="121" t="s">
        <v>134</v>
      </c>
      <c r="C42" s="142">
        <v>30000.0</v>
      </c>
      <c r="D42" s="95"/>
      <c r="E42" s="125"/>
      <c r="F42" s="63"/>
      <c r="G42" s="63"/>
      <c r="H42" s="63"/>
      <c r="J42" s="98" t="s">
        <v>93</v>
      </c>
      <c r="K42" s="58" t="s">
        <v>350</v>
      </c>
      <c r="L42" s="14">
        <f t="shared" si="4"/>
        <v>30000</v>
      </c>
    </row>
    <row r="43" ht="15.75" customHeight="1">
      <c r="A43" s="114"/>
      <c r="B43" s="121" t="s">
        <v>374</v>
      </c>
      <c r="C43" s="142">
        <v>100000.0</v>
      </c>
      <c r="D43" s="95"/>
      <c r="E43" s="125"/>
      <c r="F43" s="63"/>
      <c r="G43" s="63"/>
      <c r="H43" s="63"/>
      <c r="J43" s="11" t="s">
        <v>199</v>
      </c>
      <c r="K43" s="14"/>
      <c r="L43" s="14"/>
      <c r="M43" s="11" t="s">
        <v>377</v>
      </c>
    </row>
    <row r="44" ht="15.75" customHeight="1">
      <c r="A44" s="114"/>
      <c r="B44" s="121" t="s">
        <v>378</v>
      </c>
      <c r="C44" s="142">
        <v>4000.0</v>
      </c>
      <c r="D44" s="95"/>
      <c r="E44" s="125"/>
      <c r="F44" s="63"/>
      <c r="G44" s="63"/>
      <c r="H44" s="63"/>
      <c r="J44" s="11" t="s">
        <v>226</v>
      </c>
      <c r="K44" s="14"/>
      <c r="L44" s="14"/>
      <c r="M44" s="11" t="s">
        <v>379</v>
      </c>
    </row>
    <row r="45" ht="15.75" customHeight="1">
      <c r="A45" s="114"/>
      <c r="B45" s="121" t="s">
        <v>380</v>
      </c>
      <c r="C45" s="142">
        <v>100000.0</v>
      </c>
      <c r="D45" s="95"/>
      <c r="E45" s="125"/>
      <c r="F45" s="63"/>
      <c r="G45" s="63"/>
      <c r="H45" s="63"/>
      <c r="J45" s="11" t="s">
        <v>226</v>
      </c>
      <c r="K45" s="14"/>
      <c r="L45" s="14"/>
    </row>
    <row r="46" ht="15.75" customHeight="1">
      <c r="A46" s="114"/>
      <c r="B46" s="121" t="s">
        <v>381</v>
      </c>
      <c r="C46" s="142">
        <v>2000.0</v>
      </c>
      <c r="D46" s="95"/>
      <c r="E46" s="125"/>
      <c r="F46" s="63"/>
      <c r="G46" s="63"/>
      <c r="H46" s="63"/>
      <c r="K46" s="14"/>
      <c r="L46" s="14">
        <f t="shared" ref="L46:L47" si="5">C46</f>
        <v>2000</v>
      </c>
      <c r="M46" s="255" t="s">
        <v>382</v>
      </c>
    </row>
    <row r="47" ht="15.75" customHeight="1">
      <c r="A47" s="114"/>
      <c r="B47" s="121" t="s">
        <v>113</v>
      </c>
      <c r="C47" s="142">
        <v>5000.0</v>
      </c>
      <c r="D47" s="95"/>
      <c r="E47" s="125"/>
      <c r="F47" s="63"/>
      <c r="G47" s="63"/>
      <c r="H47" s="63"/>
      <c r="J47" s="98" t="s">
        <v>93</v>
      </c>
      <c r="K47" s="58" t="s">
        <v>350</v>
      </c>
      <c r="L47" s="14">
        <f t="shared" si="5"/>
        <v>5000</v>
      </c>
    </row>
    <row r="48" ht="15.75" customHeight="1">
      <c r="A48" s="114"/>
      <c r="B48" s="121" t="s">
        <v>383</v>
      </c>
      <c r="C48" s="142">
        <v>97000.0</v>
      </c>
      <c r="D48" s="95"/>
      <c r="E48" s="125"/>
      <c r="F48" s="63"/>
      <c r="G48" s="63"/>
      <c r="H48" s="63"/>
      <c r="J48" s="11" t="s">
        <v>226</v>
      </c>
      <c r="K48" s="14"/>
      <c r="L48" s="14"/>
      <c r="M48" s="11" t="s">
        <v>385</v>
      </c>
    </row>
    <row r="49" ht="15.75" customHeight="1">
      <c r="A49" s="114"/>
      <c r="B49" s="121" t="s">
        <v>135</v>
      </c>
      <c r="C49" s="142">
        <v>4000.0</v>
      </c>
      <c r="D49" s="95"/>
      <c r="E49" s="125"/>
      <c r="F49" s="63"/>
      <c r="G49" s="63"/>
      <c r="H49" s="63"/>
      <c r="J49" s="98" t="s">
        <v>93</v>
      </c>
      <c r="K49" s="58" t="s">
        <v>350</v>
      </c>
      <c r="L49" s="14">
        <f>C49</f>
        <v>4000</v>
      </c>
    </row>
    <row r="50" ht="15.75" customHeight="1">
      <c r="A50" s="114"/>
      <c r="B50" s="121" t="s">
        <v>388</v>
      </c>
      <c r="C50" s="142" t="s">
        <v>389</v>
      </c>
      <c r="D50" s="95"/>
      <c r="E50" s="125"/>
      <c r="F50" s="63"/>
      <c r="G50" s="63"/>
      <c r="H50" s="63"/>
      <c r="K50" s="14"/>
      <c r="L50" s="14"/>
      <c r="M50" s="255" t="s">
        <v>382</v>
      </c>
    </row>
    <row r="51" ht="15.75" customHeight="1">
      <c r="A51" s="114"/>
      <c r="B51" s="121" t="s">
        <v>390</v>
      </c>
      <c r="C51" s="142">
        <v>2400.0</v>
      </c>
      <c r="D51" s="95"/>
      <c r="E51" s="125"/>
      <c r="F51" s="63"/>
      <c r="G51" s="63"/>
      <c r="H51" s="63"/>
      <c r="K51" s="14"/>
      <c r="L51" s="14"/>
      <c r="M51" s="255" t="s">
        <v>382</v>
      </c>
    </row>
    <row r="52" ht="15.75" customHeight="1">
      <c r="A52" s="114"/>
      <c r="B52" s="121" t="s">
        <v>391</v>
      </c>
      <c r="C52" s="142">
        <v>800.0</v>
      </c>
      <c r="D52" s="95"/>
      <c r="E52" s="125"/>
      <c r="F52" s="63"/>
      <c r="G52" s="63"/>
      <c r="H52" s="63"/>
      <c r="K52" s="14"/>
      <c r="L52" s="14"/>
      <c r="M52" s="255" t="s">
        <v>382</v>
      </c>
    </row>
    <row r="53" ht="15.75" customHeight="1">
      <c r="A53" s="114"/>
      <c r="B53" s="121" t="s">
        <v>393</v>
      </c>
      <c r="C53" s="142">
        <v>5000.0</v>
      </c>
      <c r="D53" s="95"/>
      <c r="E53" s="125"/>
      <c r="F53" s="63"/>
      <c r="G53" s="63"/>
      <c r="H53" s="63"/>
      <c r="K53" s="14"/>
      <c r="L53" s="14"/>
      <c r="M53" s="255" t="s">
        <v>382</v>
      </c>
    </row>
    <row r="54" ht="15.75" customHeight="1">
      <c r="A54" s="114"/>
      <c r="B54" s="121" t="s">
        <v>137</v>
      </c>
      <c r="C54" s="142">
        <v>5000.0</v>
      </c>
      <c r="D54" s="95"/>
      <c r="E54" s="125"/>
      <c r="F54" s="63"/>
      <c r="G54" s="63"/>
      <c r="H54" s="63"/>
      <c r="J54" s="98" t="s">
        <v>93</v>
      </c>
      <c r="K54" s="58" t="s">
        <v>350</v>
      </c>
      <c r="L54" s="14">
        <f t="shared" ref="L54:L55" si="6">C54</f>
        <v>5000</v>
      </c>
    </row>
    <row r="55" ht="15.75" customHeight="1">
      <c r="A55" s="114"/>
      <c r="B55" s="121" t="s">
        <v>139</v>
      </c>
      <c r="C55" s="142">
        <v>5790.0</v>
      </c>
      <c r="D55" s="95"/>
      <c r="E55" s="125"/>
      <c r="F55" s="63"/>
      <c r="G55" s="63"/>
      <c r="H55" s="63"/>
      <c r="J55" s="98" t="s">
        <v>93</v>
      </c>
      <c r="K55" s="58" t="s">
        <v>350</v>
      </c>
      <c r="L55" s="14">
        <f t="shared" si="6"/>
        <v>5790</v>
      </c>
    </row>
    <row r="56" ht="15.75" customHeight="1">
      <c r="A56" s="114"/>
      <c r="B56" s="121" t="s">
        <v>396</v>
      </c>
      <c r="C56" s="142">
        <v>100000.0</v>
      </c>
      <c r="D56" s="95"/>
      <c r="E56" s="125"/>
      <c r="F56" s="63"/>
      <c r="G56" s="63"/>
      <c r="H56" s="63"/>
      <c r="K56" s="14"/>
      <c r="L56" s="14"/>
      <c r="M56" s="11" t="s">
        <v>399</v>
      </c>
    </row>
    <row r="57" ht="15.75" customHeight="1">
      <c r="A57" s="114"/>
      <c r="B57" s="121" t="s">
        <v>400</v>
      </c>
      <c r="C57" s="142">
        <v>10000.0</v>
      </c>
      <c r="D57" s="95"/>
      <c r="E57" s="125"/>
      <c r="F57" s="63"/>
      <c r="G57" s="63"/>
      <c r="H57" s="63"/>
      <c r="K57" s="14"/>
      <c r="L57" s="14"/>
    </row>
    <row r="58" ht="15.75" customHeight="1">
      <c r="A58" s="114"/>
      <c r="B58" s="121" t="s">
        <v>401</v>
      </c>
      <c r="C58" s="142">
        <v>100000.0</v>
      </c>
      <c r="D58" s="95"/>
      <c r="E58" s="125"/>
      <c r="F58" s="63"/>
      <c r="G58" s="63"/>
      <c r="H58" s="63"/>
      <c r="K58" s="14"/>
      <c r="L58" s="14"/>
    </row>
    <row r="59" ht="15.75" customHeight="1">
      <c r="A59" s="114"/>
      <c r="B59" s="121" t="s">
        <v>185</v>
      </c>
      <c r="C59" s="142">
        <v>50000.0</v>
      </c>
      <c r="D59" s="95"/>
      <c r="E59" s="125"/>
      <c r="F59" s="63"/>
      <c r="G59" s="63"/>
      <c r="H59" s="63"/>
      <c r="K59" s="14"/>
      <c r="L59" s="14"/>
    </row>
    <row r="60" ht="15.75" customHeight="1">
      <c r="A60" s="114"/>
      <c r="B60" s="121" t="s">
        <v>193</v>
      </c>
      <c r="C60" s="142">
        <v>20000.0</v>
      </c>
      <c r="D60" s="95"/>
      <c r="E60" s="125"/>
      <c r="F60" s="63"/>
      <c r="G60" s="63"/>
      <c r="H60" s="63"/>
      <c r="J60" s="11" t="s">
        <v>226</v>
      </c>
      <c r="K60" s="14"/>
      <c r="L60" s="14"/>
      <c r="M60" s="11" t="s">
        <v>403</v>
      </c>
    </row>
    <row r="61" ht="15.75" customHeight="1">
      <c r="A61" s="114"/>
      <c r="B61" s="121" t="s">
        <v>213</v>
      </c>
      <c r="C61" s="142">
        <v>15000.0</v>
      </c>
      <c r="D61" s="95"/>
      <c r="E61" s="125"/>
      <c r="F61" s="63"/>
      <c r="G61" s="63"/>
      <c r="H61" s="63"/>
      <c r="J61" s="11" t="s">
        <v>226</v>
      </c>
      <c r="K61" s="14"/>
      <c r="L61" s="14"/>
    </row>
    <row r="62" ht="15.75" customHeight="1">
      <c r="A62" s="114"/>
      <c r="B62" s="267" t="s">
        <v>406</v>
      </c>
      <c r="C62" s="268">
        <v>480000.0</v>
      </c>
      <c r="D62" s="95"/>
      <c r="E62" s="125"/>
      <c r="F62" s="63"/>
      <c r="G62" s="63"/>
      <c r="H62" s="63"/>
      <c r="K62" s="14"/>
      <c r="L62" s="14"/>
      <c r="M62" s="11" t="s">
        <v>408</v>
      </c>
    </row>
    <row r="63" ht="15.75" customHeight="1">
      <c r="A63" s="114"/>
      <c r="B63" s="267" t="s">
        <v>409</v>
      </c>
      <c r="C63" s="268">
        <v>150000.0</v>
      </c>
      <c r="D63" s="95"/>
      <c r="E63" s="125"/>
      <c r="F63" s="63"/>
      <c r="G63" s="63"/>
      <c r="H63" s="63"/>
      <c r="K63" s="14"/>
      <c r="L63" s="14"/>
      <c r="M63" s="11" t="s">
        <v>408</v>
      </c>
    </row>
    <row r="64" ht="15.75" customHeight="1">
      <c r="A64" s="114"/>
      <c r="B64" s="267" t="s">
        <v>414</v>
      </c>
      <c r="C64" s="268">
        <v>26000.0</v>
      </c>
      <c r="D64" s="95"/>
      <c r="E64" s="125"/>
      <c r="F64" s="63"/>
      <c r="G64" s="63"/>
      <c r="H64" s="63"/>
      <c r="K64" s="14"/>
      <c r="L64" s="14"/>
      <c r="M64" s="11" t="s">
        <v>408</v>
      </c>
    </row>
    <row r="65" ht="15.75" customHeight="1">
      <c r="A65" s="114"/>
      <c r="B65" s="267" t="s">
        <v>415</v>
      </c>
      <c r="C65" s="268">
        <v>300000.0</v>
      </c>
      <c r="D65" s="95"/>
      <c r="E65" s="125"/>
      <c r="F65" s="63"/>
      <c r="G65" s="63"/>
      <c r="H65" s="63"/>
      <c r="K65" s="14"/>
      <c r="L65" s="14"/>
      <c r="M65" s="11" t="s">
        <v>408</v>
      </c>
    </row>
    <row r="66" ht="15.75" customHeight="1">
      <c r="A66" s="114"/>
      <c r="B66" s="267" t="s">
        <v>416</v>
      </c>
      <c r="C66" s="268">
        <v>1031000.0</v>
      </c>
      <c r="D66" s="95"/>
      <c r="E66" s="125"/>
      <c r="F66" s="63"/>
      <c r="G66" s="63"/>
      <c r="H66" s="63"/>
      <c r="K66" s="14"/>
      <c r="L66" s="14"/>
      <c r="M66" s="255" t="s">
        <v>418</v>
      </c>
    </row>
    <row r="67" ht="15.75" customHeight="1">
      <c r="A67" s="114"/>
      <c r="B67" s="121"/>
      <c r="C67" s="128"/>
      <c r="D67" s="95"/>
      <c r="E67" s="125"/>
      <c r="F67" s="63"/>
      <c r="G67" s="63"/>
      <c r="H67" s="63"/>
      <c r="K67" s="14"/>
      <c r="L67" s="14"/>
    </row>
    <row r="68" ht="15.75" customHeight="1">
      <c r="A68" s="114"/>
      <c r="B68" s="121" t="s">
        <v>419</v>
      </c>
      <c r="C68" s="128"/>
      <c r="D68" s="95"/>
      <c r="E68" s="125"/>
      <c r="F68" s="63"/>
      <c r="G68" s="63"/>
      <c r="H68" s="63"/>
      <c r="K68" s="14"/>
      <c r="L68" s="14"/>
    </row>
    <row r="69" ht="15.75" customHeight="1">
      <c r="A69" s="114"/>
      <c r="B69" s="121" t="s">
        <v>421</v>
      </c>
      <c r="C69" s="128"/>
      <c r="D69" s="95"/>
      <c r="E69" s="125"/>
      <c r="F69" s="63"/>
      <c r="G69" s="63"/>
      <c r="H69" s="63"/>
      <c r="K69" s="14"/>
      <c r="L69" s="14"/>
    </row>
    <row r="70" ht="15.75" customHeight="1">
      <c r="A70" s="114"/>
      <c r="B70" s="121" t="s">
        <v>422</v>
      </c>
      <c r="C70" s="142">
        <v>630000.0</v>
      </c>
      <c r="D70" s="95"/>
      <c r="E70" s="125"/>
      <c r="F70" s="63"/>
      <c r="G70" s="63"/>
      <c r="H70" s="63"/>
      <c r="J70" s="11" t="s">
        <v>226</v>
      </c>
      <c r="K70" s="14"/>
      <c r="L70" s="14"/>
      <c r="M70" s="11" t="s">
        <v>423</v>
      </c>
    </row>
    <row r="71" ht="15.75" customHeight="1">
      <c r="A71" s="114"/>
      <c r="B71" s="121" t="s">
        <v>424</v>
      </c>
      <c r="C71" s="142">
        <v>28000.0</v>
      </c>
      <c r="D71" s="95"/>
      <c r="E71" s="125"/>
      <c r="F71" s="63"/>
      <c r="G71" s="63"/>
      <c r="H71" s="63"/>
      <c r="J71" s="11" t="s">
        <v>226</v>
      </c>
      <c r="K71" s="14"/>
      <c r="L71" s="14"/>
    </row>
    <row r="72" ht="15.75" customHeight="1">
      <c r="A72" s="114"/>
      <c r="B72" s="121" t="s">
        <v>426</v>
      </c>
      <c r="C72" s="142">
        <v>50000.0</v>
      </c>
      <c r="D72" s="95"/>
      <c r="E72" s="125"/>
      <c r="F72" s="63"/>
      <c r="G72" s="63"/>
      <c r="H72" s="63"/>
      <c r="J72" s="11" t="s">
        <v>226</v>
      </c>
      <c r="K72" s="14"/>
      <c r="L72" s="14"/>
    </row>
    <row r="73" ht="15.75" customHeight="1">
      <c r="A73" s="114"/>
      <c r="B73" s="121" t="s">
        <v>140</v>
      </c>
      <c r="C73" s="142">
        <v>5000.0</v>
      </c>
      <c r="D73" s="95"/>
      <c r="E73" s="125"/>
      <c r="F73" s="63"/>
      <c r="G73" s="63"/>
      <c r="H73" s="63"/>
      <c r="J73" s="98" t="s">
        <v>93</v>
      </c>
      <c r="K73" s="58" t="s">
        <v>350</v>
      </c>
      <c r="L73" s="14">
        <f>C73</f>
        <v>5000</v>
      </c>
    </row>
    <row r="74" ht="15.75" customHeight="1">
      <c r="A74" s="114"/>
      <c r="B74" s="121" t="s">
        <v>428</v>
      </c>
      <c r="C74" s="142">
        <v>21000.0</v>
      </c>
      <c r="D74" s="95"/>
      <c r="E74" s="125"/>
      <c r="F74" s="63"/>
      <c r="G74" s="63"/>
      <c r="H74" s="63"/>
      <c r="J74" s="11" t="s">
        <v>226</v>
      </c>
      <c r="K74" s="14"/>
      <c r="L74" s="14"/>
    </row>
    <row r="75" ht="15.75" customHeight="1">
      <c r="A75" s="114"/>
      <c r="B75" s="121" t="s">
        <v>142</v>
      </c>
      <c r="C75" s="142">
        <v>6000.0</v>
      </c>
      <c r="D75" s="95"/>
      <c r="E75" s="125"/>
      <c r="F75" s="63"/>
      <c r="G75" s="63"/>
      <c r="H75" s="63"/>
      <c r="J75" s="98" t="s">
        <v>93</v>
      </c>
      <c r="K75" s="58" t="s">
        <v>350</v>
      </c>
      <c r="L75" s="14">
        <f>C75</f>
        <v>6000</v>
      </c>
    </row>
    <row r="76" ht="15.75" customHeight="1">
      <c r="A76" s="114"/>
      <c r="B76" s="121" t="s">
        <v>430</v>
      </c>
      <c r="C76" s="142">
        <v>60000.0</v>
      </c>
      <c r="D76" s="95"/>
      <c r="E76" s="125"/>
      <c r="F76" s="63"/>
      <c r="G76" s="63"/>
      <c r="H76" s="63"/>
      <c r="I76" s="11" t="s">
        <v>431</v>
      </c>
      <c r="J76" s="11" t="s">
        <v>226</v>
      </c>
      <c r="K76" s="14"/>
      <c r="L76" s="14"/>
      <c r="M76" s="11" t="s">
        <v>432</v>
      </c>
    </row>
    <row r="77" ht="15.75" customHeight="1">
      <c r="A77" s="114"/>
      <c r="B77" s="121"/>
      <c r="C77" s="142"/>
      <c r="D77" s="95"/>
      <c r="E77" s="125"/>
      <c r="F77" s="63"/>
      <c r="G77" s="63"/>
      <c r="H77" s="63"/>
      <c r="K77" s="14"/>
      <c r="L77" s="14"/>
    </row>
    <row r="78" ht="15.75" customHeight="1">
      <c r="A78" s="114"/>
      <c r="B78" s="121" t="s">
        <v>433</v>
      </c>
      <c r="C78" s="142">
        <v>50800.0</v>
      </c>
      <c r="D78" s="95"/>
      <c r="E78" s="125"/>
      <c r="F78" s="63"/>
      <c r="G78" s="63"/>
      <c r="H78" s="63"/>
      <c r="J78" s="11" t="s">
        <v>199</v>
      </c>
      <c r="K78" s="14"/>
      <c r="L78" s="14"/>
    </row>
    <row r="79" ht="15.75" customHeight="1">
      <c r="A79" s="114"/>
      <c r="B79" s="121" t="s">
        <v>166</v>
      </c>
      <c r="C79" s="142">
        <v>12000.0</v>
      </c>
      <c r="D79" s="95"/>
      <c r="E79" s="125"/>
      <c r="F79" s="63"/>
      <c r="G79" s="63"/>
      <c r="H79" s="63"/>
      <c r="J79" s="11" t="s">
        <v>199</v>
      </c>
      <c r="K79" s="14"/>
      <c r="L79" s="14"/>
    </row>
    <row r="80" ht="15.75" customHeight="1">
      <c r="A80" s="114"/>
      <c r="B80" s="121" t="s">
        <v>437</v>
      </c>
      <c r="C80" s="142">
        <v>170000.0</v>
      </c>
      <c r="D80" s="95"/>
      <c r="E80" s="125"/>
      <c r="F80" s="63"/>
      <c r="G80" s="63"/>
      <c r="H80" s="63"/>
      <c r="J80" s="11" t="s">
        <v>226</v>
      </c>
      <c r="K80" s="14"/>
      <c r="L80" s="14"/>
      <c r="M80" s="11" t="s">
        <v>438</v>
      </c>
    </row>
    <row r="81" ht="15.75" customHeight="1">
      <c r="A81" s="114"/>
      <c r="B81" s="121" t="s">
        <v>440</v>
      </c>
      <c r="C81" s="142">
        <v>2000.0</v>
      </c>
      <c r="D81" s="95"/>
      <c r="E81" s="125"/>
      <c r="F81" s="63"/>
      <c r="G81" s="63"/>
      <c r="H81" s="63"/>
      <c r="J81" s="11" t="s">
        <v>226</v>
      </c>
      <c r="K81" s="14"/>
      <c r="L81" s="14"/>
    </row>
    <row r="82" ht="15.75" customHeight="1">
      <c r="A82" s="114"/>
      <c r="B82" s="121"/>
      <c r="C82" s="128"/>
      <c r="D82" s="95"/>
      <c r="E82" s="125"/>
      <c r="F82" s="63"/>
      <c r="G82" s="63"/>
      <c r="H82" s="63"/>
      <c r="K82" s="14"/>
      <c r="L82" s="14"/>
    </row>
    <row r="83" ht="15.75" customHeight="1">
      <c r="A83" s="114"/>
      <c r="B83" s="121" t="s">
        <v>442</v>
      </c>
      <c r="C83" s="142">
        <v>40000.0</v>
      </c>
      <c r="D83" s="95"/>
      <c r="E83" s="125"/>
      <c r="F83" s="63"/>
      <c r="G83" s="63"/>
      <c r="H83" s="63"/>
      <c r="J83" s="98" t="s">
        <v>226</v>
      </c>
      <c r="K83" s="58"/>
      <c r="L83" s="58">
        <v>0.0</v>
      </c>
      <c r="M83" s="11" t="s">
        <v>444</v>
      </c>
    </row>
    <row r="84" ht="15.75" customHeight="1">
      <c r="A84" s="114"/>
      <c r="B84" s="121"/>
      <c r="C84" s="128"/>
      <c r="D84" s="95"/>
      <c r="E84" s="125"/>
      <c r="F84" s="63"/>
      <c r="G84" s="63"/>
      <c r="H84" s="63"/>
      <c r="K84" s="14"/>
      <c r="L84" s="14"/>
    </row>
    <row r="85" ht="15.75" customHeight="1">
      <c r="A85" s="114"/>
      <c r="B85" s="121" t="s">
        <v>446</v>
      </c>
      <c r="C85" s="142">
        <v>70000.0</v>
      </c>
      <c r="D85" s="95"/>
      <c r="E85" s="125"/>
      <c r="F85" s="63"/>
      <c r="G85" s="63"/>
      <c r="H85" s="63"/>
      <c r="J85" s="11" t="s">
        <v>226</v>
      </c>
      <c r="K85" s="14"/>
      <c r="L85" s="14"/>
    </row>
    <row r="86" ht="15.75" customHeight="1">
      <c r="A86" s="114"/>
      <c r="B86" s="121" t="s">
        <v>447</v>
      </c>
      <c r="C86" s="142">
        <v>100000.0</v>
      </c>
      <c r="D86" s="95"/>
      <c r="E86" s="125"/>
      <c r="F86" s="63"/>
      <c r="G86" s="63"/>
      <c r="H86" s="63"/>
      <c r="J86" s="11" t="s">
        <v>199</v>
      </c>
      <c r="K86" s="14"/>
      <c r="L86" s="14"/>
    </row>
    <row r="87" ht="15.75" customHeight="1">
      <c r="A87" s="114"/>
      <c r="B87" s="121" t="s">
        <v>450</v>
      </c>
      <c r="C87" s="128"/>
      <c r="D87" s="95"/>
      <c r="E87" s="125"/>
      <c r="F87" s="63"/>
      <c r="G87" s="63"/>
      <c r="H87" s="63"/>
      <c r="K87" s="14"/>
      <c r="L87" s="14"/>
    </row>
    <row r="88" ht="15.75" customHeight="1">
      <c r="A88" s="114"/>
      <c r="B88" s="121" t="s">
        <v>453</v>
      </c>
      <c r="C88" s="128"/>
      <c r="D88" s="95"/>
      <c r="E88" s="125"/>
      <c r="F88" s="63"/>
      <c r="G88" s="63"/>
      <c r="H88" s="63"/>
      <c r="K88" s="14"/>
      <c r="L88" s="14"/>
    </row>
    <row r="89" ht="15.75" customHeight="1">
      <c r="A89" s="114"/>
      <c r="B89" s="121" t="s">
        <v>454</v>
      </c>
      <c r="C89" s="128"/>
      <c r="D89" s="95"/>
      <c r="E89" s="125"/>
      <c r="F89" s="63"/>
      <c r="G89" s="63"/>
      <c r="H89" s="63"/>
      <c r="K89" s="14"/>
      <c r="L89" s="14"/>
    </row>
    <row r="90" ht="15.75" customHeight="1">
      <c r="A90" s="114"/>
      <c r="B90" s="121" t="s">
        <v>457</v>
      </c>
      <c r="C90" s="128"/>
      <c r="D90" s="95"/>
      <c r="E90" s="125"/>
      <c r="F90" s="63"/>
      <c r="G90" s="63"/>
      <c r="H90" s="63"/>
      <c r="K90" s="14"/>
      <c r="L90" s="14"/>
    </row>
    <row r="91" ht="15.75" customHeight="1">
      <c r="A91" s="114"/>
      <c r="B91" s="121" t="s">
        <v>458</v>
      </c>
      <c r="C91" s="128"/>
      <c r="D91" s="95"/>
      <c r="E91" s="125"/>
      <c r="F91" s="63"/>
      <c r="G91" s="63"/>
      <c r="H91" s="63"/>
      <c r="K91" s="14"/>
      <c r="L91" s="14"/>
    </row>
    <row r="92" ht="15.75" customHeight="1">
      <c r="A92" s="114"/>
      <c r="B92" s="121" t="s">
        <v>459</v>
      </c>
      <c r="C92" s="128"/>
      <c r="D92" s="95"/>
      <c r="E92" s="125"/>
      <c r="F92" s="63"/>
      <c r="G92" s="63"/>
      <c r="H92" s="63"/>
      <c r="K92" s="14"/>
      <c r="L92" s="14"/>
    </row>
    <row r="93" ht="15.75" customHeight="1">
      <c r="A93" s="114"/>
      <c r="B93" s="121" t="s">
        <v>462</v>
      </c>
      <c r="C93" s="128"/>
      <c r="D93" s="95"/>
      <c r="E93" s="125"/>
      <c r="F93" s="63"/>
      <c r="G93" s="63"/>
      <c r="H93" s="63"/>
      <c r="K93" s="14"/>
      <c r="L93" s="14"/>
    </row>
    <row r="94" ht="15.75" customHeight="1">
      <c r="A94" s="114"/>
      <c r="B94" s="121" t="s">
        <v>463</v>
      </c>
      <c r="C94" s="128"/>
      <c r="D94" s="95"/>
      <c r="E94" s="125"/>
      <c r="F94" s="63"/>
      <c r="G94" s="63"/>
      <c r="H94" s="63"/>
      <c r="K94" s="14"/>
      <c r="L94" s="14"/>
    </row>
    <row r="95" ht="15.75" customHeight="1">
      <c r="A95" s="114"/>
      <c r="B95" s="121" t="s">
        <v>464</v>
      </c>
      <c r="C95" s="128"/>
      <c r="D95" s="95"/>
      <c r="E95" s="125"/>
      <c r="F95" s="63"/>
      <c r="G95" s="63"/>
      <c r="H95" s="63"/>
      <c r="K95" s="14"/>
      <c r="L95" s="14"/>
    </row>
    <row r="96" ht="15.75" customHeight="1">
      <c r="A96" s="114"/>
      <c r="B96" s="121" t="s">
        <v>466</v>
      </c>
      <c r="C96" s="128"/>
      <c r="D96" s="95"/>
      <c r="E96" s="125"/>
      <c r="F96" s="63"/>
      <c r="G96" s="63"/>
      <c r="H96" s="63"/>
      <c r="K96" s="14"/>
      <c r="L96" s="14"/>
    </row>
    <row r="97" ht="15.75" customHeight="1">
      <c r="A97" s="114"/>
      <c r="B97" s="121"/>
      <c r="C97" s="128"/>
      <c r="D97" s="95"/>
      <c r="E97" s="125"/>
      <c r="F97" s="63"/>
      <c r="G97" s="63"/>
      <c r="H97" s="63"/>
      <c r="K97" s="14"/>
      <c r="L97" s="14"/>
    </row>
    <row r="98" ht="15.75" customHeight="1">
      <c r="A98" s="114"/>
      <c r="B98" s="121"/>
      <c r="C98" s="128"/>
      <c r="D98" s="95"/>
      <c r="E98" s="125"/>
      <c r="F98" s="63"/>
      <c r="G98" s="63"/>
      <c r="H98" s="63"/>
      <c r="K98" s="14"/>
      <c r="L98" s="14"/>
    </row>
    <row r="99" ht="15.75" customHeight="1">
      <c r="A99" s="114"/>
      <c r="B99" s="121"/>
      <c r="C99" s="128"/>
      <c r="D99" s="95"/>
      <c r="E99" s="125"/>
      <c r="F99" s="63"/>
      <c r="G99" s="63"/>
      <c r="H99" s="63"/>
      <c r="K99" s="14"/>
      <c r="L99" s="14"/>
    </row>
    <row r="100" ht="15.75" customHeight="1">
      <c r="A100" s="114"/>
      <c r="B100" s="121"/>
      <c r="C100" s="128"/>
      <c r="D100" s="95"/>
      <c r="E100" s="125"/>
      <c r="F100" s="63"/>
      <c r="G100" s="63"/>
      <c r="H100" s="63"/>
      <c r="K100" s="14"/>
      <c r="L100" s="14"/>
    </row>
    <row r="101" ht="15.75" customHeight="1">
      <c r="A101" s="114"/>
      <c r="B101" s="121"/>
      <c r="C101" s="128"/>
      <c r="D101" s="95"/>
      <c r="E101" s="125"/>
      <c r="F101" s="63"/>
      <c r="G101" s="63"/>
      <c r="H101" s="63"/>
      <c r="K101" s="14"/>
      <c r="L101" s="14"/>
    </row>
    <row r="102" ht="15.75" customHeight="1">
      <c r="A102" s="114"/>
      <c r="B102" s="121"/>
      <c r="C102" s="128"/>
      <c r="D102" s="95"/>
      <c r="E102" s="125"/>
      <c r="F102" s="63"/>
      <c r="G102" s="63"/>
      <c r="H102" s="63"/>
      <c r="K102" s="14"/>
      <c r="L102" s="14"/>
    </row>
    <row r="103" ht="15.75" customHeight="1">
      <c r="A103" s="114"/>
      <c r="B103" s="121"/>
      <c r="C103" s="128"/>
      <c r="D103" s="95"/>
      <c r="E103" s="125"/>
      <c r="F103" s="63"/>
      <c r="G103" s="63"/>
      <c r="H103" s="63"/>
      <c r="K103" s="14"/>
      <c r="L103" s="14"/>
    </row>
    <row r="104" ht="15.75" customHeight="1">
      <c r="A104" s="114"/>
      <c r="B104" s="121"/>
      <c r="C104" s="128"/>
      <c r="D104" s="95"/>
      <c r="E104" s="125"/>
      <c r="F104" s="63"/>
      <c r="G104" s="63"/>
      <c r="H104" s="63"/>
      <c r="K104" s="14"/>
      <c r="L104" s="14"/>
    </row>
    <row r="105" ht="15.75" customHeight="1">
      <c r="A105" s="114"/>
      <c r="B105" s="121"/>
      <c r="C105" s="128"/>
      <c r="D105" s="95"/>
      <c r="E105" s="125"/>
      <c r="F105" s="63"/>
      <c r="G105" s="63"/>
      <c r="H105" s="63"/>
      <c r="K105" s="14"/>
      <c r="L105" s="14"/>
    </row>
    <row r="106" ht="15.75" customHeight="1">
      <c r="A106" s="114" t="s">
        <v>345</v>
      </c>
      <c r="B106" s="238" t="s">
        <v>471</v>
      </c>
      <c r="C106" s="128"/>
      <c r="D106" s="95"/>
      <c r="E106" s="125"/>
      <c r="F106" s="63"/>
      <c r="G106" s="63"/>
      <c r="H106" s="63"/>
      <c r="K106" s="14"/>
      <c r="L106" s="14"/>
    </row>
    <row r="107" ht="15.75" customHeight="1">
      <c r="A107" s="114" t="s">
        <v>347</v>
      </c>
      <c r="B107" s="239" t="s">
        <v>348</v>
      </c>
      <c r="C107" s="240">
        <f>SUM(C108:C126)</f>
        <v>2417700</v>
      </c>
      <c r="D107" s="95"/>
      <c r="E107" s="95"/>
      <c r="F107" s="95"/>
      <c r="G107" s="95"/>
      <c r="H107" s="241">
        <f>SUM(H109:H119)</f>
        <v>993700</v>
      </c>
      <c r="K107" s="242"/>
      <c r="L107" s="242">
        <f>SUM(L109:L161)</f>
        <v>1956880</v>
      </c>
    </row>
    <row r="108" ht="15.75" customHeight="1">
      <c r="A108" s="243"/>
      <c r="B108" s="115" t="s">
        <v>144</v>
      </c>
      <c r="C108" s="116">
        <v>500000.0</v>
      </c>
      <c r="D108" s="93"/>
      <c r="F108" s="95"/>
      <c r="G108" s="95"/>
      <c r="H108" s="119">
        <v>500000.0</v>
      </c>
      <c r="I108" s="11"/>
      <c r="J108" s="98" t="s">
        <v>145</v>
      </c>
      <c r="K108" s="116" t="s">
        <v>350</v>
      </c>
      <c r="L108" s="116">
        <v>500000.0</v>
      </c>
    </row>
    <row r="109" ht="15.75" customHeight="1">
      <c r="A109" s="243"/>
      <c r="B109" s="115" t="s">
        <v>342</v>
      </c>
      <c r="C109" s="116">
        <v>100000.0</v>
      </c>
      <c r="D109" s="93"/>
      <c r="F109" s="95"/>
      <c r="G109" s="95"/>
      <c r="H109" s="97">
        <f t="shared" ref="H109:H119" si="7">C109</f>
        <v>100000</v>
      </c>
      <c r="I109" s="154" t="s">
        <v>151</v>
      </c>
      <c r="J109" s="98" t="s">
        <v>93</v>
      </c>
      <c r="K109" s="116" t="s">
        <v>350</v>
      </c>
      <c r="L109" s="116">
        <v>100000.0</v>
      </c>
    </row>
    <row r="110" ht="15.75" customHeight="1">
      <c r="A110" s="243"/>
      <c r="B110" s="115" t="s">
        <v>157</v>
      </c>
      <c r="C110" s="116">
        <v>100000.0</v>
      </c>
      <c r="D110" s="93"/>
      <c r="F110" s="95"/>
      <c r="G110" s="95"/>
      <c r="H110" s="97">
        <f t="shared" si="7"/>
        <v>100000</v>
      </c>
      <c r="J110" s="98" t="s">
        <v>93</v>
      </c>
      <c r="K110" s="116" t="s">
        <v>350</v>
      </c>
      <c r="L110" s="116">
        <v>100000.0</v>
      </c>
    </row>
    <row r="111" ht="15.75" customHeight="1">
      <c r="A111" s="243"/>
      <c r="B111" s="115" t="s">
        <v>276</v>
      </c>
      <c r="C111" s="116">
        <v>400000.0</v>
      </c>
      <c r="D111" s="93"/>
      <c r="F111" s="95"/>
      <c r="G111" s="95"/>
      <c r="H111" s="97">
        <f t="shared" si="7"/>
        <v>400000</v>
      </c>
      <c r="J111" s="98" t="s">
        <v>93</v>
      </c>
      <c r="K111" s="116" t="s">
        <v>350</v>
      </c>
      <c r="L111" s="116">
        <v>400000.0</v>
      </c>
    </row>
    <row r="112" ht="15.75" customHeight="1">
      <c r="A112" s="243"/>
      <c r="B112" s="115" t="s">
        <v>27</v>
      </c>
      <c r="C112" s="116">
        <v>50000.0</v>
      </c>
      <c r="D112" s="93"/>
      <c r="F112" s="95"/>
      <c r="G112" s="95"/>
      <c r="H112" s="97">
        <f t="shared" si="7"/>
        <v>50000</v>
      </c>
      <c r="J112" s="98" t="s">
        <v>93</v>
      </c>
      <c r="K112" s="116" t="s">
        <v>350</v>
      </c>
      <c r="L112" s="116">
        <v>50000.0</v>
      </c>
    </row>
    <row r="113" ht="15.75" customHeight="1">
      <c r="A113" s="243"/>
      <c r="B113" s="115" t="s">
        <v>165</v>
      </c>
      <c r="C113" s="116">
        <v>150000.0</v>
      </c>
      <c r="D113" s="95"/>
      <c r="E113" s="95"/>
      <c r="F113" s="95"/>
      <c r="G113" s="95"/>
      <c r="H113" s="97">
        <f t="shared" si="7"/>
        <v>150000</v>
      </c>
      <c r="J113" s="98" t="s">
        <v>93</v>
      </c>
      <c r="K113" s="116" t="s">
        <v>350</v>
      </c>
      <c r="L113" s="116">
        <v>150000.0</v>
      </c>
    </row>
    <row r="114" ht="15.75" customHeight="1">
      <c r="A114" s="243"/>
      <c r="B114" s="115" t="s">
        <v>167</v>
      </c>
      <c r="C114" s="116">
        <v>40000.0</v>
      </c>
      <c r="D114" s="95"/>
      <c r="E114" s="95"/>
      <c r="F114" s="95"/>
      <c r="G114" s="95"/>
      <c r="H114" s="97">
        <f t="shared" si="7"/>
        <v>40000</v>
      </c>
      <c r="J114" s="98" t="s">
        <v>93</v>
      </c>
      <c r="K114" s="116" t="s">
        <v>350</v>
      </c>
      <c r="L114" s="116">
        <v>40000.0</v>
      </c>
    </row>
    <row r="115" ht="15.75" customHeight="1">
      <c r="A115" s="243"/>
      <c r="B115" s="115" t="s">
        <v>168</v>
      </c>
      <c r="C115" s="116">
        <v>50000.0</v>
      </c>
      <c r="D115" s="95"/>
      <c r="E115" s="95"/>
      <c r="F115" s="95"/>
      <c r="G115" s="95"/>
      <c r="H115" s="97">
        <f t="shared" si="7"/>
        <v>50000</v>
      </c>
      <c r="J115" s="98" t="s">
        <v>93</v>
      </c>
      <c r="K115" s="116" t="s">
        <v>350</v>
      </c>
      <c r="L115" s="116">
        <v>50000.0</v>
      </c>
    </row>
    <row r="116" ht="15.75" customHeight="1">
      <c r="A116" s="243"/>
      <c r="B116" s="115" t="s">
        <v>169</v>
      </c>
      <c r="C116" s="116">
        <v>80000.0</v>
      </c>
      <c r="D116" s="95"/>
      <c r="E116" s="95"/>
      <c r="F116" s="95"/>
      <c r="G116" s="95"/>
      <c r="H116" s="97">
        <f t="shared" si="7"/>
        <v>80000</v>
      </c>
      <c r="J116" s="98" t="s">
        <v>93</v>
      </c>
      <c r="K116" s="116" t="s">
        <v>350</v>
      </c>
      <c r="L116" s="116">
        <v>80000.0</v>
      </c>
    </row>
    <row r="117" ht="15.75" customHeight="1">
      <c r="A117" s="243"/>
      <c r="B117" s="115" t="s">
        <v>173</v>
      </c>
      <c r="C117" s="116">
        <v>8500.0</v>
      </c>
      <c r="D117" s="95"/>
      <c r="E117" s="95"/>
      <c r="F117" s="95"/>
      <c r="G117" s="95"/>
      <c r="H117" s="97">
        <f t="shared" si="7"/>
        <v>8500</v>
      </c>
      <c r="J117" s="98" t="s">
        <v>93</v>
      </c>
      <c r="K117" s="116" t="s">
        <v>350</v>
      </c>
      <c r="L117" s="116">
        <v>8500.0</v>
      </c>
    </row>
    <row r="118" ht="15.75" customHeight="1">
      <c r="A118" s="243"/>
      <c r="B118" s="115" t="s">
        <v>174</v>
      </c>
      <c r="C118" s="116">
        <v>14000.0</v>
      </c>
      <c r="D118" s="95"/>
      <c r="E118" s="95"/>
      <c r="F118" s="95"/>
      <c r="G118" s="95"/>
      <c r="H118" s="97">
        <f t="shared" si="7"/>
        <v>14000</v>
      </c>
      <c r="J118" s="98" t="s">
        <v>93</v>
      </c>
      <c r="K118" s="116" t="s">
        <v>350</v>
      </c>
      <c r="L118" s="116">
        <v>14000.0</v>
      </c>
    </row>
    <row r="119" ht="15.75" customHeight="1">
      <c r="A119" s="243"/>
      <c r="B119" s="115" t="s">
        <v>175</v>
      </c>
      <c r="C119" s="116">
        <v>1200.0</v>
      </c>
      <c r="D119" s="95"/>
      <c r="E119" s="95"/>
      <c r="F119" s="95"/>
      <c r="G119" s="95"/>
      <c r="H119" s="97">
        <f t="shared" si="7"/>
        <v>1200</v>
      </c>
      <c r="J119" s="98" t="s">
        <v>93</v>
      </c>
      <c r="K119" s="116" t="s">
        <v>350</v>
      </c>
      <c r="L119" s="116">
        <v>1200.0</v>
      </c>
    </row>
    <row r="120" ht="15.75" customHeight="1">
      <c r="A120" s="243"/>
      <c r="B120" s="115" t="s">
        <v>344</v>
      </c>
      <c r="C120" s="116">
        <v>60000.0</v>
      </c>
      <c r="D120" s="95"/>
      <c r="E120" s="95"/>
      <c r="F120" s="95"/>
      <c r="G120" s="95"/>
      <c r="H120" s="97"/>
      <c r="J120" s="98" t="s">
        <v>93</v>
      </c>
      <c r="K120" s="58" t="s">
        <v>350</v>
      </c>
      <c r="L120" s="14">
        <f t="shared" ref="L120:L122" si="8">C120</f>
        <v>60000</v>
      </c>
    </row>
    <row r="121" ht="15.75" customHeight="1">
      <c r="A121" s="243"/>
      <c r="B121" s="115" t="s">
        <v>176</v>
      </c>
      <c r="C121" s="116">
        <v>18000.0</v>
      </c>
      <c r="D121" s="95"/>
      <c r="E121" s="95"/>
      <c r="F121" s="95"/>
      <c r="G121" s="95"/>
      <c r="H121" s="97"/>
      <c r="J121" s="98" t="s">
        <v>93</v>
      </c>
      <c r="K121" s="58" t="s">
        <v>350</v>
      </c>
      <c r="L121" s="14">
        <f t="shared" si="8"/>
        <v>18000</v>
      </c>
    </row>
    <row r="122" ht="15.75" customHeight="1">
      <c r="A122" s="243"/>
      <c r="B122" s="115" t="s">
        <v>21</v>
      </c>
      <c r="C122" s="116">
        <v>16000.0</v>
      </c>
      <c r="D122" s="95"/>
      <c r="E122" s="95"/>
      <c r="F122" s="95"/>
      <c r="G122" s="95"/>
      <c r="H122" s="97"/>
      <c r="J122" s="98" t="s">
        <v>93</v>
      </c>
      <c r="K122" s="58" t="s">
        <v>350</v>
      </c>
      <c r="L122" s="14">
        <f t="shared" si="8"/>
        <v>16000</v>
      </c>
    </row>
    <row r="123" ht="15.75" customHeight="1">
      <c r="A123" s="243"/>
      <c r="B123" s="115" t="s">
        <v>485</v>
      </c>
      <c r="C123" s="116">
        <v>500000.0</v>
      </c>
      <c r="D123" s="95"/>
      <c r="E123" s="95"/>
      <c r="F123" s="95"/>
      <c r="G123" s="95"/>
      <c r="H123" s="97"/>
      <c r="J123" s="11" t="s">
        <v>226</v>
      </c>
      <c r="K123" s="14"/>
      <c r="L123" s="14"/>
      <c r="M123" s="11" t="s">
        <v>488</v>
      </c>
    </row>
    <row r="124" ht="15.75" customHeight="1">
      <c r="A124" s="243"/>
      <c r="B124" s="115" t="s">
        <v>489</v>
      </c>
      <c r="C124" s="116">
        <v>40000.0</v>
      </c>
      <c r="D124" s="95"/>
      <c r="E124" s="95"/>
      <c r="F124" s="95"/>
      <c r="G124" s="95"/>
      <c r="H124" s="97"/>
      <c r="J124" s="11" t="s">
        <v>199</v>
      </c>
      <c r="K124" s="14"/>
      <c r="L124" s="14"/>
    </row>
    <row r="125" ht="15.75" customHeight="1">
      <c r="A125" s="243"/>
      <c r="B125" s="121" t="s">
        <v>177</v>
      </c>
      <c r="C125" s="142">
        <v>270000.0</v>
      </c>
      <c r="D125" s="95"/>
      <c r="E125" s="125"/>
      <c r="F125" s="63"/>
      <c r="G125" s="63"/>
      <c r="H125" s="128">
        <f>C125</f>
        <v>270000</v>
      </c>
      <c r="J125" s="98" t="s">
        <v>93</v>
      </c>
      <c r="K125" s="58" t="s">
        <v>350</v>
      </c>
      <c r="L125" s="14">
        <f>C125</f>
        <v>270000</v>
      </c>
    </row>
    <row r="126" ht="15.75" customHeight="1">
      <c r="A126" s="243"/>
      <c r="B126" s="115" t="s">
        <v>492</v>
      </c>
      <c r="C126" s="116">
        <v>20000.0</v>
      </c>
      <c r="D126" s="95"/>
      <c r="E126" s="95"/>
      <c r="F126" s="95"/>
      <c r="G126" s="95"/>
      <c r="H126" s="97"/>
      <c r="J126" s="11" t="s">
        <v>199</v>
      </c>
      <c r="K126" s="14"/>
      <c r="L126" s="14"/>
    </row>
    <row r="127" ht="15.75" customHeight="1">
      <c r="A127" s="243"/>
      <c r="B127" s="115" t="s">
        <v>493</v>
      </c>
      <c r="C127" s="116">
        <v>300000.0</v>
      </c>
      <c r="D127" s="95"/>
      <c r="E127" s="95"/>
      <c r="F127" s="95"/>
      <c r="G127" s="95"/>
      <c r="H127" s="97"/>
      <c r="J127" s="11" t="s">
        <v>199</v>
      </c>
      <c r="K127" s="14"/>
      <c r="L127" s="14"/>
    </row>
    <row r="128" ht="15.75" customHeight="1">
      <c r="A128" s="243"/>
      <c r="B128" s="115" t="s">
        <v>494</v>
      </c>
      <c r="C128" s="116">
        <v>300000.0</v>
      </c>
      <c r="D128" s="95"/>
      <c r="E128" s="95"/>
      <c r="F128" s="95"/>
      <c r="G128" s="95"/>
      <c r="H128" s="97"/>
      <c r="J128" s="11" t="s">
        <v>93</v>
      </c>
      <c r="K128" s="58"/>
      <c r="L128" s="58">
        <v>0.0</v>
      </c>
      <c r="M128" s="11" t="s">
        <v>496</v>
      </c>
    </row>
    <row r="129" ht="15.75" customHeight="1">
      <c r="A129" s="243"/>
      <c r="B129" s="115" t="s">
        <v>178</v>
      </c>
      <c r="C129" s="116">
        <v>2000.0</v>
      </c>
      <c r="D129" s="95"/>
      <c r="E129" s="95"/>
      <c r="F129" s="95"/>
      <c r="G129" s="95"/>
      <c r="H129" s="97"/>
      <c r="J129" s="98" t="s">
        <v>93</v>
      </c>
      <c r="K129" s="58" t="s">
        <v>350</v>
      </c>
      <c r="L129" s="14">
        <f t="shared" ref="L129:L130" si="9">C129</f>
        <v>2000</v>
      </c>
      <c r="M129" s="11" t="s">
        <v>179</v>
      </c>
    </row>
    <row r="130" ht="15.75" customHeight="1">
      <c r="A130" s="243"/>
      <c r="B130" s="115" t="s">
        <v>182</v>
      </c>
      <c r="C130" s="116">
        <v>25000.0</v>
      </c>
      <c r="D130" s="95"/>
      <c r="E130" s="95"/>
      <c r="F130" s="95"/>
      <c r="G130" s="95"/>
      <c r="H130" s="97"/>
      <c r="J130" s="98" t="s">
        <v>93</v>
      </c>
      <c r="K130" s="58" t="s">
        <v>350</v>
      </c>
      <c r="L130" s="14">
        <f t="shared" si="9"/>
        <v>25000</v>
      </c>
    </row>
    <row r="131" ht="15.75" customHeight="1">
      <c r="A131" s="243"/>
      <c r="B131" s="115"/>
      <c r="C131" s="116"/>
      <c r="D131" s="95"/>
      <c r="E131" s="95"/>
      <c r="F131" s="95"/>
      <c r="G131" s="95"/>
      <c r="H131" s="97"/>
      <c r="K131" s="14"/>
      <c r="L131" s="14"/>
    </row>
    <row r="132" ht="15.75" customHeight="1">
      <c r="A132" s="243"/>
      <c r="B132" s="115"/>
      <c r="C132" s="116"/>
      <c r="D132" s="95"/>
      <c r="E132" s="95"/>
      <c r="F132" s="95"/>
      <c r="G132" s="95"/>
      <c r="H132" s="97"/>
      <c r="K132" s="14"/>
      <c r="L132" s="14"/>
    </row>
    <row r="133" ht="15.75" customHeight="1">
      <c r="A133" s="243"/>
      <c r="B133" s="164" t="s">
        <v>191</v>
      </c>
      <c r="C133" s="165">
        <v>2565835.39</v>
      </c>
      <c r="D133" s="93" t="s">
        <v>192</v>
      </c>
      <c r="E133" s="95"/>
      <c r="F133" s="95"/>
      <c r="G133" s="95"/>
      <c r="H133" s="97"/>
      <c r="J133" s="98" t="s">
        <v>93</v>
      </c>
      <c r="K133" s="58" t="s">
        <v>350</v>
      </c>
      <c r="L133" s="58">
        <v>300000.0</v>
      </c>
    </row>
    <row r="134" ht="15.75" customHeight="1">
      <c r="A134" s="243"/>
      <c r="B134" s="164" t="s">
        <v>196</v>
      </c>
      <c r="C134" s="165">
        <v>162168.05</v>
      </c>
      <c r="D134" s="93" t="s">
        <v>197</v>
      </c>
      <c r="E134" s="95"/>
      <c r="F134" s="95"/>
      <c r="G134" s="95"/>
      <c r="H134" s="97"/>
      <c r="K134" s="14"/>
      <c r="L134" s="14"/>
    </row>
    <row r="135" ht="15.75" customHeight="1">
      <c r="A135" s="243"/>
      <c r="B135" s="164" t="s">
        <v>500</v>
      </c>
      <c r="C135" s="165">
        <v>1455084.28</v>
      </c>
      <c r="D135" s="95"/>
      <c r="E135" s="95"/>
      <c r="F135" s="95"/>
      <c r="G135" s="95"/>
      <c r="H135" s="97"/>
      <c r="K135" s="14"/>
      <c r="L135" s="14"/>
    </row>
    <row r="136" ht="15.75" customHeight="1">
      <c r="A136" s="243"/>
      <c r="B136" s="115" t="s">
        <v>75</v>
      </c>
      <c r="C136" s="116">
        <v>242400.0</v>
      </c>
      <c r="D136" s="93" t="s">
        <v>501</v>
      </c>
      <c r="E136" s="95"/>
      <c r="F136" s="95"/>
      <c r="G136" s="95"/>
      <c r="H136" s="97"/>
      <c r="J136" s="11" t="s">
        <v>199</v>
      </c>
      <c r="K136" s="14"/>
      <c r="L136" s="14"/>
    </row>
    <row r="137" ht="15.75" customHeight="1">
      <c r="A137" s="243"/>
      <c r="B137" s="115" t="s">
        <v>62</v>
      </c>
      <c r="C137" s="116">
        <v>123000.0</v>
      </c>
      <c r="D137" s="93" t="s">
        <v>504</v>
      </c>
      <c r="E137" s="95"/>
      <c r="F137" s="95"/>
      <c r="G137" s="95"/>
      <c r="H137" s="97"/>
      <c r="J137" s="98" t="s">
        <v>93</v>
      </c>
      <c r="K137" s="58" t="s">
        <v>350</v>
      </c>
      <c r="L137" s="58">
        <f>C137</f>
        <v>123000</v>
      </c>
    </row>
    <row r="138" ht="15.75" customHeight="1">
      <c r="A138" s="243"/>
      <c r="B138" s="115" t="s">
        <v>505</v>
      </c>
      <c r="C138" s="116">
        <v>984013.26</v>
      </c>
      <c r="D138" s="95"/>
      <c r="E138" s="95"/>
      <c r="F138" s="95"/>
      <c r="G138" s="95"/>
      <c r="H138" s="97"/>
      <c r="K138" s="14"/>
      <c r="L138" s="14"/>
    </row>
    <row r="139" ht="15.75" customHeight="1">
      <c r="A139" s="243"/>
      <c r="B139" s="115" t="s">
        <v>188</v>
      </c>
      <c r="C139" s="116">
        <v>100000.0</v>
      </c>
      <c r="D139" s="95"/>
      <c r="E139" s="95"/>
      <c r="F139" s="95"/>
      <c r="G139" s="95"/>
      <c r="H139" s="97"/>
      <c r="J139" s="98" t="s">
        <v>93</v>
      </c>
      <c r="K139" s="58" t="s">
        <v>350</v>
      </c>
      <c r="L139" s="58">
        <f>C139</f>
        <v>100000</v>
      </c>
    </row>
    <row r="140" ht="15.75" customHeight="1">
      <c r="A140" s="243"/>
      <c r="B140" s="115" t="s">
        <v>290</v>
      </c>
      <c r="C140" s="116">
        <v>34233.74</v>
      </c>
      <c r="D140" s="95"/>
      <c r="E140" s="95"/>
      <c r="F140" s="95"/>
      <c r="G140" s="95"/>
      <c r="H140" s="97"/>
      <c r="K140" s="14"/>
      <c r="L140" s="14"/>
    </row>
    <row r="141" ht="15.75" customHeight="1">
      <c r="A141" s="243"/>
      <c r="B141" s="164" t="s">
        <v>508</v>
      </c>
      <c r="C141" s="165">
        <v>199570.14</v>
      </c>
      <c r="D141" s="95"/>
      <c r="E141" s="95"/>
      <c r="F141" s="95"/>
      <c r="G141" s="95"/>
      <c r="H141" s="97"/>
      <c r="K141" s="14"/>
      <c r="L141" s="14"/>
    </row>
    <row r="142" ht="15.75" customHeight="1">
      <c r="A142" s="243"/>
      <c r="B142" s="115" t="s">
        <v>509</v>
      </c>
      <c r="C142" s="116"/>
      <c r="D142" s="95"/>
      <c r="E142" s="95"/>
      <c r="F142" s="95"/>
      <c r="G142" s="95"/>
      <c r="H142" s="97"/>
      <c r="K142" s="14"/>
      <c r="L142" s="14"/>
    </row>
    <row r="143" ht="15.75" customHeight="1">
      <c r="A143" s="243"/>
      <c r="B143" s="115" t="s">
        <v>510</v>
      </c>
      <c r="C143" s="116">
        <v>25000.0</v>
      </c>
      <c r="D143" s="95"/>
      <c r="E143" s="95"/>
      <c r="F143" s="95"/>
      <c r="G143" s="95"/>
      <c r="H143" s="97"/>
      <c r="K143" s="14"/>
      <c r="L143" s="14"/>
    </row>
    <row r="144" ht="15.75" customHeight="1">
      <c r="A144" s="243"/>
      <c r="B144" s="115" t="s">
        <v>511</v>
      </c>
      <c r="C144" s="116">
        <v>50000.0</v>
      </c>
      <c r="D144" s="95"/>
      <c r="E144" s="95"/>
      <c r="F144" s="95"/>
      <c r="G144" s="95"/>
      <c r="H144" s="97"/>
      <c r="K144" s="14"/>
      <c r="L144" s="14"/>
    </row>
    <row r="145" ht="15.75" customHeight="1">
      <c r="A145" s="243"/>
      <c r="B145" s="115"/>
      <c r="C145" s="116"/>
      <c r="D145" s="95"/>
      <c r="E145" s="95"/>
      <c r="F145" s="95"/>
      <c r="G145" s="95"/>
      <c r="H145" s="97"/>
      <c r="K145" s="14"/>
      <c r="L145" s="14"/>
    </row>
    <row r="146" ht="15.75" customHeight="1">
      <c r="A146" s="243"/>
      <c r="B146" s="115"/>
      <c r="C146" s="116"/>
      <c r="D146" s="95"/>
      <c r="E146" s="95"/>
      <c r="F146" s="95"/>
      <c r="G146" s="95"/>
      <c r="H146" s="97"/>
      <c r="K146" s="14"/>
      <c r="L146" s="14"/>
    </row>
    <row r="147" ht="15.75" customHeight="1">
      <c r="A147" s="243"/>
      <c r="B147" s="115" t="s">
        <v>23</v>
      </c>
      <c r="C147" s="116"/>
      <c r="D147" s="95"/>
      <c r="E147" s="95"/>
      <c r="F147" s="95"/>
      <c r="G147" s="95"/>
      <c r="H147" s="97"/>
      <c r="K147" s="14"/>
      <c r="L147" s="14"/>
    </row>
    <row r="148" ht="15.75" customHeight="1">
      <c r="A148" s="243"/>
      <c r="B148" s="115"/>
      <c r="C148" s="116"/>
      <c r="D148" s="95"/>
      <c r="E148" s="95"/>
      <c r="F148" s="95"/>
      <c r="G148" s="95"/>
      <c r="H148" s="97"/>
      <c r="K148" s="14"/>
      <c r="L148" s="14"/>
    </row>
    <row r="149" ht="15.75" customHeight="1">
      <c r="A149" s="243"/>
      <c r="B149" s="115" t="s">
        <v>514</v>
      </c>
      <c r="C149" s="116"/>
      <c r="D149" s="95"/>
      <c r="E149" s="95"/>
      <c r="F149" s="95"/>
      <c r="G149" s="95"/>
      <c r="H149" s="97"/>
      <c r="K149" s="14"/>
      <c r="L149" s="14"/>
    </row>
    <row r="150" ht="15.75" customHeight="1">
      <c r="A150" s="243"/>
      <c r="B150" s="115" t="s">
        <v>203</v>
      </c>
      <c r="C150" s="116">
        <v>12000.0</v>
      </c>
      <c r="D150" s="95"/>
      <c r="E150" s="95"/>
      <c r="F150" s="95"/>
      <c r="G150" s="95"/>
      <c r="H150" s="97"/>
      <c r="J150" s="98" t="s">
        <v>93</v>
      </c>
      <c r="K150" s="58" t="s">
        <v>350</v>
      </c>
      <c r="L150" s="58">
        <f t="shared" ref="L150:L151" si="10">C150</f>
        <v>12000</v>
      </c>
    </row>
    <row r="151" ht="15.75" customHeight="1">
      <c r="A151" s="243"/>
      <c r="B151" s="115" t="s">
        <v>206</v>
      </c>
      <c r="C151" s="116">
        <v>1100.0</v>
      </c>
      <c r="D151" s="95"/>
      <c r="E151" s="95"/>
      <c r="F151" s="95"/>
      <c r="G151" s="95"/>
      <c r="H151" s="97"/>
      <c r="J151" s="98" t="s">
        <v>93</v>
      </c>
      <c r="K151" s="58" t="s">
        <v>350</v>
      </c>
      <c r="L151" s="58">
        <f t="shared" si="10"/>
        <v>1100</v>
      </c>
    </row>
    <row r="152" ht="15.75" customHeight="1">
      <c r="A152" s="243"/>
      <c r="B152" s="115" t="s">
        <v>520</v>
      </c>
      <c r="C152" s="116">
        <v>7580.0</v>
      </c>
      <c r="D152" s="95"/>
      <c r="E152" s="95"/>
      <c r="F152" s="95"/>
      <c r="G152" s="95"/>
      <c r="H152" s="97"/>
      <c r="K152" s="14"/>
      <c r="L152" s="14"/>
    </row>
    <row r="153" ht="15.75" customHeight="1">
      <c r="A153" s="243"/>
      <c r="B153" s="115" t="s">
        <v>522</v>
      </c>
      <c r="C153" s="116"/>
      <c r="D153" s="95"/>
      <c r="E153" s="95"/>
      <c r="F153" s="95"/>
      <c r="G153" s="95"/>
      <c r="H153" s="97"/>
      <c r="K153" s="14"/>
      <c r="L153" s="14"/>
    </row>
    <row r="154" ht="15.75" customHeight="1">
      <c r="A154" s="243"/>
      <c r="B154" s="115" t="s">
        <v>524</v>
      </c>
      <c r="C154" s="116">
        <v>38000.0</v>
      </c>
      <c r="D154" s="95"/>
      <c r="E154" s="95"/>
      <c r="F154" s="95"/>
      <c r="G154" s="95"/>
      <c r="H154" s="97"/>
      <c r="K154" s="14"/>
      <c r="L154" s="14"/>
    </row>
    <row r="155" ht="15.75" customHeight="1">
      <c r="A155" s="243"/>
      <c r="B155" s="115" t="s">
        <v>526</v>
      </c>
      <c r="C155" s="116"/>
      <c r="D155" s="95"/>
      <c r="E155" s="95"/>
      <c r="F155" s="95"/>
      <c r="G155" s="95"/>
      <c r="H155" s="97"/>
      <c r="K155" s="14"/>
      <c r="L155" s="14"/>
    </row>
    <row r="156" ht="15.75" customHeight="1">
      <c r="A156" s="243"/>
      <c r="B156" s="115" t="s">
        <v>207</v>
      </c>
      <c r="C156" s="116">
        <v>1740.0</v>
      </c>
      <c r="D156" s="95"/>
      <c r="E156" s="95"/>
      <c r="F156" s="95"/>
      <c r="G156" s="95"/>
      <c r="H156" s="97"/>
      <c r="J156" s="98" t="s">
        <v>93</v>
      </c>
      <c r="K156" s="58" t="s">
        <v>350</v>
      </c>
      <c r="L156" s="58">
        <f t="shared" ref="L156:L159" si="11">C156</f>
        <v>1740</v>
      </c>
    </row>
    <row r="157" ht="15.75" customHeight="1">
      <c r="A157" s="243"/>
      <c r="B157" s="115" t="s">
        <v>33</v>
      </c>
      <c r="C157" s="116">
        <v>840.0</v>
      </c>
      <c r="D157" s="95"/>
      <c r="E157" s="95"/>
      <c r="F157" s="95"/>
      <c r="G157" s="95"/>
      <c r="H157" s="97"/>
      <c r="J157" s="98" t="s">
        <v>93</v>
      </c>
      <c r="K157" s="58" t="s">
        <v>350</v>
      </c>
      <c r="L157" s="58">
        <f t="shared" si="11"/>
        <v>840</v>
      </c>
    </row>
    <row r="158" ht="15.75" customHeight="1">
      <c r="A158" s="243"/>
      <c r="B158" s="115" t="s">
        <v>34</v>
      </c>
      <c r="C158" s="116">
        <v>5000.0</v>
      </c>
      <c r="D158" s="95"/>
      <c r="E158" s="95"/>
      <c r="F158" s="95"/>
      <c r="G158" s="95"/>
      <c r="H158" s="97"/>
      <c r="J158" s="98" t="s">
        <v>93</v>
      </c>
      <c r="K158" s="58" t="s">
        <v>350</v>
      </c>
      <c r="L158" s="58">
        <f t="shared" si="11"/>
        <v>5000</v>
      </c>
    </row>
    <row r="159" ht="15.75" customHeight="1">
      <c r="A159" s="243"/>
      <c r="B159" s="115" t="s">
        <v>35</v>
      </c>
      <c r="C159" s="116">
        <v>3500.0</v>
      </c>
      <c r="D159" s="95"/>
      <c r="E159" s="95"/>
      <c r="F159" s="95"/>
      <c r="G159" s="95"/>
      <c r="H159" s="97"/>
      <c r="J159" s="98" t="s">
        <v>93</v>
      </c>
      <c r="K159" s="58" t="s">
        <v>350</v>
      </c>
      <c r="L159" s="58">
        <f t="shared" si="11"/>
        <v>3500</v>
      </c>
    </row>
    <row r="160" ht="15.75" customHeight="1">
      <c r="A160" s="243"/>
      <c r="B160" s="115" t="s">
        <v>528</v>
      </c>
      <c r="C160" s="116"/>
      <c r="D160" s="95"/>
      <c r="E160" s="95"/>
      <c r="F160" s="95"/>
      <c r="G160" s="95"/>
      <c r="H160" s="97"/>
      <c r="K160" s="14"/>
      <c r="L160" s="14"/>
    </row>
    <row r="161" ht="15.75" customHeight="1">
      <c r="A161" s="243"/>
      <c r="B161" s="115" t="s">
        <v>210</v>
      </c>
      <c r="C161" s="116">
        <v>25000.0</v>
      </c>
      <c r="D161" s="95"/>
      <c r="E161" s="95"/>
      <c r="F161" s="95"/>
      <c r="G161" s="95"/>
      <c r="H161" s="97"/>
      <c r="J161" s="98" t="s">
        <v>93</v>
      </c>
      <c r="K161" s="58" t="s">
        <v>350</v>
      </c>
      <c r="L161" s="58">
        <f>C161</f>
        <v>25000</v>
      </c>
    </row>
    <row r="162" ht="15.75" customHeight="1">
      <c r="A162" s="243"/>
      <c r="B162" s="115">
        <v>1510.0</v>
      </c>
      <c r="C162" s="116">
        <v>94760.0</v>
      </c>
      <c r="D162" s="95"/>
      <c r="E162" s="95"/>
      <c r="F162" s="95"/>
      <c r="G162" s="95"/>
      <c r="H162" s="97"/>
      <c r="K162" s="14"/>
      <c r="L162" s="14"/>
    </row>
    <row r="163" ht="15.75" customHeight="1">
      <c r="A163" s="243"/>
      <c r="B163" s="115"/>
      <c r="C163" s="116"/>
      <c r="D163" s="95"/>
      <c r="E163" s="95"/>
      <c r="F163" s="95"/>
      <c r="G163" s="95"/>
      <c r="H163" s="97"/>
      <c r="K163" s="14"/>
      <c r="L163" s="14"/>
    </row>
    <row r="164" ht="15.75" customHeight="1">
      <c r="A164" s="243"/>
      <c r="B164" s="115"/>
      <c r="C164" s="116"/>
      <c r="D164" s="95"/>
      <c r="E164" s="95"/>
      <c r="F164" s="95"/>
      <c r="G164" s="95"/>
      <c r="H164" s="97"/>
      <c r="K164" s="14"/>
      <c r="L164" s="14"/>
    </row>
    <row r="165" ht="15.75" customHeight="1">
      <c r="A165" s="243"/>
      <c r="B165" s="115"/>
      <c r="C165" s="116"/>
      <c r="D165" s="95"/>
      <c r="E165" s="95"/>
      <c r="F165" s="95"/>
      <c r="G165" s="95"/>
      <c r="H165" s="97"/>
      <c r="K165" s="14"/>
      <c r="L165" s="14"/>
    </row>
    <row r="166" ht="15.75" customHeight="1">
      <c r="A166" s="243"/>
      <c r="B166" s="115"/>
      <c r="C166" s="116"/>
      <c r="D166" s="95"/>
      <c r="E166" s="95"/>
      <c r="F166" s="95"/>
      <c r="G166" s="95"/>
      <c r="H166" s="97"/>
      <c r="K166" s="14"/>
      <c r="L166" s="14"/>
    </row>
    <row r="167" ht="15.75" customHeight="1">
      <c r="A167" s="114" t="s">
        <v>345</v>
      </c>
      <c r="B167" s="238" t="s">
        <v>355</v>
      </c>
      <c r="C167" s="128"/>
      <c r="D167" s="95"/>
      <c r="E167" s="125"/>
      <c r="F167" s="63"/>
      <c r="G167" s="63"/>
      <c r="H167" s="63"/>
      <c r="K167" s="14"/>
      <c r="L167" s="14"/>
    </row>
    <row r="168" ht="15.75" customHeight="1">
      <c r="A168" s="114" t="s">
        <v>347</v>
      </c>
      <c r="B168" s="239" t="s">
        <v>348</v>
      </c>
      <c r="C168" s="240">
        <f>SUM(C169:C174)</f>
        <v>174000</v>
      </c>
      <c r="D168" s="95"/>
      <c r="E168" s="95"/>
      <c r="F168" s="95"/>
      <c r="G168" s="95"/>
      <c r="H168" s="241">
        <f>SUM(H169:H174)</f>
        <v>150000</v>
      </c>
      <c r="K168" s="242"/>
      <c r="L168" s="242">
        <f>SUM(L170:L174)</f>
        <v>74000</v>
      </c>
    </row>
    <row r="169" ht="15.75" customHeight="1">
      <c r="A169" s="243"/>
      <c r="B169" s="115" t="s">
        <v>532</v>
      </c>
      <c r="C169" s="116">
        <v>100000.0</v>
      </c>
      <c r="D169" s="93"/>
      <c r="F169" s="95"/>
      <c r="G169" s="95"/>
      <c r="H169" s="97">
        <f t="shared" ref="H169:H172" si="12">C169</f>
        <v>100000</v>
      </c>
      <c r="J169" s="170" t="s">
        <v>199</v>
      </c>
      <c r="K169" s="14"/>
      <c r="L169" s="14"/>
      <c r="M169" s="11" t="s">
        <v>534</v>
      </c>
    </row>
    <row r="170" ht="15.75" customHeight="1">
      <c r="A170" s="243"/>
      <c r="B170" s="115" t="s">
        <v>212</v>
      </c>
      <c r="C170" s="116">
        <v>14000.0</v>
      </c>
      <c r="D170" s="93"/>
      <c r="F170" s="95"/>
      <c r="G170" s="95"/>
      <c r="H170" s="97">
        <f t="shared" si="12"/>
        <v>14000</v>
      </c>
      <c r="J170" s="98" t="s">
        <v>93</v>
      </c>
      <c r="K170" s="116" t="s">
        <v>350</v>
      </c>
      <c r="L170" s="116">
        <v>14000.0</v>
      </c>
    </row>
    <row r="171" ht="15.75" customHeight="1">
      <c r="A171" s="243"/>
      <c r="B171" s="115" t="s">
        <v>215</v>
      </c>
      <c r="C171" s="116">
        <v>9000.0</v>
      </c>
      <c r="D171" s="93"/>
      <c r="F171" s="95"/>
      <c r="G171" s="95"/>
      <c r="H171" s="97">
        <f t="shared" si="12"/>
        <v>9000</v>
      </c>
      <c r="J171" s="98" t="s">
        <v>93</v>
      </c>
      <c r="K171" s="116" t="s">
        <v>350</v>
      </c>
      <c r="L171" s="116">
        <v>9000.0</v>
      </c>
    </row>
    <row r="172" ht="15.75" customHeight="1">
      <c r="A172" s="243"/>
      <c r="B172" s="115" t="s">
        <v>216</v>
      </c>
      <c r="C172" s="116">
        <v>15000.0</v>
      </c>
      <c r="D172" s="93"/>
      <c r="F172" s="95"/>
      <c r="G172" s="95"/>
      <c r="H172" s="97">
        <f t="shared" si="12"/>
        <v>15000</v>
      </c>
      <c r="J172" s="98" t="s">
        <v>93</v>
      </c>
      <c r="K172" s="116" t="s">
        <v>350</v>
      </c>
      <c r="L172" s="116">
        <v>15000.0</v>
      </c>
    </row>
    <row r="173" ht="15.75" customHeight="1">
      <c r="A173" s="243"/>
      <c r="B173" s="115" t="s">
        <v>218</v>
      </c>
      <c r="C173" s="116">
        <v>24000.0</v>
      </c>
      <c r="D173" s="95"/>
      <c r="E173" s="95"/>
      <c r="F173" s="95"/>
      <c r="G173" s="95"/>
      <c r="H173" s="119" t="s">
        <v>535</v>
      </c>
      <c r="J173" s="98" t="s">
        <v>93</v>
      </c>
      <c r="K173" s="116" t="s">
        <v>350</v>
      </c>
      <c r="L173" s="116">
        <v>24000.0</v>
      </c>
    </row>
    <row r="174" ht="15.75" customHeight="1">
      <c r="A174" s="243"/>
      <c r="B174" s="115" t="s">
        <v>219</v>
      </c>
      <c r="C174" s="116">
        <v>12000.0</v>
      </c>
      <c r="D174" s="95"/>
      <c r="E174" s="95"/>
      <c r="F174" s="95"/>
      <c r="G174" s="95"/>
      <c r="H174" s="97">
        <f>C174</f>
        <v>12000</v>
      </c>
      <c r="J174" s="98" t="s">
        <v>93</v>
      </c>
      <c r="K174" s="116" t="s">
        <v>350</v>
      </c>
      <c r="L174" s="116">
        <v>12000.0</v>
      </c>
    </row>
    <row r="175" ht="15.75" customHeight="1">
      <c r="A175" s="243"/>
      <c r="B175" s="115"/>
      <c r="C175" s="116"/>
      <c r="D175" s="95"/>
      <c r="E175" s="95"/>
      <c r="F175" s="95"/>
      <c r="G175" s="95"/>
      <c r="H175" s="97"/>
      <c r="K175" s="14"/>
      <c r="L175" s="14"/>
    </row>
    <row r="176" ht="15.75" customHeight="1">
      <c r="A176" s="114" t="s">
        <v>345</v>
      </c>
      <c r="B176" s="238" t="s">
        <v>536</v>
      </c>
      <c r="C176" s="128"/>
      <c r="D176" s="95"/>
      <c r="E176" s="125"/>
      <c r="F176" s="63"/>
      <c r="G176" s="63"/>
      <c r="H176" s="63"/>
      <c r="K176" s="14"/>
      <c r="L176" s="14"/>
    </row>
    <row r="177" ht="15.75" customHeight="1">
      <c r="A177" s="114" t="s">
        <v>347</v>
      </c>
      <c r="B177" s="239" t="s">
        <v>348</v>
      </c>
      <c r="C177" s="240">
        <f>SUM(C178)</f>
        <v>700000</v>
      </c>
      <c r="D177" s="95"/>
      <c r="E177" s="95"/>
      <c r="F177" s="95"/>
      <c r="G177" s="95"/>
      <c r="H177" s="241">
        <f>SUM(H178)</f>
        <v>700000</v>
      </c>
      <c r="K177" s="242"/>
      <c r="L177" s="242">
        <f>SUM(L178)</f>
        <v>700000</v>
      </c>
    </row>
    <row r="178" ht="15.75" customHeight="1">
      <c r="A178" s="243"/>
      <c r="B178" s="115" t="s">
        <v>221</v>
      </c>
      <c r="C178" s="116">
        <v>700000.0</v>
      </c>
      <c r="D178" s="95"/>
      <c r="E178" s="95"/>
      <c r="F178" s="95"/>
      <c r="G178" s="95"/>
      <c r="H178" s="97">
        <f>C178</f>
        <v>700000</v>
      </c>
      <c r="J178" s="98" t="s">
        <v>93</v>
      </c>
      <c r="K178" s="116" t="s">
        <v>350</v>
      </c>
      <c r="L178" s="116">
        <v>700000.0</v>
      </c>
    </row>
    <row r="179" ht="15.75" customHeight="1">
      <c r="A179" s="243"/>
      <c r="B179" s="115"/>
      <c r="C179" s="116"/>
      <c r="D179" s="95"/>
      <c r="E179" s="95"/>
      <c r="F179" s="95"/>
      <c r="G179" s="95"/>
      <c r="H179" s="97"/>
      <c r="J179" s="98"/>
      <c r="K179" s="116"/>
      <c r="L179" s="116"/>
    </row>
    <row r="180" ht="15.75" customHeight="1">
      <c r="A180" s="114" t="s">
        <v>234</v>
      </c>
      <c r="B180" s="246" t="s">
        <v>537</v>
      </c>
      <c r="C180" s="305">
        <f>SUM(C181:C182)</f>
        <v>9000</v>
      </c>
      <c r="D180" s="95"/>
      <c r="E180" s="95"/>
      <c r="F180" s="95"/>
      <c r="G180" s="95"/>
      <c r="H180" s="305">
        <f>SUM(H181:H182)</f>
        <v>9000</v>
      </c>
      <c r="J180" s="98"/>
      <c r="K180" s="116"/>
      <c r="L180" s="116"/>
    </row>
    <row r="181" ht="15.75" customHeight="1">
      <c r="A181" s="243"/>
      <c r="B181" s="115" t="s">
        <v>222</v>
      </c>
      <c r="C181" s="116">
        <v>4000.0</v>
      </c>
      <c r="D181" s="95"/>
      <c r="E181" s="95"/>
      <c r="F181" s="95"/>
      <c r="G181" s="95"/>
      <c r="H181" s="97">
        <f t="shared" ref="H181:H182" si="13">C181</f>
        <v>4000</v>
      </c>
      <c r="J181" s="98" t="s">
        <v>93</v>
      </c>
      <c r="K181" s="116" t="s">
        <v>350</v>
      </c>
      <c r="L181" s="116">
        <f>H181</f>
        <v>4000</v>
      </c>
    </row>
    <row r="182" ht="15.75" customHeight="1">
      <c r="A182" s="243"/>
      <c r="B182" s="115" t="s">
        <v>540</v>
      </c>
      <c r="C182" s="116">
        <v>5000.0</v>
      </c>
      <c r="D182" s="95"/>
      <c r="E182" s="95"/>
      <c r="F182" s="95"/>
      <c r="G182" s="95"/>
      <c r="H182" s="97">
        <f t="shared" si="13"/>
        <v>5000</v>
      </c>
      <c r="J182" s="167" t="s">
        <v>226</v>
      </c>
      <c r="K182" s="116"/>
      <c r="L182" s="116"/>
      <c r="M182" s="11" t="s">
        <v>227</v>
      </c>
    </row>
    <row r="183" ht="15.75" customHeight="1">
      <c r="A183" s="243"/>
      <c r="B183" s="115"/>
      <c r="C183" s="116"/>
      <c r="D183" s="95"/>
      <c r="E183" s="95"/>
      <c r="F183" s="95"/>
      <c r="G183" s="95"/>
      <c r="H183" s="97"/>
      <c r="J183" s="98"/>
      <c r="K183" s="116"/>
      <c r="L183" s="116"/>
    </row>
    <row r="184" ht="15.75" customHeight="1">
      <c r="A184" s="114" t="s">
        <v>272</v>
      </c>
      <c r="B184" s="246" t="s">
        <v>542</v>
      </c>
      <c r="C184" s="305">
        <f>SUM(C185:C186)</f>
        <v>27000</v>
      </c>
      <c r="D184" s="95"/>
      <c r="E184" s="95"/>
      <c r="F184" s="95"/>
      <c r="G184" s="95"/>
      <c r="H184" s="305">
        <f>SUM(H185:H186)</f>
        <v>27000</v>
      </c>
      <c r="J184" s="98"/>
      <c r="K184" s="116"/>
      <c r="L184" s="116"/>
    </row>
    <row r="185" ht="15.75" customHeight="1">
      <c r="A185" s="243"/>
      <c r="B185" s="115" t="s">
        <v>545</v>
      </c>
      <c r="C185" s="116">
        <v>20000.0</v>
      </c>
      <c r="D185" s="95"/>
      <c r="E185" s="95"/>
      <c r="F185" s="95"/>
      <c r="G185" s="95"/>
      <c r="H185" s="97">
        <f t="shared" ref="H185:H186" si="14">C185</f>
        <v>20000</v>
      </c>
      <c r="J185" s="170" t="s">
        <v>199</v>
      </c>
      <c r="K185" s="116"/>
      <c r="L185" s="116"/>
      <c r="M185" s="11" t="s">
        <v>546</v>
      </c>
    </row>
    <row r="186" ht="15.75" customHeight="1">
      <c r="A186" s="243"/>
      <c r="B186" s="115" t="s">
        <v>547</v>
      </c>
      <c r="C186" s="116">
        <v>7000.0</v>
      </c>
      <c r="D186" s="95"/>
      <c r="E186" s="95"/>
      <c r="F186" s="95"/>
      <c r="G186" s="95"/>
      <c r="H186" s="97">
        <f t="shared" si="14"/>
        <v>7000</v>
      </c>
      <c r="J186" s="98"/>
      <c r="K186" s="116"/>
      <c r="L186" s="116"/>
    </row>
    <row r="187" ht="15.75" customHeight="1">
      <c r="A187" s="243"/>
      <c r="B187" s="115"/>
      <c r="C187" s="116"/>
      <c r="D187" s="95"/>
      <c r="E187" s="95"/>
      <c r="F187" s="95"/>
      <c r="G187" s="95"/>
      <c r="H187" s="97"/>
      <c r="J187" s="98"/>
      <c r="K187" s="116"/>
      <c r="L187" s="116"/>
    </row>
    <row r="188" ht="15.75" customHeight="1">
      <c r="A188" s="243"/>
      <c r="B188" s="115"/>
      <c r="C188" s="116"/>
      <c r="D188" s="95"/>
      <c r="E188" s="95"/>
      <c r="F188" s="95"/>
      <c r="G188" s="95"/>
      <c r="H188" s="97"/>
      <c r="K188" s="14"/>
      <c r="L188" s="14"/>
    </row>
    <row r="189" ht="15.75" customHeight="1">
      <c r="A189" s="114" t="s">
        <v>345</v>
      </c>
      <c r="B189" s="238" t="s">
        <v>548</v>
      </c>
      <c r="C189" s="128"/>
      <c r="D189" s="95"/>
      <c r="E189" s="125"/>
      <c r="F189" s="63"/>
      <c r="G189" s="63"/>
      <c r="H189" s="63"/>
      <c r="K189" s="14"/>
      <c r="L189" s="14"/>
    </row>
    <row r="190" ht="15.75" customHeight="1">
      <c r="A190" s="114" t="s">
        <v>550</v>
      </c>
      <c r="B190" s="239" t="s">
        <v>348</v>
      </c>
      <c r="C190" s="240">
        <f>SUM(C191:C198)</f>
        <v>1817579.26</v>
      </c>
      <c r="D190" s="95"/>
      <c r="E190" s="95"/>
      <c r="F190" s="95"/>
      <c r="G190" s="95"/>
      <c r="H190" s="241">
        <f>SUM(H191:H198)</f>
        <v>1817579.26</v>
      </c>
      <c r="K190" s="242"/>
      <c r="L190" s="242">
        <f>SUM(L191:L198)</f>
        <v>1178043.18</v>
      </c>
    </row>
    <row r="191" ht="15.75" customHeight="1">
      <c r="A191" s="243"/>
      <c r="B191" s="115" t="s">
        <v>307</v>
      </c>
      <c r="C191" s="116">
        <v>1189536.08</v>
      </c>
      <c r="D191" s="95"/>
      <c r="E191" s="95"/>
      <c r="F191" s="95"/>
      <c r="G191" s="95"/>
      <c r="H191" s="97">
        <f t="shared" ref="H191:H198" si="15">C191</f>
        <v>1189536.08</v>
      </c>
      <c r="J191" s="170" t="s">
        <v>199</v>
      </c>
      <c r="K191" s="116"/>
      <c r="L191" s="116">
        <v>600000.0</v>
      </c>
      <c r="M191" s="11" t="s">
        <v>230</v>
      </c>
    </row>
    <row r="192" ht="15.75" customHeight="1">
      <c r="A192" s="243"/>
      <c r="B192" s="115" t="s">
        <v>231</v>
      </c>
      <c r="C192" s="116">
        <v>65000.0</v>
      </c>
      <c r="D192" s="95"/>
      <c r="E192" s="95"/>
      <c r="F192" s="95"/>
      <c r="G192" s="95"/>
      <c r="H192" s="97">
        <f t="shared" si="15"/>
        <v>65000</v>
      </c>
      <c r="J192" s="98" t="s">
        <v>93</v>
      </c>
      <c r="K192" s="116" t="s">
        <v>350</v>
      </c>
      <c r="L192" s="116">
        <v>65000.0</v>
      </c>
    </row>
    <row r="193" ht="15.75" customHeight="1">
      <c r="A193" s="243"/>
      <c r="B193" s="115" t="s">
        <v>308</v>
      </c>
      <c r="C193" s="116">
        <v>295043.18</v>
      </c>
      <c r="D193" s="95"/>
      <c r="E193" s="95"/>
      <c r="F193" s="95"/>
      <c r="G193" s="95"/>
      <c r="H193" s="97">
        <f t="shared" si="15"/>
        <v>295043.18</v>
      </c>
      <c r="J193" s="98" t="s">
        <v>93</v>
      </c>
      <c r="K193" s="116" t="s">
        <v>350</v>
      </c>
      <c r="L193" s="116">
        <v>295043.18</v>
      </c>
    </row>
    <row r="194" ht="15.75" customHeight="1">
      <c r="A194" s="243"/>
      <c r="B194" s="115" t="s">
        <v>233</v>
      </c>
      <c r="C194" s="116">
        <v>120000.0</v>
      </c>
      <c r="D194" s="95"/>
      <c r="E194" s="95"/>
      <c r="F194" s="95"/>
      <c r="G194" s="95"/>
      <c r="H194" s="97">
        <f t="shared" si="15"/>
        <v>120000</v>
      </c>
      <c r="J194" s="98" t="s">
        <v>93</v>
      </c>
      <c r="K194" s="116" t="s">
        <v>350</v>
      </c>
      <c r="L194" s="116">
        <v>120000.0</v>
      </c>
    </row>
    <row r="195" ht="15.75" customHeight="1">
      <c r="A195" s="243"/>
      <c r="B195" s="115" t="s">
        <v>236</v>
      </c>
      <c r="C195" s="116">
        <v>25000.0</v>
      </c>
      <c r="D195" s="95"/>
      <c r="E195" s="95"/>
      <c r="F195" s="95"/>
      <c r="G195" s="95"/>
      <c r="H195" s="97">
        <f t="shared" si="15"/>
        <v>25000</v>
      </c>
      <c r="J195" s="98" t="s">
        <v>93</v>
      </c>
      <c r="K195" s="116" t="s">
        <v>350</v>
      </c>
      <c r="L195" s="116">
        <v>25000.0</v>
      </c>
    </row>
    <row r="196" ht="15.75" customHeight="1">
      <c r="A196" s="243"/>
      <c r="B196" s="115" t="s">
        <v>552</v>
      </c>
      <c r="C196" s="116">
        <v>50000.0</v>
      </c>
      <c r="D196" s="95"/>
      <c r="E196" s="95"/>
      <c r="F196" s="95"/>
      <c r="G196" s="95"/>
      <c r="H196" s="97">
        <f t="shared" si="15"/>
        <v>50000</v>
      </c>
      <c r="J196" s="98" t="s">
        <v>226</v>
      </c>
      <c r="K196" s="116"/>
      <c r="L196" s="116"/>
      <c r="M196" s="11" t="s">
        <v>553</v>
      </c>
    </row>
    <row r="197" ht="15.75" customHeight="1">
      <c r="A197" s="243"/>
      <c r="B197" s="115" t="s">
        <v>237</v>
      </c>
      <c r="C197" s="116">
        <v>42000.0</v>
      </c>
      <c r="D197" s="95"/>
      <c r="E197" s="95"/>
      <c r="F197" s="95"/>
      <c r="G197" s="95"/>
      <c r="H197" s="97">
        <f t="shared" si="15"/>
        <v>42000</v>
      </c>
      <c r="J197" s="98" t="s">
        <v>93</v>
      </c>
      <c r="K197" s="116" t="s">
        <v>350</v>
      </c>
      <c r="L197" s="116">
        <v>42000.0</v>
      </c>
    </row>
    <row r="198" ht="15.75" customHeight="1">
      <c r="A198" s="243"/>
      <c r="B198" s="115" t="s">
        <v>238</v>
      </c>
      <c r="C198" s="116">
        <v>31000.0</v>
      </c>
      <c r="D198" s="95"/>
      <c r="E198" s="95"/>
      <c r="F198" s="95"/>
      <c r="G198" s="95"/>
      <c r="H198" s="97">
        <f t="shared" si="15"/>
        <v>31000</v>
      </c>
      <c r="J198" s="98" t="s">
        <v>93</v>
      </c>
      <c r="K198" s="116" t="s">
        <v>350</v>
      </c>
      <c r="L198" s="116">
        <v>31000.0</v>
      </c>
    </row>
    <row r="199" ht="15.75" customHeight="1">
      <c r="A199" s="171"/>
      <c r="B199" s="251">
        <v>9200.0</v>
      </c>
      <c r="C199" s="322">
        <f>C5+C8+C28+C107+C168+C177+C190+C180+C184+C31</f>
        <v>12535669.26</v>
      </c>
      <c r="D199" s="256">
        <f t="shared" ref="D199:G199" si="16">SUM(D189:D192)</f>
        <v>0</v>
      </c>
      <c r="E199" s="256">
        <f t="shared" si="16"/>
        <v>0</v>
      </c>
      <c r="F199" s="256">
        <f t="shared" si="16"/>
        <v>0</v>
      </c>
      <c r="G199" s="256">
        <f t="shared" si="16"/>
        <v>0</v>
      </c>
      <c r="H199" s="256">
        <f>SUM(H5+H8+H28+H107+H168+H177+H190)</f>
        <v>6986279.26</v>
      </c>
      <c r="K199" s="323"/>
      <c r="L199" s="322">
        <f>L8+L28+L107+L168+L177+L190+L5+L31</f>
        <v>5624313.18</v>
      </c>
    </row>
    <row r="200" ht="15.75" customHeight="1">
      <c r="A200" s="171"/>
      <c r="B200" s="63"/>
      <c r="C200" s="128"/>
      <c r="E200" s="97"/>
      <c r="F200" s="97"/>
      <c r="G200" s="97"/>
      <c r="H200" s="97"/>
      <c r="K200" s="14"/>
      <c r="L200" s="14"/>
    </row>
    <row r="201" ht="15.75" customHeight="1">
      <c r="A201" s="171"/>
      <c r="B201" s="281" t="s">
        <v>335</v>
      </c>
      <c r="C201" s="327" t="str">
        <f t="shared" ref="C201:H201" si="17">#REF!+#REF!+#REF!+#REF!+#REF!+#REF!+#REF!+C199+#REF!+#REF!+#REF!</f>
        <v>#REF!</v>
      </c>
      <c r="D201" s="283" t="str">
        <f t="shared" si="17"/>
        <v>#REF!</v>
      </c>
      <c r="E201" s="283" t="str">
        <f t="shared" si="17"/>
        <v>#REF!</v>
      </c>
      <c r="F201" s="283" t="str">
        <f t="shared" si="17"/>
        <v>#REF!</v>
      </c>
      <c r="G201" s="283" t="str">
        <f t="shared" si="17"/>
        <v>#REF!</v>
      </c>
      <c r="H201" s="283" t="str">
        <f t="shared" si="17"/>
        <v>#REF!</v>
      </c>
      <c r="K201" s="14"/>
      <c r="L201" s="14"/>
    </row>
    <row r="202" ht="15.75" customHeight="1">
      <c r="A202" s="171"/>
      <c r="B202" s="63"/>
      <c r="C202" s="128"/>
      <c r="E202" s="97"/>
      <c r="F202" s="97"/>
      <c r="G202" s="97"/>
      <c r="H202" s="97"/>
      <c r="K202" s="14"/>
      <c r="L202" s="14"/>
    </row>
    <row r="203" ht="15.75" customHeight="1">
      <c r="A203" s="171"/>
      <c r="B203" s="288" t="s">
        <v>512</v>
      </c>
      <c r="C203" s="128"/>
      <c r="D203" s="97"/>
      <c r="E203" s="97"/>
      <c r="H203" s="63"/>
      <c r="K203" s="14"/>
      <c r="L203" s="14"/>
    </row>
    <row r="204" ht="15.75" customHeight="1">
      <c r="A204" s="171"/>
      <c r="B204" s="63"/>
      <c r="C204" s="128"/>
      <c r="D204" s="289" t="s">
        <v>513</v>
      </c>
      <c r="E204" s="290"/>
      <c r="F204" s="290"/>
      <c r="G204" s="290"/>
      <c r="H204" s="291"/>
      <c r="K204" s="14"/>
      <c r="L204" s="14"/>
    </row>
    <row r="205" ht="15.75" customHeight="1">
      <c r="A205" s="328" t="s">
        <v>515</v>
      </c>
      <c r="B205" s="239" t="s">
        <v>516</v>
      </c>
      <c r="C205" s="329" t="s">
        <v>10</v>
      </c>
      <c r="D205" s="293" t="s">
        <v>517</v>
      </c>
      <c r="E205" s="294"/>
      <c r="F205" s="295">
        <v>2024.0</v>
      </c>
      <c r="G205" s="295" t="s">
        <v>518</v>
      </c>
      <c r="H205" s="296" t="s">
        <v>519</v>
      </c>
      <c r="K205" s="14"/>
      <c r="L205" s="14"/>
    </row>
    <row r="206" ht="15.75" customHeight="1">
      <c r="A206" s="328"/>
      <c r="B206" s="239"/>
      <c r="C206" s="329"/>
      <c r="D206" s="297" t="s">
        <v>521</v>
      </c>
      <c r="E206" s="297" t="s">
        <v>523</v>
      </c>
      <c r="F206" s="269"/>
      <c r="G206" s="298"/>
      <c r="H206" s="269"/>
      <c r="K206" s="14"/>
      <c r="L206" s="14"/>
    </row>
    <row r="207" ht="15.75" customHeight="1">
      <c r="A207" s="171" t="s">
        <v>435</v>
      </c>
      <c r="B207" s="63" t="s">
        <v>525</v>
      </c>
      <c r="C207" s="330">
        <f>935436.8+254899.41+521264.09</f>
        <v>1711600.3</v>
      </c>
      <c r="D207" s="95">
        <f>7831.64+203650.34</f>
        <v>211481.98</v>
      </c>
      <c r="E207" s="95">
        <f>721332.96+179713.3</f>
        <v>901046.26</v>
      </c>
      <c r="F207" s="95"/>
      <c r="G207" s="95"/>
      <c r="H207" s="269"/>
      <c r="K207" s="14"/>
      <c r="L207" s="14"/>
    </row>
    <row r="208" ht="15.75" customHeight="1">
      <c r="A208" s="171" t="s">
        <v>375</v>
      </c>
      <c r="B208" s="63" t="s">
        <v>376</v>
      </c>
      <c r="C208" s="330">
        <v>1691705.89</v>
      </c>
      <c r="D208" s="95">
        <v>437531.77</v>
      </c>
      <c r="E208" s="95">
        <v>460876.48</v>
      </c>
      <c r="F208" s="95"/>
      <c r="G208" s="95"/>
      <c r="H208" s="269"/>
      <c r="K208" s="14"/>
      <c r="L208" s="14"/>
    </row>
    <row r="209" ht="15.75" customHeight="1">
      <c r="A209" s="171" t="s">
        <v>439</v>
      </c>
      <c r="B209" s="63" t="s">
        <v>527</v>
      </c>
      <c r="C209" s="330">
        <v>2409265.52</v>
      </c>
      <c r="D209" s="269"/>
      <c r="E209" s="95" t="str">
        <f>#REF!</f>
        <v>#REF!</v>
      </c>
      <c r="F209" s="95" t="str">
        <f>C209-E209</f>
        <v>#REF!</v>
      </c>
      <c r="G209" s="95"/>
      <c r="H209" s="269"/>
      <c r="K209" s="14"/>
      <c r="L209" s="14"/>
    </row>
    <row r="210" ht="15.75" customHeight="1">
      <c r="A210" s="171" t="s">
        <v>67</v>
      </c>
      <c r="B210" s="63" t="s">
        <v>529</v>
      </c>
      <c r="C210" s="330">
        <v>53240.0</v>
      </c>
      <c r="D210" s="269"/>
      <c r="E210" s="95">
        <v>21296.0</v>
      </c>
      <c r="F210" s="95">
        <v>23958.0</v>
      </c>
      <c r="G210" s="95"/>
      <c r="H210" s="299">
        <v>7986.0</v>
      </c>
      <c r="K210" s="14"/>
      <c r="L210" s="14"/>
    </row>
    <row r="211" ht="15.75" customHeight="1">
      <c r="A211" s="171" t="s">
        <v>294</v>
      </c>
      <c r="B211" s="63" t="s">
        <v>295</v>
      </c>
      <c r="C211" s="330">
        <v>2734721.71</v>
      </c>
      <c r="D211" s="95">
        <v>71492.01</v>
      </c>
      <c r="E211" s="95">
        <v>2663229.7</v>
      </c>
      <c r="F211" s="95"/>
      <c r="G211" s="95"/>
      <c r="H211" s="269"/>
      <c r="K211" s="14"/>
      <c r="L211" s="14"/>
    </row>
    <row r="212" ht="15.75" customHeight="1">
      <c r="A212" s="171" t="s">
        <v>498</v>
      </c>
      <c r="B212" s="63" t="s">
        <v>499</v>
      </c>
      <c r="C212" s="330">
        <v>160845.3</v>
      </c>
      <c r="D212" s="95">
        <v>17017.43</v>
      </c>
      <c r="E212" s="95">
        <f>143827.87+16084.53</f>
        <v>159912.4</v>
      </c>
      <c r="F212" s="95"/>
      <c r="G212" s="95"/>
      <c r="H212" s="269"/>
      <c r="K212" s="14"/>
      <c r="L212" s="14"/>
    </row>
    <row r="213" ht="15.75" customHeight="1">
      <c r="A213" s="171" t="s">
        <v>43</v>
      </c>
      <c r="B213" s="63" t="s">
        <v>425</v>
      </c>
      <c r="C213" s="330">
        <v>5669334.0</v>
      </c>
      <c r="D213" s="95"/>
      <c r="E213" s="95">
        <v>1700000.0</v>
      </c>
      <c r="F213" s="95">
        <v>3250000.0</v>
      </c>
      <c r="G213" s="97">
        <f t="shared" ref="G213:G214" si="18">C213-E213-F213</f>
        <v>719334</v>
      </c>
      <c r="H213" s="269"/>
      <c r="K213" s="14"/>
      <c r="L213" s="14"/>
    </row>
    <row r="214" ht="15.75" customHeight="1">
      <c r="A214" s="171" t="s">
        <v>57</v>
      </c>
      <c r="B214" s="63" t="s">
        <v>434</v>
      </c>
      <c r="C214" s="330">
        <v>799526.0</v>
      </c>
      <c r="D214" s="95"/>
      <c r="E214" s="95">
        <v>250000.0</v>
      </c>
      <c r="F214" s="95">
        <v>500000.0</v>
      </c>
      <c r="G214" s="97">
        <f t="shared" si="18"/>
        <v>49526</v>
      </c>
      <c r="H214" s="269"/>
      <c r="K214" s="14"/>
      <c r="L214" s="14"/>
    </row>
    <row r="215" ht="15.75" customHeight="1">
      <c r="A215" s="171"/>
      <c r="B215" s="63"/>
      <c r="C215" s="330"/>
      <c r="D215" s="300"/>
      <c r="E215" s="95"/>
      <c r="F215" s="95"/>
      <c r="G215" s="95"/>
      <c r="H215" s="95"/>
      <c r="K215" s="14"/>
      <c r="L215" s="14"/>
    </row>
    <row r="216" ht="15.75" customHeight="1">
      <c r="A216" s="331" t="s">
        <v>559</v>
      </c>
      <c r="B216" s="63"/>
      <c r="C216" s="128"/>
      <c r="D216" s="63"/>
      <c r="E216" s="63"/>
      <c r="F216" s="63"/>
      <c r="G216" s="63"/>
      <c r="H216" s="63"/>
      <c r="K216" s="14"/>
      <c r="L216" s="14"/>
    </row>
    <row r="217" ht="15.75" customHeight="1">
      <c r="A217" s="331" t="s">
        <v>531</v>
      </c>
      <c r="B217" s="63"/>
      <c r="C217" s="128"/>
      <c r="D217" s="63"/>
      <c r="E217" s="63"/>
      <c r="F217" s="63"/>
      <c r="G217" s="63"/>
      <c r="H217" s="63"/>
      <c r="K217" s="14"/>
      <c r="L217" s="14"/>
    </row>
    <row r="218" ht="15.75" customHeight="1">
      <c r="A218" s="331" t="s">
        <v>533</v>
      </c>
      <c r="B218" s="63"/>
      <c r="C218" s="128"/>
      <c r="D218" s="97"/>
      <c r="E218" s="63"/>
      <c r="F218" s="63"/>
      <c r="G218" s="63"/>
      <c r="H218" s="63"/>
      <c r="K218" s="14"/>
      <c r="L218" s="14"/>
    </row>
  </sheetData>
  <autoFilter ref="$J$1:$J$218"/>
  <mergeCells count="3">
    <mergeCell ref="B1:G1"/>
    <mergeCell ref="E203:G203"/>
    <mergeCell ref="D204:H204"/>
  </mergeCells>
  <hyperlinks>
    <hyperlink r:id="rId4" ref="I109"/>
  </hyperlinks>
  <printOptions/>
  <pageMargins bottom="0.75" footer="0.0" header="0.0" left="0.7" right="0.7" top="0.75"/>
  <pageSetup orientation="landscape"/>
  <drawing r:id="rId5"/>
  <legacy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3.71"/>
    <col customWidth="1" min="3" max="4" width="13.71"/>
    <col customWidth="1" min="5" max="5" width="14.0"/>
    <col customWidth="1" min="6" max="7" width="12.71"/>
    <col customWidth="1" min="8" max="8" width="13.71"/>
    <col customWidth="1" min="9" max="26" width="10.0"/>
  </cols>
  <sheetData>
    <row r="1" ht="15.75" customHeight="1">
      <c r="A1" s="56"/>
      <c r="B1" s="249" t="s">
        <v>372</v>
      </c>
      <c r="C1" s="4"/>
      <c r="D1" s="4"/>
      <c r="E1" s="4"/>
      <c r="F1" s="4"/>
      <c r="G1" s="5"/>
      <c r="H1" s="56"/>
    </row>
    <row r="2" ht="15.75" customHeight="1">
      <c r="A2" s="56"/>
      <c r="B2" s="63"/>
      <c r="C2" s="66"/>
      <c r="D2" s="66"/>
      <c r="E2" s="66"/>
      <c r="F2" s="66"/>
      <c r="G2" s="66"/>
      <c r="H2" s="56"/>
    </row>
    <row r="3" ht="23.25" customHeight="1">
      <c r="A3" s="250" t="s">
        <v>2</v>
      </c>
      <c r="B3" s="78" t="s">
        <v>3</v>
      </c>
      <c r="C3" s="81" t="s">
        <v>4</v>
      </c>
      <c r="D3" s="81" t="s">
        <v>1</v>
      </c>
      <c r="E3" s="81" t="s">
        <v>5</v>
      </c>
      <c r="F3" s="81" t="s">
        <v>6</v>
      </c>
      <c r="G3" s="81" t="s">
        <v>9</v>
      </c>
      <c r="H3" s="81" t="s">
        <v>10</v>
      </c>
    </row>
    <row r="4">
      <c r="A4" s="251">
        <v>1320.0</v>
      </c>
      <c r="B4" s="252" t="s">
        <v>13</v>
      </c>
      <c r="C4" s="63"/>
      <c r="D4" s="63"/>
      <c r="E4" s="63"/>
      <c r="F4" s="63"/>
      <c r="G4" s="63"/>
      <c r="H4" s="63"/>
    </row>
    <row r="5">
      <c r="A5" s="251">
        <v>632.0</v>
      </c>
      <c r="B5" s="239" t="s">
        <v>100</v>
      </c>
      <c r="C5" s="253"/>
      <c r="D5" s="95"/>
      <c r="E5" s="95"/>
      <c r="F5" s="95"/>
      <c r="G5" s="95"/>
      <c r="H5" s="97"/>
    </row>
    <row r="6">
      <c r="A6" s="254" t="s">
        <v>375</v>
      </c>
      <c r="B6" s="63" t="s">
        <v>376</v>
      </c>
      <c r="C6" s="95">
        <v>460876.48</v>
      </c>
      <c r="D6" s="95">
        <v>445323.22</v>
      </c>
      <c r="E6" s="95">
        <f>C6-D6</f>
        <v>15553.26</v>
      </c>
      <c r="F6" s="95"/>
      <c r="G6" s="95"/>
      <c r="H6" s="97">
        <f>SUM(D6:G6)</f>
        <v>460876.48</v>
      </c>
    </row>
    <row r="7">
      <c r="A7" s="254"/>
      <c r="B7" s="251">
        <v>1320.0</v>
      </c>
      <c r="C7" s="256">
        <f t="shared" ref="C7:H7" si="1">SUM(C5:C6)</f>
        <v>460876.48</v>
      </c>
      <c r="D7" s="256">
        <f t="shared" si="1"/>
        <v>445323.22</v>
      </c>
      <c r="E7" s="256">
        <f t="shared" si="1"/>
        <v>15553.26</v>
      </c>
      <c r="F7" s="256">
        <f t="shared" si="1"/>
        <v>0</v>
      </c>
      <c r="G7" s="256">
        <f t="shared" si="1"/>
        <v>0</v>
      </c>
      <c r="H7" s="256">
        <f t="shared" si="1"/>
        <v>460876.48</v>
      </c>
    </row>
    <row r="8">
      <c r="A8" s="254"/>
      <c r="B8" s="251"/>
      <c r="C8" s="258"/>
      <c r="D8" s="258"/>
      <c r="E8" s="258"/>
      <c r="F8" s="258"/>
      <c r="G8" s="258"/>
      <c r="H8" s="258"/>
    </row>
    <row r="9">
      <c r="A9" s="251">
        <v>1340.0</v>
      </c>
      <c r="B9" s="252" t="s">
        <v>17</v>
      </c>
      <c r="C9" s="258"/>
      <c r="D9" s="258"/>
      <c r="E9" s="258"/>
      <c r="F9" s="258"/>
      <c r="G9" s="258"/>
      <c r="H9" s="258"/>
    </row>
    <row r="10">
      <c r="A10" s="251">
        <v>619.0</v>
      </c>
      <c r="B10" s="239" t="s">
        <v>18</v>
      </c>
      <c r="C10" s="258"/>
      <c r="D10" s="258"/>
      <c r="E10" s="258"/>
      <c r="F10" s="258"/>
      <c r="G10" s="258"/>
      <c r="H10" s="258"/>
    </row>
    <row r="11">
      <c r="A11" s="254" t="s">
        <v>386</v>
      </c>
      <c r="B11" s="63" t="s">
        <v>387</v>
      </c>
      <c r="C11" s="95">
        <v>143182.33</v>
      </c>
      <c r="D11" s="95"/>
      <c r="E11" s="95"/>
      <c r="F11" s="95"/>
      <c r="G11" s="95">
        <v>143182.33</v>
      </c>
      <c r="H11" s="97">
        <f>SUM(D11:G11)</f>
        <v>143182.33</v>
      </c>
    </row>
    <row r="12">
      <c r="A12" s="254"/>
      <c r="B12" s="251">
        <v>1340.0</v>
      </c>
      <c r="C12" s="256">
        <f t="shared" ref="C12:H12" si="2">SUM(C11)</f>
        <v>143182.33</v>
      </c>
      <c r="D12" s="256">
        <f t="shared" si="2"/>
        <v>0</v>
      </c>
      <c r="E12" s="256">
        <f t="shared" si="2"/>
        <v>0</v>
      </c>
      <c r="F12" s="256">
        <f t="shared" si="2"/>
        <v>0</v>
      </c>
      <c r="G12" s="256">
        <f t="shared" si="2"/>
        <v>143182.33</v>
      </c>
      <c r="H12" s="256">
        <f t="shared" si="2"/>
        <v>143182.33</v>
      </c>
    </row>
    <row r="13">
      <c r="A13" s="254"/>
      <c r="B13" s="251"/>
      <c r="C13" s="258"/>
      <c r="D13" s="258"/>
      <c r="E13" s="258"/>
      <c r="F13" s="258"/>
      <c r="G13" s="258"/>
      <c r="H13" s="258"/>
    </row>
    <row r="14">
      <c r="A14" s="251">
        <v>1360.0</v>
      </c>
      <c r="B14" s="252" t="s">
        <v>394</v>
      </c>
      <c r="C14" s="63"/>
      <c r="D14" s="63"/>
      <c r="E14" s="63"/>
      <c r="F14" s="63"/>
      <c r="G14" s="63"/>
      <c r="H14" s="63"/>
    </row>
    <row r="15">
      <c r="A15" s="251">
        <v>624.0</v>
      </c>
      <c r="B15" s="252" t="s">
        <v>395</v>
      </c>
      <c r="C15" s="63"/>
      <c r="D15" s="63"/>
      <c r="E15" s="63"/>
      <c r="F15" s="63"/>
      <c r="G15" s="63"/>
      <c r="H15" s="63"/>
    </row>
    <row r="16">
      <c r="A16" s="254" t="s">
        <v>397</v>
      </c>
      <c r="B16" s="265" t="s">
        <v>398</v>
      </c>
      <c r="C16" s="95">
        <f>81312+15488</f>
        <v>96800</v>
      </c>
      <c r="D16" s="97">
        <f>36317.25+15488</f>
        <v>51805.25</v>
      </c>
      <c r="E16" s="97"/>
      <c r="F16" s="63"/>
      <c r="G16" s="97">
        <v>44994.75</v>
      </c>
      <c r="H16" s="97">
        <f t="shared" ref="H16:H17" si="3">SUM(D16:G16)</f>
        <v>96800</v>
      </c>
    </row>
    <row r="17">
      <c r="A17" s="254" t="s">
        <v>404</v>
      </c>
      <c r="B17" s="63" t="s">
        <v>405</v>
      </c>
      <c r="C17" s="95">
        <v>1001630.86</v>
      </c>
      <c r="D17" s="95">
        <v>454194.75</v>
      </c>
      <c r="E17" s="95"/>
      <c r="F17" s="95"/>
      <c r="G17" s="95">
        <v>547436.11</v>
      </c>
      <c r="H17" s="97">
        <f t="shared" si="3"/>
        <v>1001630.86</v>
      </c>
    </row>
    <row r="18">
      <c r="A18" s="251">
        <v>623.0</v>
      </c>
      <c r="B18" s="239" t="s">
        <v>407</v>
      </c>
      <c r="C18" s="258"/>
      <c r="D18" s="258"/>
      <c r="E18" s="258"/>
      <c r="F18" s="258"/>
      <c r="G18" s="258"/>
      <c r="H18" s="241"/>
    </row>
    <row r="19">
      <c r="A19" s="254" t="s">
        <v>410</v>
      </c>
      <c r="B19" s="63" t="s">
        <v>411</v>
      </c>
      <c r="C19" s="95">
        <v>832641.85</v>
      </c>
      <c r="D19" s="95">
        <v>454828.95</v>
      </c>
      <c r="E19" s="95"/>
      <c r="F19" s="95"/>
      <c r="G19" s="95">
        <v>377812.9</v>
      </c>
      <c r="H19" s="97">
        <f>SUM(D19:G19)</f>
        <v>832641.85</v>
      </c>
    </row>
    <row r="20">
      <c r="A20" s="254"/>
      <c r="B20" s="251">
        <v>1360.0</v>
      </c>
      <c r="C20" s="256">
        <f>SUM(C15:C19)</f>
        <v>1931072.71</v>
      </c>
      <c r="D20" s="256">
        <f t="shared" ref="D20:H20" si="4">SUM(D16:D19)</f>
        <v>960828.95</v>
      </c>
      <c r="E20" s="256">
        <f t="shared" si="4"/>
        <v>0</v>
      </c>
      <c r="F20" s="256">
        <f t="shared" si="4"/>
        <v>0</v>
      </c>
      <c r="G20" s="256">
        <f t="shared" si="4"/>
        <v>970243.76</v>
      </c>
      <c r="H20" s="256">
        <f t="shared" si="4"/>
        <v>1931072.71</v>
      </c>
    </row>
    <row r="21" ht="15.75" customHeight="1">
      <c r="A21" s="254"/>
      <c r="B21" s="251"/>
      <c r="C21" s="258"/>
      <c r="D21" s="258"/>
      <c r="E21" s="258"/>
      <c r="F21" s="258"/>
      <c r="G21" s="258"/>
      <c r="H21" s="258"/>
    </row>
    <row r="22" ht="15.75" customHeight="1">
      <c r="A22" s="251">
        <v>1522.0</v>
      </c>
      <c r="B22" s="252" t="s">
        <v>38</v>
      </c>
      <c r="C22" s="63"/>
      <c r="D22" s="97"/>
      <c r="E22" s="269"/>
      <c r="F22" s="97"/>
      <c r="G22" s="97"/>
      <c r="H22" s="63"/>
    </row>
    <row r="23" ht="15.75" customHeight="1">
      <c r="A23" s="251">
        <v>651.0</v>
      </c>
      <c r="B23" s="239" t="s">
        <v>128</v>
      </c>
      <c r="C23" s="253"/>
      <c r="D23" s="95"/>
      <c r="E23" s="95"/>
      <c r="F23" s="95"/>
      <c r="G23" s="95"/>
      <c r="H23" s="97"/>
    </row>
    <row r="24" ht="15.75" customHeight="1">
      <c r="A24" s="254" t="s">
        <v>43</v>
      </c>
      <c r="B24" s="63" t="s">
        <v>425</v>
      </c>
      <c r="C24" s="95">
        <v>1700000.0</v>
      </c>
      <c r="D24" s="95">
        <v>250000.0</v>
      </c>
      <c r="E24" s="95"/>
      <c r="F24" s="95"/>
      <c r="G24" s="95">
        <v>1450000.0</v>
      </c>
      <c r="H24" s="97">
        <f>SUM(D24:G24)</f>
        <v>1700000</v>
      </c>
    </row>
    <row r="25" ht="15.75" customHeight="1">
      <c r="A25" s="254"/>
      <c r="B25" s="251">
        <v>1522.0</v>
      </c>
      <c r="C25" s="256">
        <f t="shared" ref="C25:H25" si="5">SUM(C23:C24)</f>
        <v>1700000</v>
      </c>
      <c r="D25" s="256">
        <f t="shared" si="5"/>
        <v>250000</v>
      </c>
      <c r="E25" s="256">
        <f t="shared" si="5"/>
        <v>0</v>
      </c>
      <c r="F25" s="256">
        <f t="shared" si="5"/>
        <v>0</v>
      </c>
      <c r="G25" s="256">
        <f t="shared" si="5"/>
        <v>1450000</v>
      </c>
      <c r="H25" s="256">
        <f t="shared" si="5"/>
        <v>1700000</v>
      </c>
    </row>
    <row r="26" ht="15.75" customHeight="1">
      <c r="A26" s="254"/>
      <c r="B26" s="251"/>
      <c r="C26" s="63"/>
      <c r="D26" s="63"/>
      <c r="E26" s="63"/>
      <c r="F26" s="63"/>
      <c r="G26" s="63"/>
      <c r="H26" s="63"/>
    </row>
    <row r="27" ht="15.75" customHeight="1">
      <c r="A27" s="251">
        <v>1530.0</v>
      </c>
      <c r="B27" s="252" t="s">
        <v>52</v>
      </c>
      <c r="C27" s="63"/>
      <c r="D27" s="63"/>
      <c r="E27" s="63"/>
      <c r="F27" s="63"/>
      <c r="G27" s="63"/>
      <c r="H27" s="63"/>
    </row>
    <row r="28" ht="15.75" customHeight="1">
      <c r="A28" s="251">
        <v>619.0</v>
      </c>
      <c r="B28" s="239" t="s">
        <v>53</v>
      </c>
      <c r="C28" s="253"/>
      <c r="D28" s="95"/>
      <c r="E28" s="95"/>
      <c r="F28" s="95"/>
      <c r="G28" s="95"/>
      <c r="H28" s="97"/>
    </row>
    <row r="29" ht="15.75" customHeight="1">
      <c r="A29" s="254" t="s">
        <v>57</v>
      </c>
      <c r="B29" s="63" t="s">
        <v>434</v>
      </c>
      <c r="C29" s="95">
        <v>250000.0</v>
      </c>
      <c r="D29" s="95">
        <v>50000.0</v>
      </c>
      <c r="E29" s="95"/>
      <c r="F29" s="95"/>
      <c r="G29" s="95">
        <v>200000.0</v>
      </c>
      <c r="H29" s="97">
        <f t="shared" ref="H29:H37" si="6">SUM(D29:G29)</f>
        <v>250000</v>
      </c>
    </row>
    <row r="30" ht="15.75" customHeight="1">
      <c r="A30" s="254" t="s">
        <v>435</v>
      </c>
      <c r="B30" s="63" t="s">
        <v>436</v>
      </c>
      <c r="C30" s="95">
        <v>901046.26</v>
      </c>
      <c r="D30" s="95">
        <v>901046.26</v>
      </c>
      <c r="E30" s="95"/>
      <c r="F30" s="95"/>
      <c r="G30" s="95"/>
      <c r="H30" s="97">
        <f t="shared" si="6"/>
        <v>901046.26</v>
      </c>
    </row>
    <row r="31" ht="15.75" customHeight="1">
      <c r="A31" s="254" t="s">
        <v>439</v>
      </c>
      <c r="B31" s="63" t="s">
        <v>441</v>
      </c>
      <c r="C31" s="95">
        <v>2294422.81</v>
      </c>
      <c r="D31" s="95">
        <f>C31-G31</f>
        <v>2294422.81</v>
      </c>
      <c r="E31" s="95"/>
      <c r="F31" s="95"/>
      <c r="G31" s="95"/>
      <c r="H31" s="97">
        <f t="shared" si="6"/>
        <v>2294422.81</v>
      </c>
    </row>
    <row r="32" ht="15.75" customHeight="1">
      <c r="A32" s="254" t="s">
        <v>67</v>
      </c>
      <c r="B32" s="63" t="s">
        <v>443</v>
      </c>
      <c r="C32" s="95">
        <v>21296.0</v>
      </c>
      <c r="D32" s="95"/>
      <c r="E32" s="95">
        <v>21296.0</v>
      </c>
      <c r="F32" s="95"/>
      <c r="G32" s="95"/>
      <c r="H32" s="97">
        <f t="shared" si="6"/>
        <v>21296</v>
      </c>
    </row>
    <row r="33" ht="15.75" customHeight="1">
      <c r="A33" s="254" t="s">
        <v>71</v>
      </c>
      <c r="B33" s="63" t="s">
        <v>445</v>
      </c>
      <c r="C33" s="95">
        <v>339552.92</v>
      </c>
      <c r="D33" s="95">
        <f>C33-G33</f>
        <v>339552.92</v>
      </c>
      <c r="E33" s="95"/>
      <c r="F33" s="95"/>
      <c r="G33" s="95"/>
      <c r="H33" s="97">
        <f t="shared" si="6"/>
        <v>339552.92</v>
      </c>
    </row>
    <row r="34" ht="15.75" customHeight="1">
      <c r="A34" s="254" t="s">
        <v>448</v>
      </c>
      <c r="B34" s="63" t="s">
        <v>449</v>
      </c>
      <c r="C34" s="95">
        <v>41994.42</v>
      </c>
      <c r="D34" s="95"/>
      <c r="E34" s="95">
        <v>41994.42</v>
      </c>
      <c r="F34" s="95"/>
      <c r="G34" s="95"/>
      <c r="H34" s="97">
        <f t="shared" si="6"/>
        <v>41994.42</v>
      </c>
    </row>
    <row r="35" ht="15.75" customHeight="1">
      <c r="A35" s="254" t="s">
        <v>451</v>
      </c>
      <c r="B35" s="63" t="s">
        <v>452</v>
      </c>
      <c r="C35" s="95">
        <v>6247.17</v>
      </c>
      <c r="D35" s="95"/>
      <c r="E35" s="95">
        <v>6247.17</v>
      </c>
      <c r="F35" s="95"/>
      <c r="G35" s="95"/>
      <c r="H35" s="97">
        <f t="shared" si="6"/>
        <v>6247.17</v>
      </c>
    </row>
    <row r="36" ht="15.75" customHeight="1">
      <c r="A36" s="254" t="s">
        <v>455</v>
      </c>
      <c r="B36" s="63" t="s">
        <v>456</v>
      </c>
      <c r="C36" s="95">
        <v>1555084.28</v>
      </c>
      <c r="D36" s="95">
        <f t="shared" ref="D36:D37" si="7">C36</f>
        <v>1555084.28</v>
      </c>
      <c r="E36" s="95"/>
      <c r="F36" s="95"/>
      <c r="G36" s="95"/>
      <c r="H36" s="97">
        <f t="shared" si="6"/>
        <v>1555084.28</v>
      </c>
    </row>
    <row r="37" ht="15.75" customHeight="1">
      <c r="A37" s="254" t="s">
        <v>460</v>
      </c>
      <c r="B37" s="63" t="s">
        <v>461</v>
      </c>
      <c r="C37" s="95">
        <v>62203.37</v>
      </c>
      <c r="D37" s="95">
        <f t="shared" si="7"/>
        <v>62203.37</v>
      </c>
      <c r="E37" s="95"/>
      <c r="F37" s="95"/>
      <c r="G37" s="95"/>
      <c r="H37" s="97">
        <f t="shared" si="6"/>
        <v>62203.37</v>
      </c>
    </row>
    <row r="38" ht="15.75" customHeight="1">
      <c r="A38" s="254"/>
      <c r="B38" s="251">
        <v>1530.0</v>
      </c>
      <c r="C38" s="256">
        <f t="shared" ref="C38:H38" si="8">SUM(C28:C37)</f>
        <v>5471847.23</v>
      </c>
      <c r="D38" s="256">
        <f t="shared" si="8"/>
        <v>5202309.64</v>
      </c>
      <c r="E38" s="256">
        <f t="shared" si="8"/>
        <v>69537.59</v>
      </c>
      <c r="F38" s="256">
        <f t="shared" si="8"/>
        <v>0</v>
      </c>
      <c r="G38" s="256">
        <f t="shared" si="8"/>
        <v>200000</v>
      </c>
      <c r="H38" s="256">
        <f t="shared" si="8"/>
        <v>5471847.23</v>
      </c>
    </row>
    <row r="39" ht="15.75" customHeight="1">
      <c r="A39" s="254"/>
      <c r="B39" s="251"/>
      <c r="C39" s="258"/>
      <c r="D39" s="258"/>
      <c r="E39" s="258"/>
      <c r="F39" s="258"/>
      <c r="G39" s="258"/>
      <c r="H39" s="258"/>
    </row>
    <row r="40" ht="15.75" customHeight="1">
      <c r="A40" s="251">
        <v>1640.0</v>
      </c>
      <c r="B40" s="252" t="s">
        <v>158</v>
      </c>
      <c r="C40" s="63"/>
      <c r="D40" s="63"/>
      <c r="E40" s="269"/>
      <c r="F40" s="63"/>
      <c r="G40" s="63"/>
      <c r="H40" s="63"/>
    </row>
    <row r="41" ht="15.75" customHeight="1">
      <c r="A41" s="251">
        <v>622.0</v>
      </c>
      <c r="B41" s="239" t="s">
        <v>100</v>
      </c>
      <c r="C41" s="253"/>
      <c r="D41" s="95"/>
      <c r="E41" s="63"/>
      <c r="F41" s="95"/>
      <c r="G41" s="95"/>
      <c r="H41" s="97"/>
    </row>
    <row r="42" ht="15.75" customHeight="1">
      <c r="A42" s="254" t="s">
        <v>469</v>
      </c>
      <c r="B42" s="63" t="s">
        <v>470</v>
      </c>
      <c r="C42" s="95">
        <v>45581.79</v>
      </c>
      <c r="D42" s="95"/>
      <c r="E42" s="95">
        <v>45581.79</v>
      </c>
      <c r="F42" s="95"/>
      <c r="G42" s="95"/>
      <c r="H42" s="97">
        <f>SUM(D42:G42)</f>
        <v>45581.79</v>
      </c>
    </row>
    <row r="43" ht="15.75" customHeight="1">
      <c r="A43" s="254"/>
      <c r="B43" s="251">
        <v>1640.0</v>
      </c>
      <c r="C43" s="256">
        <f t="shared" ref="C43:H43" si="9">SUM(C41:C42)</f>
        <v>45581.79</v>
      </c>
      <c r="D43" s="256">
        <f t="shared" si="9"/>
        <v>0</v>
      </c>
      <c r="E43" s="256">
        <f t="shared" si="9"/>
        <v>45581.79</v>
      </c>
      <c r="F43" s="256">
        <f t="shared" si="9"/>
        <v>0</v>
      </c>
      <c r="G43" s="256">
        <f t="shared" si="9"/>
        <v>0</v>
      </c>
      <c r="H43" s="256">
        <f t="shared" si="9"/>
        <v>45581.79</v>
      </c>
    </row>
    <row r="44" ht="15.75" customHeight="1">
      <c r="A44" s="274"/>
      <c r="B44" s="274"/>
      <c r="C44" s="274"/>
      <c r="D44" s="274"/>
      <c r="E44" s="274"/>
      <c r="F44" s="274"/>
      <c r="G44" s="269"/>
      <c r="H44" s="275"/>
    </row>
    <row r="45" ht="15.75" customHeight="1">
      <c r="A45" s="251">
        <v>3214.0</v>
      </c>
      <c r="B45" s="252" t="s">
        <v>472</v>
      </c>
      <c r="C45" s="95"/>
      <c r="D45" s="95"/>
      <c r="E45" s="95"/>
      <c r="F45" s="95"/>
      <c r="G45" s="95"/>
      <c r="H45" s="97"/>
    </row>
    <row r="46" ht="15.75" customHeight="1">
      <c r="A46" s="251">
        <v>632.0</v>
      </c>
      <c r="B46" s="239" t="s">
        <v>100</v>
      </c>
      <c r="C46" s="95"/>
      <c r="D46" s="95"/>
      <c r="E46" s="95"/>
      <c r="F46" s="95"/>
      <c r="G46" s="95"/>
      <c r="H46" s="97"/>
    </row>
    <row r="47" ht="15.75" customHeight="1">
      <c r="A47" s="254" t="s">
        <v>473</v>
      </c>
      <c r="B47" s="63" t="s">
        <v>474</v>
      </c>
      <c r="C47" s="95">
        <v>61134.0</v>
      </c>
      <c r="D47" s="95"/>
      <c r="E47" s="95"/>
      <c r="F47" s="95"/>
      <c r="G47" s="95">
        <v>61134.0</v>
      </c>
      <c r="H47" s="97">
        <f>SUM(D47:G47)</f>
        <v>61134</v>
      </c>
    </row>
    <row r="48" ht="15.75" customHeight="1">
      <c r="A48" s="254"/>
      <c r="B48" s="251">
        <v>3214.0</v>
      </c>
      <c r="C48" s="256">
        <f t="shared" ref="C48:H48" si="10">SUM(C46:C47)</f>
        <v>61134</v>
      </c>
      <c r="D48" s="256">
        <f t="shared" si="10"/>
        <v>0</v>
      </c>
      <c r="E48" s="256">
        <f t="shared" si="10"/>
        <v>0</v>
      </c>
      <c r="F48" s="256">
        <f t="shared" si="10"/>
        <v>0</v>
      </c>
      <c r="G48" s="256">
        <f t="shared" si="10"/>
        <v>61134</v>
      </c>
      <c r="H48" s="256">
        <f t="shared" si="10"/>
        <v>61134</v>
      </c>
    </row>
    <row r="49" ht="15.75" customHeight="1">
      <c r="A49" s="269"/>
      <c r="B49" s="269"/>
      <c r="C49" s="269"/>
      <c r="D49" s="269"/>
      <c r="E49" s="269"/>
      <c r="F49" s="269"/>
      <c r="G49" s="269"/>
      <c r="H49" s="269"/>
    </row>
    <row r="50" ht="15.75" customHeight="1">
      <c r="A50" s="251">
        <v>3420.0</v>
      </c>
      <c r="B50" s="252" t="s">
        <v>289</v>
      </c>
      <c r="C50" s="95"/>
      <c r="D50" s="95"/>
      <c r="E50" s="95"/>
      <c r="F50" s="95"/>
      <c r="G50" s="95"/>
      <c r="H50" s="97"/>
    </row>
    <row r="51" ht="15.75" customHeight="1">
      <c r="A51" s="251">
        <v>632.0</v>
      </c>
      <c r="B51" s="239" t="s">
        <v>475</v>
      </c>
      <c r="C51" s="239"/>
      <c r="D51" s="239"/>
      <c r="E51" s="239"/>
      <c r="F51" s="239"/>
      <c r="G51" s="239"/>
      <c r="H51" s="239"/>
    </row>
    <row r="52" ht="15.75" customHeight="1">
      <c r="A52" s="254" t="s">
        <v>294</v>
      </c>
      <c r="B52" s="63" t="s">
        <v>295</v>
      </c>
      <c r="C52" s="95">
        <v>2936701.87</v>
      </c>
      <c r="D52" s="95">
        <f t="shared" ref="D52:D53" si="11">C52-G52</f>
        <v>1264334.42</v>
      </c>
      <c r="E52" s="95"/>
      <c r="F52" s="95"/>
      <c r="G52" s="95">
        <v>1672367.45</v>
      </c>
      <c r="H52" s="97">
        <f>D52+E52+F52+G52</f>
        <v>2936701.87</v>
      </c>
    </row>
    <row r="53" ht="15.75" customHeight="1">
      <c r="A53" s="254" t="s">
        <v>476</v>
      </c>
      <c r="B53" s="63" t="s">
        <v>477</v>
      </c>
      <c r="C53" s="95">
        <v>300000.0</v>
      </c>
      <c r="D53" s="95">
        <f t="shared" si="11"/>
        <v>31625.89</v>
      </c>
      <c r="E53" s="95"/>
      <c r="F53" s="95"/>
      <c r="G53" s="95">
        <v>268374.11</v>
      </c>
      <c r="H53" s="97">
        <f>SUM(D53:G53)</f>
        <v>300000</v>
      </c>
    </row>
    <row r="54" ht="15.75" customHeight="1">
      <c r="A54" s="254" t="s">
        <v>479</v>
      </c>
      <c r="B54" s="63" t="s">
        <v>480</v>
      </c>
      <c r="C54" s="95">
        <v>120000.0</v>
      </c>
      <c r="D54" s="95"/>
      <c r="E54" s="95">
        <v>120000.0</v>
      </c>
      <c r="F54" s="95"/>
      <c r="G54" s="95"/>
      <c r="H54" s="97">
        <f>D54+E54+F54+G54</f>
        <v>120000</v>
      </c>
    </row>
    <row r="55" ht="15.75" customHeight="1">
      <c r="A55" s="254"/>
      <c r="B55" s="251">
        <v>3420.0</v>
      </c>
      <c r="C55" s="256">
        <f t="shared" ref="C55:H55" si="12">SUM(C52:C54)</f>
        <v>3356701.87</v>
      </c>
      <c r="D55" s="256">
        <f t="shared" si="12"/>
        <v>1295960.31</v>
      </c>
      <c r="E55" s="256">
        <f t="shared" si="12"/>
        <v>120000</v>
      </c>
      <c r="F55" s="256">
        <f t="shared" si="12"/>
        <v>0</v>
      </c>
      <c r="G55" s="256">
        <f t="shared" si="12"/>
        <v>1940741.56</v>
      </c>
      <c r="H55" s="256">
        <f t="shared" si="12"/>
        <v>3356701.87</v>
      </c>
    </row>
    <row r="56" ht="15.75" customHeight="1">
      <c r="A56" s="254"/>
      <c r="B56" s="251"/>
      <c r="C56" s="258"/>
      <c r="D56" s="258"/>
      <c r="E56" s="258"/>
      <c r="F56" s="258"/>
      <c r="G56" s="258"/>
      <c r="H56" s="258"/>
    </row>
    <row r="57" ht="15.75" customHeight="1">
      <c r="A57" s="251">
        <v>4540.0</v>
      </c>
      <c r="B57" s="252" t="s">
        <v>322</v>
      </c>
      <c r="C57" s="95"/>
      <c r="D57" s="95"/>
      <c r="E57" s="95"/>
      <c r="F57" s="95"/>
      <c r="G57" s="95"/>
      <c r="H57" s="97"/>
    </row>
    <row r="58" ht="15.75" customHeight="1">
      <c r="A58" s="251">
        <v>619.0</v>
      </c>
      <c r="B58" s="239" t="s">
        <v>318</v>
      </c>
      <c r="C58" s="63"/>
      <c r="D58" s="63"/>
      <c r="E58" s="63"/>
      <c r="F58" s="63"/>
      <c r="G58" s="63"/>
      <c r="H58" s="63"/>
    </row>
    <row r="59" ht="15.75" customHeight="1">
      <c r="A59" s="254" t="s">
        <v>481</v>
      </c>
      <c r="B59" s="63" t="s">
        <v>325</v>
      </c>
      <c r="C59" s="95">
        <v>300000.0</v>
      </c>
      <c r="D59" s="95">
        <f>C59-G59</f>
        <v>31625.89</v>
      </c>
      <c r="E59" s="95"/>
      <c r="F59" s="95"/>
      <c r="G59" s="95">
        <v>268374.11</v>
      </c>
      <c r="H59" s="97">
        <f>SUM(D59:G59)</f>
        <v>300000</v>
      </c>
    </row>
    <row r="60" ht="15.75" customHeight="1">
      <c r="A60" s="277"/>
      <c r="B60" s="251">
        <v>4540.0</v>
      </c>
      <c r="C60" s="256">
        <f t="shared" ref="C60:H60" si="13">SUM(C59)</f>
        <v>300000</v>
      </c>
      <c r="D60" s="256">
        <f t="shared" si="13"/>
        <v>31625.89</v>
      </c>
      <c r="E60" s="256">
        <f t="shared" si="13"/>
        <v>0</v>
      </c>
      <c r="F60" s="256">
        <f t="shared" si="13"/>
        <v>0</v>
      </c>
      <c r="G60" s="256">
        <f t="shared" si="13"/>
        <v>268374.11</v>
      </c>
      <c r="H60" s="256">
        <f t="shared" si="13"/>
        <v>300000</v>
      </c>
    </row>
    <row r="61" ht="15.75" customHeight="1">
      <c r="A61" s="254"/>
      <c r="B61" s="251"/>
      <c r="C61" s="258"/>
      <c r="D61" s="258"/>
      <c r="E61" s="258"/>
      <c r="F61" s="258"/>
      <c r="G61" s="258"/>
      <c r="H61" s="258"/>
    </row>
    <row r="62" ht="15.75" customHeight="1">
      <c r="A62" s="278">
        <v>9200.0</v>
      </c>
      <c r="B62" s="279" t="s">
        <v>484</v>
      </c>
      <c r="C62" s="280"/>
      <c r="D62" s="95"/>
      <c r="E62" s="125"/>
      <c r="F62" s="63"/>
      <c r="G62" s="63"/>
      <c r="H62" s="63"/>
    </row>
    <row r="63" ht="15.75" customHeight="1">
      <c r="A63" s="251">
        <v>629.0</v>
      </c>
      <c r="B63" s="239" t="s">
        <v>348</v>
      </c>
      <c r="C63" s="95"/>
      <c r="D63" s="95"/>
      <c r="E63" s="95"/>
      <c r="F63" s="95"/>
      <c r="G63" s="95"/>
      <c r="H63" s="97"/>
    </row>
    <row r="64" ht="15.75" customHeight="1">
      <c r="A64" s="254" t="s">
        <v>486</v>
      </c>
      <c r="B64" s="63" t="s">
        <v>487</v>
      </c>
      <c r="C64" s="95">
        <v>90000.0</v>
      </c>
      <c r="D64" s="95">
        <v>90000.0</v>
      </c>
      <c r="E64" s="95"/>
      <c r="F64" s="95"/>
      <c r="G64" s="95"/>
      <c r="H64" s="97">
        <f t="shared" ref="H64:H65" si="14">D64+E64+F64+G64</f>
        <v>90000</v>
      </c>
    </row>
    <row r="65" ht="15.75" customHeight="1">
      <c r="A65" s="254" t="s">
        <v>490</v>
      </c>
      <c r="B65" s="63" t="s">
        <v>332</v>
      </c>
      <c r="C65" s="95">
        <v>34512.0</v>
      </c>
      <c r="D65" s="95">
        <f>C65</f>
        <v>34512</v>
      </c>
      <c r="E65" s="95"/>
      <c r="F65" s="95"/>
      <c r="G65" s="95"/>
      <c r="H65" s="97">
        <f t="shared" si="14"/>
        <v>34512</v>
      </c>
    </row>
    <row r="66" ht="15.75" customHeight="1">
      <c r="A66" s="254"/>
      <c r="B66" s="251">
        <v>9200.0</v>
      </c>
      <c r="C66" s="256">
        <f t="shared" ref="C66:H66" si="15">SUM(C62:C65)</f>
        <v>124512</v>
      </c>
      <c r="D66" s="256">
        <f t="shared" si="15"/>
        <v>124512</v>
      </c>
      <c r="E66" s="256">
        <f t="shared" si="15"/>
        <v>0</v>
      </c>
      <c r="F66" s="256">
        <f t="shared" si="15"/>
        <v>0</v>
      </c>
      <c r="G66" s="256">
        <f t="shared" si="15"/>
        <v>0</v>
      </c>
      <c r="H66" s="256">
        <f t="shared" si="15"/>
        <v>124512</v>
      </c>
    </row>
    <row r="67" ht="15.75" customHeight="1">
      <c r="A67" s="269"/>
      <c r="B67" s="269"/>
      <c r="C67" s="269"/>
      <c r="D67" s="269"/>
      <c r="E67" s="269"/>
      <c r="F67" s="269"/>
      <c r="G67" s="269"/>
      <c r="H67" s="269"/>
    </row>
    <row r="68" ht="15.75" customHeight="1">
      <c r="A68" s="251">
        <v>9290.0</v>
      </c>
      <c r="B68" s="252" t="s">
        <v>497</v>
      </c>
      <c r="C68" s="95"/>
      <c r="D68" s="95"/>
      <c r="E68" s="95"/>
      <c r="F68" s="95"/>
      <c r="G68" s="95"/>
      <c r="H68" s="97"/>
    </row>
    <row r="69" ht="15.75" customHeight="1">
      <c r="A69" s="251">
        <v>632.0</v>
      </c>
      <c r="B69" s="239" t="s">
        <v>475</v>
      </c>
      <c r="C69" s="239"/>
      <c r="D69" s="239"/>
      <c r="E69" s="239"/>
      <c r="F69" s="239"/>
      <c r="G69" s="239"/>
      <c r="H69" s="239"/>
    </row>
    <row r="70" ht="15.75" customHeight="1">
      <c r="A70" s="254" t="s">
        <v>498</v>
      </c>
      <c r="B70" s="63" t="s">
        <v>499</v>
      </c>
      <c r="C70" s="95">
        <v>189370.2</v>
      </c>
      <c r="D70" s="95"/>
      <c r="E70" s="95">
        <f>C70</f>
        <v>189370.2</v>
      </c>
      <c r="F70" s="95"/>
      <c r="G70" s="95"/>
      <c r="H70" s="97">
        <f>D70+E70+F70+G70</f>
        <v>189370.2</v>
      </c>
    </row>
    <row r="71" ht="15.75" customHeight="1">
      <c r="A71" s="254"/>
      <c r="B71" s="251">
        <v>9290.0</v>
      </c>
      <c r="C71" s="256">
        <f t="shared" ref="C71:H71" si="16">SUM(C69:C70)</f>
        <v>189370.2</v>
      </c>
      <c r="D71" s="256">
        <f t="shared" si="16"/>
        <v>0</v>
      </c>
      <c r="E71" s="256">
        <f t="shared" si="16"/>
        <v>189370.2</v>
      </c>
      <c r="F71" s="256">
        <f t="shared" si="16"/>
        <v>0</v>
      </c>
      <c r="G71" s="256">
        <f t="shared" si="16"/>
        <v>0</v>
      </c>
      <c r="H71" s="256">
        <f t="shared" si="16"/>
        <v>189370.2</v>
      </c>
    </row>
    <row r="72" ht="15.75" customHeight="1">
      <c r="A72" s="254"/>
      <c r="B72" s="63"/>
      <c r="C72" s="97"/>
      <c r="D72" s="97"/>
      <c r="E72" s="97"/>
      <c r="F72" s="97"/>
      <c r="G72" s="97"/>
      <c r="H72" s="97"/>
    </row>
    <row r="73" ht="15.75" customHeight="1">
      <c r="A73" s="254"/>
      <c r="B73" s="281" t="s">
        <v>335</v>
      </c>
      <c r="C73" s="283">
        <f t="shared" ref="C73:H73" si="17">C7+C12+C25+C38+C48+C55+C66+C71+C43+C20+C60</f>
        <v>13784278.61</v>
      </c>
      <c r="D73" s="283">
        <f t="shared" si="17"/>
        <v>8310560.01</v>
      </c>
      <c r="E73" s="283">
        <f t="shared" si="17"/>
        <v>440042.84</v>
      </c>
      <c r="F73" s="283">
        <f t="shared" si="17"/>
        <v>0</v>
      </c>
      <c r="G73" s="283">
        <f t="shared" si="17"/>
        <v>5033675.76</v>
      </c>
      <c r="H73" s="283">
        <f t="shared" si="17"/>
        <v>13784278.61</v>
      </c>
    </row>
    <row r="74" ht="15.75" customHeight="1">
      <c r="A74" s="254"/>
      <c r="B74" s="63"/>
      <c r="C74" s="97"/>
      <c r="D74" s="63"/>
      <c r="E74" s="95"/>
      <c r="F74" s="63"/>
      <c r="G74" s="63"/>
      <c r="H74" s="97"/>
    </row>
    <row r="75" ht="15.75" customHeight="1">
      <c r="A75" s="254"/>
      <c r="B75" s="63"/>
      <c r="C75" s="63"/>
      <c r="F75" s="63"/>
      <c r="G75" s="97"/>
      <c r="H75" s="63"/>
    </row>
    <row r="76" ht="15.75" customHeight="1">
      <c r="A76" s="254"/>
      <c r="B76" s="63"/>
      <c r="C76" s="97"/>
      <c r="E76" s="97"/>
      <c r="F76" s="97"/>
      <c r="G76" s="97"/>
      <c r="H76" s="97"/>
    </row>
    <row r="77" ht="15.75" customHeight="1">
      <c r="A77" s="254"/>
      <c r="B77" s="288" t="s">
        <v>512</v>
      </c>
      <c r="C77" s="97"/>
      <c r="D77" s="97"/>
      <c r="E77" s="97"/>
      <c r="H77" s="63"/>
    </row>
    <row r="78" ht="15.75" customHeight="1">
      <c r="A78" s="254"/>
      <c r="B78" s="63"/>
      <c r="C78" s="97"/>
      <c r="D78" s="289" t="s">
        <v>513</v>
      </c>
      <c r="E78" s="290"/>
      <c r="F78" s="290"/>
      <c r="G78" s="290"/>
      <c r="H78" s="291"/>
    </row>
    <row r="79" ht="15.75" customHeight="1">
      <c r="A79" s="251" t="s">
        <v>515</v>
      </c>
      <c r="B79" s="239" t="s">
        <v>516</v>
      </c>
      <c r="C79" s="253" t="s">
        <v>10</v>
      </c>
      <c r="D79" s="293" t="s">
        <v>517</v>
      </c>
      <c r="E79" s="294"/>
      <c r="F79" s="295">
        <v>2024.0</v>
      </c>
      <c r="G79" s="295" t="s">
        <v>518</v>
      </c>
      <c r="H79" s="296" t="s">
        <v>519</v>
      </c>
    </row>
    <row r="80" ht="15.75" customHeight="1">
      <c r="A80" s="251"/>
      <c r="B80" s="239"/>
      <c r="C80" s="253"/>
      <c r="D80" s="297" t="s">
        <v>521</v>
      </c>
      <c r="E80" s="297" t="s">
        <v>523</v>
      </c>
      <c r="F80" s="269"/>
      <c r="G80" s="298"/>
      <c r="H80" s="269"/>
    </row>
    <row r="81" ht="15.75" customHeight="1">
      <c r="A81" s="254" t="s">
        <v>435</v>
      </c>
      <c r="B81" s="63" t="s">
        <v>525</v>
      </c>
      <c r="C81" s="95">
        <f>935436.8+254899.41+521264.09</f>
        <v>1711600.3</v>
      </c>
      <c r="D81" s="95">
        <f>7831.64+203650.34</f>
        <v>211481.98</v>
      </c>
      <c r="E81" s="95">
        <f>721332.96+179713.3</f>
        <v>901046.26</v>
      </c>
      <c r="F81" s="95"/>
      <c r="G81" s="95"/>
      <c r="H81" s="269"/>
    </row>
    <row r="82" ht="15.75" customHeight="1">
      <c r="A82" s="254" t="s">
        <v>375</v>
      </c>
      <c r="B82" s="63" t="s">
        <v>376</v>
      </c>
      <c r="C82" s="95">
        <v>1691705.89</v>
      </c>
      <c r="D82" s="95">
        <v>437531.77</v>
      </c>
      <c r="E82" s="95">
        <v>460876.48</v>
      </c>
      <c r="F82" s="95"/>
      <c r="G82" s="95"/>
      <c r="H82" s="269"/>
    </row>
    <row r="83" ht="15.75" customHeight="1">
      <c r="A83" s="254" t="s">
        <v>439</v>
      </c>
      <c r="B83" s="63" t="s">
        <v>527</v>
      </c>
      <c r="C83" s="95">
        <v>2409265.52</v>
      </c>
      <c r="D83" s="269"/>
      <c r="E83" s="95">
        <f>C31</f>
        <v>2294422.81</v>
      </c>
      <c r="F83" s="95">
        <f>C83-E83</f>
        <v>114842.71</v>
      </c>
      <c r="G83" s="95"/>
      <c r="H83" s="269"/>
    </row>
    <row r="84" ht="15.75" customHeight="1">
      <c r="A84" s="254" t="s">
        <v>67</v>
      </c>
      <c r="B84" s="63" t="s">
        <v>529</v>
      </c>
      <c r="C84" s="95">
        <v>53240.0</v>
      </c>
      <c r="D84" s="269"/>
      <c r="E84" s="95">
        <v>21296.0</v>
      </c>
      <c r="F84" s="95">
        <v>23958.0</v>
      </c>
      <c r="G84" s="95"/>
      <c r="H84" s="299">
        <v>7986.0</v>
      </c>
    </row>
    <row r="85" ht="15.75" customHeight="1">
      <c r="A85" s="254" t="s">
        <v>294</v>
      </c>
      <c r="B85" s="63" t="s">
        <v>295</v>
      </c>
      <c r="C85" s="95">
        <v>2734721.71</v>
      </c>
      <c r="D85" s="95">
        <v>71492.01</v>
      </c>
      <c r="E85" s="95">
        <v>2663229.7</v>
      </c>
      <c r="F85" s="95"/>
      <c r="G85" s="95"/>
      <c r="H85" s="269"/>
    </row>
    <row r="86" ht="15.75" customHeight="1">
      <c r="A86" s="254" t="s">
        <v>498</v>
      </c>
      <c r="B86" s="63" t="s">
        <v>499</v>
      </c>
      <c r="C86" s="95">
        <v>160845.3</v>
      </c>
      <c r="D86" s="95">
        <v>17017.43</v>
      </c>
      <c r="E86" s="95">
        <f>143827.87+16084.53</f>
        <v>159912.4</v>
      </c>
      <c r="F86" s="95"/>
      <c r="G86" s="95"/>
      <c r="H86" s="269"/>
    </row>
    <row r="87" ht="15.75" customHeight="1">
      <c r="A87" s="254" t="s">
        <v>43</v>
      </c>
      <c r="B87" s="63" t="s">
        <v>425</v>
      </c>
      <c r="C87" s="95">
        <v>5669334.0</v>
      </c>
      <c r="D87" s="95"/>
      <c r="E87" s="95">
        <v>1700000.0</v>
      </c>
      <c r="F87" s="95">
        <v>3250000.0</v>
      </c>
      <c r="G87" s="97">
        <f t="shared" ref="G87:G88" si="18">C87-E87-F87</f>
        <v>719334</v>
      </c>
      <c r="H87" s="269"/>
    </row>
    <row r="88" ht="15.75" customHeight="1">
      <c r="A88" s="254" t="s">
        <v>57</v>
      </c>
      <c r="B88" s="63" t="s">
        <v>434</v>
      </c>
      <c r="C88" s="95">
        <v>799526.0</v>
      </c>
      <c r="D88" s="95"/>
      <c r="E88" s="95">
        <v>250000.0</v>
      </c>
      <c r="F88" s="95">
        <v>500000.0</v>
      </c>
      <c r="G88" s="97">
        <f t="shared" si="18"/>
        <v>49526</v>
      </c>
      <c r="H88" s="269"/>
    </row>
    <row r="89" ht="15.75" customHeight="1">
      <c r="A89" s="254"/>
      <c r="B89" s="63"/>
      <c r="C89" s="95"/>
      <c r="D89" s="300"/>
      <c r="E89" s="95"/>
      <c r="F89" s="95"/>
      <c r="G89" s="95"/>
      <c r="H89" s="95"/>
    </row>
    <row r="90" ht="15.75" customHeight="1">
      <c r="A90" s="265" t="s">
        <v>530</v>
      </c>
      <c r="B90" s="63"/>
      <c r="C90" s="63"/>
      <c r="D90" s="63"/>
      <c r="E90" s="63"/>
      <c r="F90" s="63"/>
      <c r="G90" s="63"/>
      <c r="H90" s="63"/>
    </row>
    <row r="91" ht="15.75" customHeight="1">
      <c r="A91" s="265" t="s">
        <v>531</v>
      </c>
      <c r="B91" s="63"/>
      <c r="C91" s="63"/>
      <c r="D91" s="63"/>
      <c r="E91" s="63"/>
      <c r="F91" s="63"/>
      <c r="G91" s="63"/>
      <c r="H91" s="63"/>
    </row>
    <row r="92" ht="15.75" customHeight="1">
      <c r="A92" s="265" t="s">
        <v>533</v>
      </c>
      <c r="B92" s="63"/>
      <c r="C92" s="63"/>
      <c r="D92" s="97"/>
      <c r="E92" s="63"/>
      <c r="F92" s="63"/>
      <c r="G92" s="63"/>
      <c r="H92" s="63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G1"/>
    <mergeCell ref="E77:G77"/>
    <mergeCell ref="D78:H7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3.71"/>
    <col customWidth="1" min="3" max="4" width="13.71"/>
    <col customWidth="1" min="5" max="5" width="14.0"/>
    <col customWidth="1" min="6" max="7" width="12.71"/>
    <col customWidth="1" min="8" max="8" width="13.71"/>
    <col customWidth="1" min="9" max="26" width="10.0"/>
  </cols>
  <sheetData>
    <row r="1" ht="15.75" customHeight="1">
      <c r="A1" s="56"/>
      <c r="B1" s="249" t="s">
        <v>372</v>
      </c>
      <c r="C1" s="4"/>
      <c r="D1" s="4"/>
      <c r="E1" s="4"/>
      <c r="F1" s="4"/>
      <c r="G1" s="5"/>
      <c r="H1" s="56"/>
    </row>
    <row r="2" ht="15.75" customHeight="1">
      <c r="A2" s="56"/>
      <c r="B2" s="63"/>
      <c r="C2" s="66"/>
      <c r="D2" s="66"/>
      <c r="E2" s="66"/>
      <c r="F2" s="66"/>
      <c r="G2" s="66"/>
      <c r="H2" s="56"/>
    </row>
    <row r="3" ht="23.25" customHeight="1">
      <c r="A3" s="250" t="s">
        <v>2</v>
      </c>
      <c r="B3" s="78" t="s">
        <v>3</v>
      </c>
      <c r="C3" s="81" t="s">
        <v>4</v>
      </c>
      <c r="D3" s="81" t="s">
        <v>1</v>
      </c>
      <c r="E3" s="81" t="s">
        <v>5</v>
      </c>
      <c r="F3" s="81" t="s">
        <v>6</v>
      </c>
      <c r="G3" s="81" t="s">
        <v>9</v>
      </c>
      <c r="H3" s="81" t="s">
        <v>10</v>
      </c>
    </row>
    <row r="4">
      <c r="A4" s="251">
        <v>1320.0</v>
      </c>
      <c r="B4" s="252" t="s">
        <v>13</v>
      </c>
      <c r="C4" s="63"/>
      <c r="D4" s="63"/>
      <c r="E4" s="63"/>
      <c r="F4" s="63"/>
      <c r="G4" s="63"/>
      <c r="H4" s="63"/>
    </row>
    <row r="5">
      <c r="A5" s="251">
        <v>632.0</v>
      </c>
      <c r="B5" s="239" t="s">
        <v>100</v>
      </c>
      <c r="C5" s="253"/>
      <c r="D5" s="95"/>
      <c r="E5" s="95"/>
      <c r="F5" s="95"/>
      <c r="G5" s="95"/>
      <c r="H5" s="97"/>
    </row>
    <row r="6">
      <c r="A6" s="254" t="s">
        <v>375</v>
      </c>
      <c r="B6" s="63" t="s">
        <v>376</v>
      </c>
      <c r="C6" s="95">
        <v>460876.48</v>
      </c>
      <c r="D6" s="95">
        <v>445323.22</v>
      </c>
      <c r="E6" s="95">
        <f>C6-D6</f>
        <v>15553.26</v>
      </c>
      <c r="F6" s="95"/>
      <c r="G6" s="95"/>
      <c r="H6" s="97">
        <f>SUM(D6:G6)</f>
        <v>460876.48</v>
      </c>
    </row>
    <row r="7">
      <c r="A7" s="254"/>
      <c r="B7" s="251">
        <v>1320.0</v>
      </c>
      <c r="C7" s="256">
        <f t="shared" ref="C7:H7" si="1">SUM(C5:C6)</f>
        <v>460876.48</v>
      </c>
      <c r="D7" s="256">
        <f t="shared" si="1"/>
        <v>445323.22</v>
      </c>
      <c r="E7" s="256">
        <f t="shared" si="1"/>
        <v>15553.26</v>
      </c>
      <c r="F7" s="256">
        <f t="shared" si="1"/>
        <v>0</v>
      </c>
      <c r="G7" s="256">
        <f t="shared" si="1"/>
        <v>0</v>
      </c>
      <c r="H7" s="256">
        <f t="shared" si="1"/>
        <v>460876.48</v>
      </c>
    </row>
    <row r="8">
      <c r="A8" s="254"/>
      <c r="B8" s="251"/>
      <c r="C8" s="258"/>
      <c r="D8" s="258"/>
      <c r="E8" s="258"/>
      <c r="F8" s="258"/>
      <c r="G8" s="258"/>
      <c r="H8" s="258"/>
    </row>
    <row r="9">
      <c r="A9" s="251">
        <v>1340.0</v>
      </c>
      <c r="B9" s="252" t="s">
        <v>17</v>
      </c>
      <c r="C9" s="258"/>
      <c r="D9" s="258"/>
      <c r="E9" s="258"/>
      <c r="F9" s="258"/>
      <c r="G9" s="258"/>
      <c r="H9" s="258"/>
    </row>
    <row r="10">
      <c r="A10" s="251">
        <v>619.0</v>
      </c>
      <c r="B10" s="239" t="s">
        <v>18</v>
      </c>
      <c r="C10" s="258"/>
      <c r="D10" s="258"/>
      <c r="E10" s="258"/>
      <c r="F10" s="258"/>
      <c r="G10" s="258"/>
      <c r="H10" s="258"/>
    </row>
    <row r="11">
      <c r="A11" s="254" t="s">
        <v>386</v>
      </c>
      <c r="B11" s="63" t="s">
        <v>387</v>
      </c>
      <c r="C11" s="95">
        <v>143182.33</v>
      </c>
      <c r="D11" s="95"/>
      <c r="E11" s="95"/>
      <c r="F11" s="95"/>
      <c r="G11" s="95">
        <v>143182.33</v>
      </c>
      <c r="H11" s="97">
        <f>SUM(D11:G11)</f>
        <v>143182.33</v>
      </c>
    </row>
    <row r="12">
      <c r="A12" s="254"/>
      <c r="B12" s="251">
        <v>1340.0</v>
      </c>
      <c r="C12" s="256">
        <f t="shared" ref="C12:H12" si="2">SUM(C11)</f>
        <v>143182.33</v>
      </c>
      <c r="D12" s="256">
        <f t="shared" si="2"/>
        <v>0</v>
      </c>
      <c r="E12" s="256">
        <f t="shared" si="2"/>
        <v>0</v>
      </c>
      <c r="F12" s="256">
        <f t="shared" si="2"/>
        <v>0</v>
      </c>
      <c r="G12" s="256">
        <f t="shared" si="2"/>
        <v>143182.33</v>
      </c>
      <c r="H12" s="256">
        <f t="shared" si="2"/>
        <v>143182.33</v>
      </c>
    </row>
    <row r="13">
      <c r="A13" s="254"/>
      <c r="B13" s="251"/>
      <c r="C13" s="258"/>
      <c r="D13" s="258"/>
      <c r="E13" s="258"/>
      <c r="F13" s="258"/>
      <c r="G13" s="258"/>
      <c r="H13" s="258"/>
    </row>
    <row r="14">
      <c r="A14" s="251">
        <v>1360.0</v>
      </c>
      <c r="B14" s="252" t="s">
        <v>394</v>
      </c>
      <c r="C14" s="63"/>
      <c r="D14" s="63"/>
      <c r="E14" s="63"/>
      <c r="F14" s="63"/>
      <c r="G14" s="63"/>
      <c r="H14" s="63"/>
    </row>
    <row r="15">
      <c r="A15" s="251">
        <v>624.0</v>
      </c>
      <c r="B15" s="252" t="s">
        <v>395</v>
      </c>
      <c r="C15" s="63"/>
      <c r="D15" s="63"/>
      <c r="E15" s="63"/>
      <c r="F15" s="63"/>
      <c r="G15" s="63"/>
      <c r="H15" s="63"/>
    </row>
    <row r="16">
      <c r="A16" s="254" t="s">
        <v>397</v>
      </c>
      <c r="B16" s="265" t="s">
        <v>398</v>
      </c>
      <c r="C16" s="95">
        <f>81312+15488</f>
        <v>96800</v>
      </c>
      <c r="D16" s="97">
        <f>36317.25+15488</f>
        <v>51805.25</v>
      </c>
      <c r="E16" s="97"/>
      <c r="F16" s="63"/>
      <c r="G16" s="97">
        <v>44994.75</v>
      </c>
      <c r="H16" s="97">
        <f t="shared" ref="H16:H17" si="3">SUM(D16:G16)</f>
        <v>96800</v>
      </c>
    </row>
    <row r="17">
      <c r="A17" s="254" t="s">
        <v>404</v>
      </c>
      <c r="B17" s="63" t="s">
        <v>405</v>
      </c>
      <c r="C17" s="95">
        <v>1001630.86</v>
      </c>
      <c r="D17" s="95">
        <v>454194.75</v>
      </c>
      <c r="E17" s="95"/>
      <c r="F17" s="95"/>
      <c r="G17" s="95">
        <v>547436.11</v>
      </c>
      <c r="H17" s="97">
        <f t="shared" si="3"/>
        <v>1001630.86</v>
      </c>
    </row>
    <row r="18">
      <c r="A18" s="251">
        <v>623.0</v>
      </c>
      <c r="B18" s="239" t="s">
        <v>407</v>
      </c>
      <c r="C18" s="258"/>
      <c r="D18" s="258"/>
      <c r="E18" s="258"/>
      <c r="F18" s="258"/>
      <c r="G18" s="258"/>
      <c r="H18" s="241"/>
    </row>
    <row r="19">
      <c r="A19" s="254" t="s">
        <v>410</v>
      </c>
      <c r="B19" s="63" t="s">
        <v>411</v>
      </c>
      <c r="C19" s="95">
        <v>832641.85</v>
      </c>
      <c r="D19" s="95">
        <v>454828.95</v>
      </c>
      <c r="E19" s="95"/>
      <c r="F19" s="95"/>
      <c r="G19" s="95">
        <v>377812.9</v>
      </c>
      <c r="H19" s="97">
        <f>SUM(D19:G19)</f>
        <v>832641.85</v>
      </c>
    </row>
    <row r="20">
      <c r="A20" s="254"/>
      <c r="B20" s="251">
        <v>1360.0</v>
      </c>
      <c r="C20" s="256">
        <f>SUM(C15:C19)</f>
        <v>1931072.71</v>
      </c>
      <c r="D20" s="256">
        <f t="shared" ref="D20:H20" si="4">SUM(D16:D19)</f>
        <v>960828.95</v>
      </c>
      <c r="E20" s="256">
        <f t="shared" si="4"/>
        <v>0</v>
      </c>
      <c r="F20" s="256">
        <f t="shared" si="4"/>
        <v>0</v>
      </c>
      <c r="G20" s="256">
        <f t="shared" si="4"/>
        <v>970243.76</v>
      </c>
      <c r="H20" s="256">
        <f t="shared" si="4"/>
        <v>1931072.71</v>
      </c>
    </row>
    <row r="21" ht="15.75" customHeight="1">
      <c r="A21" s="254"/>
      <c r="B21" s="251"/>
      <c r="C21" s="258"/>
      <c r="D21" s="258"/>
      <c r="E21" s="258"/>
      <c r="F21" s="258"/>
      <c r="G21" s="258"/>
      <c r="H21" s="258"/>
    </row>
    <row r="22" ht="15.75" customHeight="1">
      <c r="A22" s="251">
        <v>1522.0</v>
      </c>
      <c r="B22" s="252" t="s">
        <v>38</v>
      </c>
      <c r="C22" s="63"/>
      <c r="D22" s="97"/>
      <c r="E22" s="269"/>
      <c r="F22" s="97"/>
      <c r="G22" s="97"/>
      <c r="H22" s="63"/>
    </row>
    <row r="23" ht="15.75" customHeight="1">
      <c r="A23" s="251">
        <v>651.0</v>
      </c>
      <c r="B23" s="239" t="s">
        <v>128</v>
      </c>
      <c r="C23" s="253"/>
      <c r="D23" s="95"/>
      <c r="E23" s="95"/>
      <c r="F23" s="95"/>
      <c r="G23" s="95"/>
      <c r="H23" s="97"/>
    </row>
    <row r="24" ht="15.75" customHeight="1">
      <c r="A24" s="254" t="s">
        <v>43</v>
      </c>
      <c r="B24" s="63" t="s">
        <v>425</v>
      </c>
      <c r="C24" s="95">
        <v>1700000.0</v>
      </c>
      <c r="D24" s="95">
        <v>250000.0</v>
      </c>
      <c r="E24" s="95"/>
      <c r="F24" s="95"/>
      <c r="G24" s="95">
        <v>1450000.0</v>
      </c>
      <c r="H24" s="97">
        <f>SUM(D24:G24)</f>
        <v>1700000</v>
      </c>
    </row>
    <row r="25" ht="15.75" customHeight="1">
      <c r="A25" s="254"/>
      <c r="B25" s="251">
        <v>1522.0</v>
      </c>
      <c r="C25" s="256">
        <f t="shared" ref="C25:H25" si="5">SUM(C23:C24)</f>
        <v>1700000</v>
      </c>
      <c r="D25" s="256">
        <f t="shared" si="5"/>
        <v>250000</v>
      </c>
      <c r="E25" s="256">
        <f t="shared" si="5"/>
        <v>0</v>
      </c>
      <c r="F25" s="256">
        <f t="shared" si="5"/>
        <v>0</v>
      </c>
      <c r="G25" s="256">
        <f t="shared" si="5"/>
        <v>1450000</v>
      </c>
      <c r="H25" s="256">
        <f t="shared" si="5"/>
        <v>1700000</v>
      </c>
    </row>
    <row r="26" ht="15.75" customHeight="1">
      <c r="A26" s="254"/>
      <c r="B26" s="251"/>
      <c r="C26" s="63"/>
      <c r="D26" s="63"/>
      <c r="E26" s="63"/>
      <c r="F26" s="63"/>
      <c r="G26" s="63"/>
      <c r="H26" s="63"/>
    </row>
    <row r="27" ht="15.75" customHeight="1">
      <c r="A27" s="251">
        <v>1530.0</v>
      </c>
      <c r="B27" s="252" t="s">
        <v>52</v>
      </c>
      <c r="C27" s="63"/>
      <c r="D27" s="63"/>
      <c r="E27" s="63"/>
      <c r="F27" s="63"/>
      <c r="G27" s="63"/>
      <c r="H27" s="63"/>
    </row>
    <row r="28" ht="15.75" customHeight="1">
      <c r="A28" s="251">
        <v>619.0</v>
      </c>
      <c r="B28" s="239" t="s">
        <v>53</v>
      </c>
      <c r="C28" s="253"/>
      <c r="D28" s="95"/>
      <c r="E28" s="95"/>
      <c r="F28" s="95"/>
      <c r="G28" s="95"/>
      <c r="H28" s="97"/>
    </row>
    <row r="29" ht="15.75" customHeight="1">
      <c r="A29" s="254" t="s">
        <v>57</v>
      </c>
      <c r="B29" s="63" t="s">
        <v>434</v>
      </c>
      <c r="C29" s="95">
        <v>250000.0</v>
      </c>
      <c r="D29" s="95">
        <v>50000.0</v>
      </c>
      <c r="E29" s="95"/>
      <c r="F29" s="95"/>
      <c r="G29" s="95">
        <v>200000.0</v>
      </c>
      <c r="H29" s="97">
        <f t="shared" ref="H29:H37" si="6">SUM(D29:G29)</f>
        <v>250000</v>
      </c>
    </row>
    <row r="30" ht="15.75" customHeight="1">
      <c r="A30" s="254" t="s">
        <v>435</v>
      </c>
      <c r="B30" s="63" t="s">
        <v>436</v>
      </c>
      <c r="C30" s="95">
        <v>901046.26</v>
      </c>
      <c r="D30" s="95">
        <v>901046.26</v>
      </c>
      <c r="E30" s="95"/>
      <c r="F30" s="95"/>
      <c r="G30" s="95"/>
      <c r="H30" s="97">
        <f t="shared" si="6"/>
        <v>901046.26</v>
      </c>
    </row>
    <row r="31" ht="15.75" customHeight="1">
      <c r="A31" s="254" t="s">
        <v>439</v>
      </c>
      <c r="B31" s="63" t="s">
        <v>441</v>
      </c>
      <c r="C31" s="95">
        <v>2294422.81</v>
      </c>
      <c r="D31" s="95">
        <f>C31-G31</f>
        <v>2294422.81</v>
      </c>
      <c r="E31" s="95"/>
      <c r="F31" s="95"/>
      <c r="G31" s="95"/>
      <c r="H31" s="97">
        <f t="shared" si="6"/>
        <v>2294422.81</v>
      </c>
    </row>
    <row r="32" ht="15.75" customHeight="1">
      <c r="A32" s="254" t="s">
        <v>67</v>
      </c>
      <c r="B32" s="63" t="s">
        <v>443</v>
      </c>
      <c r="C32" s="95">
        <v>21296.0</v>
      </c>
      <c r="D32" s="95"/>
      <c r="E32" s="95">
        <v>21296.0</v>
      </c>
      <c r="F32" s="95"/>
      <c r="G32" s="95"/>
      <c r="H32" s="97">
        <f t="shared" si="6"/>
        <v>21296</v>
      </c>
    </row>
    <row r="33" ht="15.75" customHeight="1">
      <c r="A33" s="254" t="s">
        <v>71</v>
      </c>
      <c r="B33" s="63" t="s">
        <v>445</v>
      </c>
      <c r="C33" s="95">
        <v>339552.92</v>
      </c>
      <c r="D33" s="95">
        <f>C33-G33</f>
        <v>339552.92</v>
      </c>
      <c r="E33" s="95"/>
      <c r="F33" s="95"/>
      <c r="G33" s="95"/>
      <c r="H33" s="97">
        <f t="shared" si="6"/>
        <v>339552.92</v>
      </c>
    </row>
    <row r="34" ht="15.75" customHeight="1">
      <c r="A34" s="254" t="s">
        <v>448</v>
      </c>
      <c r="B34" s="63" t="s">
        <v>449</v>
      </c>
      <c r="C34" s="95">
        <v>41994.42</v>
      </c>
      <c r="D34" s="95"/>
      <c r="E34" s="95">
        <v>41994.42</v>
      </c>
      <c r="F34" s="95"/>
      <c r="G34" s="95"/>
      <c r="H34" s="97">
        <f t="shared" si="6"/>
        <v>41994.42</v>
      </c>
    </row>
    <row r="35" ht="15.75" customHeight="1">
      <c r="A35" s="254" t="s">
        <v>451</v>
      </c>
      <c r="B35" s="63" t="s">
        <v>452</v>
      </c>
      <c r="C35" s="95">
        <v>6247.17</v>
      </c>
      <c r="D35" s="95"/>
      <c r="E35" s="95">
        <v>6247.17</v>
      </c>
      <c r="F35" s="95"/>
      <c r="G35" s="95"/>
      <c r="H35" s="97">
        <f t="shared" si="6"/>
        <v>6247.17</v>
      </c>
    </row>
    <row r="36" ht="15.75" customHeight="1">
      <c r="A36" s="254" t="s">
        <v>455</v>
      </c>
      <c r="B36" s="63" t="s">
        <v>456</v>
      </c>
      <c r="C36" s="95">
        <v>1555084.28</v>
      </c>
      <c r="D36" s="95">
        <f t="shared" ref="D36:D37" si="7">C36</f>
        <v>1555084.28</v>
      </c>
      <c r="E36" s="95"/>
      <c r="F36" s="95"/>
      <c r="G36" s="95"/>
      <c r="H36" s="97">
        <f t="shared" si="6"/>
        <v>1555084.28</v>
      </c>
    </row>
    <row r="37" ht="15.75" customHeight="1">
      <c r="A37" s="254" t="s">
        <v>460</v>
      </c>
      <c r="B37" s="63" t="s">
        <v>461</v>
      </c>
      <c r="C37" s="95">
        <v>62203.37</v>
      </c>
      <c r="D37" s="95">
        <f t="shared" si="7"/>
        <v>62203.37</v>
      </c>
      <c r="E37" s="95"/>
      <c r="F37" s="95"/>
      <c r="G37" s="95"/>
      <c r="H37" s="97">
        <f t="shared" si="6"/>
        <v>62203.37</v>
      </c>
    </row>
    <row r="38" ht="15.75" customHeight="1">
      <c r="A38" s="254"/>
      <c r="B38" s="251">
        <v>1530.0</v>
      </c>
      <c r="C38" s="256">
        <f t="shared" ref="C38:H38" si="8">SUM(C28:C37)</f>
        <v>5471847.23</v>
      </c>
      <c r="D38" s="256">
        <f t="shared" si="8"/>
        <v>5202309.64</v>
      </c>
      <c r="E38" s="256">
        <f t="shared" si="8"/>
        <v>69537.59</v>
      </c>
      <c r="F38" s="256">
        <f t="shared" si="8"/>
        <v>0</v>
      </c>
      <c r="G38" s="256">
        <f t="shared" si="8"/>
        <v>200000</v>
      </c>
      <c r="H38" s="256">
        <f t="shared" si="8"/>
        <v>5471847.23</v>
      </c>
    </row>
    <row r="39" ht="15.75" customHeight="1">
      <c r="A39" s="254"/>
      <c r="B39" s="251"/>
      <c r="C39" s="258"/>
      <c r="D39" s="258"/>
      <c r="E39" s="258"/>
      <c r="F39" s="258"/>
      <c r="G39" s="258"/>
      <c r="H39" s="258"/>
    </row>
    <row r="40" ht="15.75" customHeight="1">
      <c r="A40" s="251">
        <v>1640.0</v>
      </c>
      <c r="B40" s="252" t="s">
        <v>158</v>
      </c>
      <c r="C40" s="63"/>
      <c r="D40" s="63"/>
      <c r="E40" s="269"/>
      <c r="F40" s="63"/>
      <c r="G40" s="63"/>
      <c r="H40" s="63"/>
    </row>
    <row r="41" ht="15.75" customHeight="1">
      <c r="A41" s="251">
        <v>622.0</v>
      </c>
      <c r="B41" s="239" t="s">
        <v>100</v>
      </c>
      <c r="C41" s="253"/>
      <c r="D41" s="95"/>
      <c r="E41" s="63"/>
      <c r="F41" s="95"/>
      <c r="G41" s="95"/>
      <c r="H41" s="97"/>
    </row>
    <row r="42" ht="15.75" customHeight="1">
      <c r="A42" s="254" t="s">
        <v>469</v>
      </c>
      <c r="B42" s="63" t="s">
        <v>470</v>
      </c>
      <c r="C42" s="95">
        <v>45581.79</v>
      </c>
      <c r="D42" s="95"/>
      <c r="E42" s="95">
        <v>45581.79</v>
      </c>
      <c r="F42" s="95"/>
      <c r="G42" s="95"/>
      <c r="H42" s="97">
        <f>SUM(D42:G42)</f>
        <v>45581.79</v>
      </c>
    </row>
    <row r="43" ht="15.75" customHeight="1">
      <c r="A43" s="254"/>
      <c r="B43" s="251">
        <v>1640.0</v>
      </c>
      <c r="C43" s="256">
        <f t="shared" ref="C43:H43" si="9">SUM(C41:C42)</f>
        <v>45581.79</v>
      </c>
      <c r="D43" s="256">
        <f t="shared" si="9"/>
        <v>0</v>
      </c>
      <c r="E43" s="256">
        <f t="shared" si="9"/>
        <v>45581.79</v>
      </c>
      <c r="F43" s="256">
        <f t="shared" si="9"/>
        <v>0</v>
      </c>
      <c r="G43" s="256">
        <f t="shared" si="9"/>
        <v>0</v>
      </c>
      <c r="H43" s="256">
        <f t="shared" si="9"/>
        <v>45581.79</v>
      </c>
    </row>
    <row r="44" ht="15.75" customHeight="1">
      <c r="A44" s="274"/>
      <c r="B44" s="274"/>
      <c r="C44" s="274"/>
      <c r="D44" s="274"/>
      <c r="E44" s="274"/>
      <c r="F44" s="274"/>
      <c r="G44" s="269"/>
      <c r="H44" s="275"/>
    </row>
    <row r="45" ht="15.75" customHeight="1">
      <c r="A45" s="251">
        <v>3214.0</v>
      </c>
      <c r="B45" s="252" t="s">
        <v>472</v>
      </c>
      <c r="C45" s="95"/>
      <c r="D45" s="95"/>
      <c r="E45" s="95"/>
      <c r="F45" s="95"/>
      <c r="G45" s="95"/>
      <c r="H45" s="97"/>
    </row>
    <row r="46" ht="15.75" customHeight="1">
      <c r="A46" s="251">
        <v>632.0</v>
      </c>
      <c r="B46" s="239" t="s">
        <v>100</v>
      </c>
      <c r="C46" s="95"/>
      <c r="D46" s="95"/>
      <c r="E46" s="95"/>
      <c r="F46" s="95"/>
      <c r="G46" s="95"/>
      <c r="H46" s="97"/>
    </row>
    <row r="47" ht="15.75" customHeight="1">
      <c r="A47" s="254" t="s">
        <v>473</v>
      </c>
      <c r="B47" s="63" t="s">
        <v>474</v>
      </c>
      <c r="C47" s="95">
        <v>61134.0</v>
      </c>
      <c r="D47" s="95"/>
      <c r="E47" s="95"/>
      <c r="F47" s="95"/>
      <c r="G47" s="95">
        <v>61134.0</v>
      </c>
      <c r="H47" s="97">
        <f>SUM(D47:G47)</f>
        <v>61134</v>
      </c>
    </row>
    <row r="48" ht="15.75" customHeight="1">
      <c r="A48" s="254"/>
      <c r="B48" s="251">
        <v>3214.0</v>
      </c>
      <c r="C48" s="256">
        <f t="shared" ref="C48:H48" si="10">SUM(C46:C47)</f>
        <v>61134</v>
      </c>
      <c r="D48" s="256">
        <f t="shared" si="10"/>
        <v>0</v>
      </c>
      <c r="E48" s="256">
        <f t="shared" si="10"/>
        <v>0</v>
      </c>
      <c r="F48" s="256">
        <f t="shared" si="10"/>
        <v>0</v>
      </c>
      <c r="G48" s="256">
        <f t="shared" si="10"/>
        <v>61134</v>
      </c>
      <c r="H48" s="256">
        <f t="shared" si="10"/>
        <v>61134</v>
      </c>
    </row>
    <row r="49" ht="15.75" customHeight="1">
      <c r="A49" s="269"/>
      <c r="B49" s="269"/>
      <c r="C49" s="269"/>
      <c r="D49" s="269"/>
      <c r="E49" s="269"/>
      <c r="F49" s="269"/>
      <c r="G49" s="269"/>
      <c r="H49" s="269"/>
    </row>
    <row r="50" ht="15.75" customHeight="1">
      <c r="A50" s="251">
        <v>3420.0</v>
      </c>
      <c r="B50" s="252" t="s">
        <v>289</v>
      </c>
      <c r="C50" s="95"/>
      <c r="D50" s="95"/>
      <c r="E50" s="95"/>
      <c r="F50" s="95"/>
      <c r="G50" s="95"/>
      <c r="H50" s="97"/>
    </row>
    <row r="51" ht="15.75" customHeight="1">
      <c r="A51" s="251">
        <v>632.0</v>
      </c>
      <c r="B51" s="239" t="s">
        <v>475</v>
      </c>
      <c r="C51" s="239"/>
      <c r="D51" s="239"/>
      <c r="E51" s="239"/>
      <c r="F51" s="239"/>
      <c r="G51" s="239"/>
      <c r="H51" s="239"/>
    </row>
    <row r="52" ht="15.75" customHeight="1">
      <c r="A52" s="254" t="s">
        <v>294</v>
      </c>
      <c r="B52" s="63" t="s">
        <v>295</v>
      </c>
      <c r="C52" s="95">
        <v>2936701.87</v>
      </c>
      <c r="D52" s="95">
        <f t="shared" ref="D52:D53" si="11">C52-G52</f>
        <v>1264334.42</v>
      </c>
      <c r="E52" s="95"/>
      <c r="F52" s="95"/>
      <c r="G52" s="95">
        <v>1672367.45</v>
      </c>
      <c r="H52" s="97">
        <f>D52+E52+F52+G52</f>
        <v>2936701.87</v>
      </c>
    </row>
    <row r="53" ht="15.75" customHeight="1">
      <c r="A53" s="254" t="s">
        <v>476</v>
      </c>
      <c r="B53" s="63" t="s">
        <v>477</v>
      </c>
      <c r="C53" s="95">
        <v>300000.0</v>
      </c>
      <c r="D53" s="95">
        <f t="shared" si="11"/>
        <v>31625.89</v>
      </c>
      <c r="E53" s="95"/>
      <c r="F53" s="95"/>
      <c r="G53" s="95">
        <v>268374.11</v>
      </c>
      <c r="H53" s="97">
        <f>SUM(D53:G53)</f>
        <v>300000</v>
      </c>
    </row>
    <row r="54" ht="15.75" customHeight="1">
      <c r="A54" s="254" t="s">
        <v>479</v>
      </c>
      <c r="B54" s="63" t="s">
        <v>480</v>
      </c>
      <c r="C54" s="95">
        <v>120000.0</v>
      </c>
      <c r="D54" s="95"/>
      <c r="E54" s="95">
        <v>120000.0</v>
      </c>
      <c r="F54" s="95"/>
      <c r="G54" s="95"/>
      <c r="H54" s="97">
        <f>D54+E54+F54+G54</f>
        <v>120000</v>
      </c>
    </row>
    <row r="55" ht="15.75" customHeight="1">
      <c r="A55" s="254"/>
      <c r="B55" s="251">
        <v>3420.0</v>
      </c>
      <c r="C55" s="256">
        <f t="shared" ref="C55:H55" si="12">SUM(C52:C54)</f>
        <v>3356701.87</v>
      </c>
      <c r="D55" s="256">
        <f t="shared" si="12"/>
        <v>1295960.31</v>
      </c>
      <c r="E55" s="256">
        <f t="shared" si="12"/>
        <v>120000</v>
      </c>
      <c r="F55" s="256">
        <f t="shared" si="12"/>
        <v>0</v>
      </c>
      <c r="G55" s="256">
        <f t="shared" si="12"/>
        <v>1940741.56</v>
      </c>
      <c r="H55" s="256">
        <f t="shared" si="12"/>
        <v>3356701.87</v>
      </c>
    </row>
    <row r="56" ht="15.75" customHeight="1">
      <c r="A56" s="254"/>
      <c r="B56" s="251"/>
      <c r="C56" s="258"/>
      <c r="D56" s="258"/>
      <c r="E56" s="258"/>
      <c r="F56" s="258"/>
      <c r="G56" s="258"/>
      <c r="H56" s="258"/>
    </row>
    <row r="57" ht="15.75" customHeight="1">
      <c r="A57" s="251">
        <v>4540.0</v>
      </c>
      <c r="B57" s="252" t="s">
        <v>322</v>
      </c>
      <c r="C57" s="95"/>
      <c r="D57" s="95"/>
      <c r="E57" s="95"/>
      <c r="F57" s="95"/>
      <c r="G57" s="95"/>
      <c r="H57" s="97"/>
    </row>
    <row r="58" ht="15.75" customHeight="1">
      <c r="A58" s="251">
        <v>619.0</v>
      </c>
      <c r="B58" s="239" t="s">
        <v>318</v>
      </c>
      <c r="C58" s="63"/>
      <c r="D58" s="63"/>
      <c r="E58" s="63"/>
      <c r="F58" s="63"/>
      <c r="G58" s="63"/>
      <c r="H58" s="63"/>
    </row>
    <row r="59" ht="15.75" customHeight="1">
      <c r="A59" s="254" t="s">
        <v>481</v>
      </c>
      <c r="B59" s="63" t="s">
        <v>325</v>
      </c>
      <c r="C59" s="95">
        <v>300000.0</v>
      </c>
      <c r="D59" s="95">
        <f>C59-G59</f>
        <v>31625.89</v>
      </c>
      <c r="E59" s="95"/>
      <c r="F59" s="95"/>
      <c r="G59" s="95">
        <v>268374.11</v>
      </c>
      <c r="H59" s="97">
        <f>SUM(D59:G59)</f>
        <v>300000</v>
      </c>
    </row>
    <row r="60" ht="15.75" customHeight="1">
      <c r="A60" s="277"/>
      <c r="B60" s="251">
        <v>4540.0</v>
      </c>
      <c r="C60" s="256">
        <f t="shared" ref="C60:H60" si="13">SUM(C59)</f>
        <v>300000</v>
      </c>
      <c r="D60" s="256">
        <f t="shared" si="13"/>
        <v>31625.89</v>
      </c>
      <c r="E60" s="256">
        <f t="shared" si="13"/>
        <v>0</v>
      </c>
      <c r="F60" s="256">
        <f t="shared" si="13"/>
        <v>0</v>
      </c>
      <c r="G60" s="256">
        <f t="shared" si="13"/>
        <v>268374.11</v>
      </c>
      <c r="H60" s="256">
        <f t="shared" si="13"/>
        <v>300000</v>
      </c>
    </row>
    <row r="61" ht="15.75" customHeight="1">
      <c r="A61" s="254"/>
      <c r="B61" s="251"/>
      <c r="C61" s="258"/>
      <c r="D61" s="258"/>
      <c r="E61" s="258"/>
      <c r="F61" s="258"/>
      <c r="G61" s="258"/>
      <c r="H61" s="258"/>
    </row>
    <row r="62" ht="15.75" customHeight="1">
      <c r="A62" s="278">
        <v>9200.0</v>
      </c>
      <c r="B62" s="279" t="s">
        <v>484</v>
      </c>
      <c r="C62" s="280"/>
      <c r="D62" s="95"/>
      <c r="E62" s="125"/>
      <c r="F62" s="63"/>
      <c r="G62" s="63"/>
      <c r="H62" s="63"/>
    </row>
    <row r="63" ht="15.75" customHeight="1">
      <c r="A63" s="251">
        <v>629.0</v>
      </c>
      <c r="B63" s="239" t="s">
        <v>348</v>
      </c>
      <c r="C63" s="95"/>
      <c r="D63" s="95"/>
      <c r="E63" s="95"/>
      <c r="F63" s="95"/>
      <c r="G63" s="95"/>
      <c r="H63" s="97"/>
    </row>
    <row r="64" ht="15.75" customHeight="1">
      <c r="A64" s="254" t="s">
        <v>486</v>
      </c>
      <c r="B64" s="63" t="s">
        <v>487</v>
      </c>
      <c r="C64" s="95">
        <v>90000.0</v>
      </c>
      <c r="D64" s="95">
        <v>90000.0</v>
      </c>
      <c r="E64" s="95"/>
      <c r="F64" s="95"/>
      <c r="G64" s="95"/>
      <c r="H64" s="97">
        <f t="shared" ref="H64:H65" si="14">D64+E64+F64+G64</f>
        <v>90000</v>
      </c>
    </row>
    <row r="65" ht="15.75" customHeight="1">
      <c r="A65" s="254" t="s">
        <v>490</v>
      </c>
      <c r="B65" s="63" t="s">
        <v>332</v>
      </c>
      <c r="C65" s="95">
        <v>34512.0</v>
      </c>
      <c r="D65" s="95">
        <f>C65</f>
        <v>34512</v>
      </c>
      <c r="E65" s="95"/>
      <c r="F65" s="95"/>
      <c r="G65" s="95"/>
      <c r="H65" s="97">
        <f t="shared" si="14"/>
        <v>34512</v>
      </c>
    </row>
    <row r="66" ht="15.75" customHeight="1">
      <c r="A66" s="254"/>
      <c r="B66" s="251">
        <v>9200.0</v>
      </c>
      <c r="C66" s="256">
        <f t="shared" ref="C66:H66" si="15">SUM(C62:C65)</f>
        <v>124512</v>
      </c>
      <c r="D66" s="256">
        <f t="shared" si="15"/>
        <v>124512</v>
      </c>
      <c r="E66" s="256">
        <f t="shared" si="15"/>
        <v>0</v>
      </c>
      <c r="F66" s="256">
        <f t="shared" si="15"/>
        <v>0</v>
      </c>
      <c r="G66" s="256">
        <f t="shared" si="15"/>
        <v>0</v>
      </c>
      <c r="H66" s="256">
        <f t="shared" si="15"/>
        <v>124512</v>
      </c>
    </row>
    <row r="67" ht="15.75" customHeight="1">
      <c r="A67" s="269"/>
      <c r="B67" s="269"/>
      <c r="C67" s="269"/>
      <c r="D67" s="269"/>
      <c r="E67" s="269"/>
      <c r="F67" s="269"/>
      <c r="G67" s="269"/>
      <c r="H67" s="269"/>
    </row>
    <row r="68" ht="15.75" customHeight="1">
      <c r="A68" s="251">
        <v>9290.0</v>
      </c>
      <c r="B68" s="252" t="s">
        <v>497</v>
      </c>
      <c r="C68" s="95"/>
      <c r="D68" s="95"/>
      <c r="E68" s="95"/>
      <c r="F68" s="95"/>
      <c r="G68" s="95"/>
      <c r="H68" s="97"/>
    </row>
    <row r="69" ht="15.75" customHeight="1">
      <c r="A69" s="251">
        <v>632.0</v>
      </c>
      <c r="B69" s="239" t="s">
        <v>475</v>
      </c>
      <c r="C69" s="239"/>
      <c r="D69" s="239"/>
      <c r="E69" s="239"/>
      <c r="F69" s="239"/>
      <c r="G69" s="239"/>
      <c r="H69" s="239"/>
    </row>
    <row r="70" ht="15.75" customHeight="1">
      <c r="A70" s="254" t="s">
        <v>498</v>
      </c>
      <c r="B70" s="63" t="s">
        <v>499</v>
      </c>
      <c r="C70" s="95">
        <v>189370.2</v>
      </c>
      <c r="D70" s="95"/>
      <c r="E70" s="95">
        <f>C70</f>
        <v>189370.2</v>
      </c>
      <c r="F70" s="95"/>
      <c r="G70" s="95"/>
      <c r="H70" s="97">
        <f>D70+E70+F70+G70</f>
        <v>189370.2</v>
      </c>
    </row>
    <row r="71" ht="15.75" customHeight="1">
      <c r="A71" s="254"/>
      <c r="B71" s="251">
        <v>9290.0</v>
      </c>
      <c r="C71" s="256">
        <f t="shared" ref="C71:H71" si="16">SUM(C69:C70)</f>
        <v>189370.2</v>
      </c>
      <c r="D71" s="256">
        <f t="shared" si="16"/>
        <v>0</v>
      </c>
      <c r="E71" s="256">
        <f t="shared" si="16"/>
        <v>189370.2</v>
      </c>
      <c r="F71" s="256">
        <f t="shared" si="16"/>
        <v>0</v>
      </c>
      <c r="G71" s="256">
        <f t="shared" si="16"/>
        <v>0</v>
      </c>
      <c r="H71" s="256">
        <f t="shared" si="16"/>
        <v>189370.2</v>
      </c>
    </row>
    <row r="72" ht="15.75" customHeight="1">
      <c r="A72" s="254"/>
      <c r="B72" s="63"/>
      <c r="C72" s="97"/>
      <c r="D72" s="97"/>
      <c r="E72" s="97"/>
      <c r="F72" s="97"/>
      <c r="G72" s="97"/>
      <c r="H72" s="97"/>
    </row>
    <row r="73" ht="15.75" customHeight="1">
      <c r="A73" s="254"/>
      <c r="B73" s="281" t="s">
        <v>335</v>
      </c>
      <c r="C73" s="283">
        <f t="shared" ref="C73:H73" si="17">C7+C12+C25+C38+C48+C55+C66+C71+C43+C20+C60</f>
        <v>13784278.61</v>
      </c>
      <c r="D73" s="283">
        <f t="shared" si="17"/>
        <v>8310560.01</v>
      </c>
      <c r="E73" s="283">
        <f t="shared" si="17"/>
        <v>440042.84</v>
      </c>
      <c r="F73" s="283">
        <f t="shared" si="17"/>
        <v>0</v>
      </c>
      <c r="G73" s="283">
        <f t="shared" si="17"/>
        <v>5033675.76</v>
      </c>
      <c r="H73" s="283">
        <f t="shared" si="17"/>
        <v>13784278.61</v>
      </c>
    </row>
    <row r="74" ht="15.75" customHeight="1">
      <c r="A74" s="254"/>
      <c r="B74" s="63"/>
      <c r="C74" s="97"/>
      <c r="D74" s="63"/>
      <c r="E74" s="95"/>
      <c r="F74" s="63"/>
      <c r="G74" s="63"/>
      <c r="H74" s="97"/>
    </row>
    <row r="75" ht="15.75" customHeight="1">
      <c r="A75" s="254"/>
      <c r="B75" s="63"/>
      <c r="C75" s="63"/>
      <c r="F75" s="63"/>
      <c r="G75" s="97"/>
      <c r="H75" s="63"/>
    </row>
    <row r="76" ht="15.75" customHeight="1">
      <c r="A76" s="254"/>
      <c r="B76" s="63"/>
      <c r="C76" s="97"/>
      <c r="E76" s="97"/>
      <c r="F76" s="97"/>
      <c r="G76" s="97"/>
      <c r="H76" s="97"/>
    </row>
    <row r="77" ht="15.75" customHeight="1">
      <c r="A77" s="254"/>
      <c r="B77" s="288" t="s">
        <v>512</v>
      </c>
      <c r="C77" s="97"/>
      <c r="D77" s="97"/>
      <c r="E77" s="97"/>
      <c r="H77" s="63"/>
    </row>
    <row r="78" ht="15.75" customHeight="1">
      <c r="A78" s="254"/>
      <c r="B78" s="63"/>
      <c r="C78" s="97"/>
      <c r="D78" s="289" t="s">
        <v>513</v>
      </c>
      <c r="E78" s="290"/>
      <c r="F78" s="290"/>
      <c r="G78" s="290"/>
      <c r="H78" s="291"/>
    </row>
    <row r="79" ht="15.75" customHeight="1">
      <c r="A79" s="251" t="s">
        <v>515</v>
      </c>
      <c r="B79" s="239" t="s">
        <v>516</v>
      </c>
      <c r="C79" s="253" t="s">
        <v>10</v>
      </c>
      <c r="D79" s="293" t="s">
        <v>517</v>
      </c>
      <c r="E79" s="294"/>
      <c r="F79" s="295">
        <v>2024.0</v>
      </c>
      <c r="G79" s="295" t="s">
        <v>518</v>
      </c>
      <c r="H79" s="296" t="s">
        <v>519</v>
      </c>
    </row>
    <row r="80" ht="15.75" customHeight="1">
      <c r="A80" s="251"/>
      <c r="B80" s="239"/>
      <c r="C80" s="253"/>
      <c r="D80" s="297" t="s">
        <v>521</v>
      </c>
      <c r="E80" s="297" t="s">
        <v>523</v>
      </c>
      <c r="F80" s="269"/>
      <c r="G80" s="298"/>
      <c r="H80" s="269"/>
    </row>
    <row r="81" ht="15.75" customHeight="1">
      <c r="A81" s="254" t="s">
        <v>435</v>
      </c>
      <c r="B81" s="63" t="s">
        <v>525</v>
      </c>
      <c r="C81" s="95">
        <f>935436.8+254899.41+521264.09</f>
        <v>1711600.3</v>
      </c>
      <c r="D81" s="95">
        <f>7831.64+203650.34</f>
        <v>211481.98</v>
      </c>
      <c r="E81" s="95">
        <f>721332.96+179713.3</f>
        <v>901046.26</v>
      </c>
      <c r="F81" s="95"/>
      <c r="G81" s="95"/>
      <c r="H81" s="269"/>
    </row>
    <row r="82" ht="15.75" customHeight="1">
      <c r="A82" s="254" t="s">
        <v>375</v>
      </c>
      <c r="B82" s="63" t="s">
        <v>376</v>
      </c>
      <c r="C82" s="95">
        <v>1691705.89</v>
      </c>
      <c r="D82" s="95">
        <v>437531.77</v>
      </c>
      <c r="E82" s="95">
        <v>460876.48</v>
      </c>
      <c r="F82" s="95"/>
      <c r="G82" s="95"/>
      <c r="H82" s="269"/>
    </row>
    <row r="83" ht="15.75" customHeight="1">
      <c r="A83" s="254" t="s">
        <v>439</v>
      </c>
      <c r="B83" s="63" t="s">
        <v>527</v>
      </c>
      <c r="C83" s="95">
        <v>2409265.52</v>
      </c>
      <c r="D83" s="269"/>
      <c r="E83" s="95">
        <f>C31</f>
        <v>2294422.81</v>
      </c>
      <c r="F83" s="95">
        <f>C83-E83</f>
        <v>114842.71</v>
      </c>
      <c r="G83" s="95"/>
      <c r="H83" s="269"/>
    </row>
    <row r="84" ht="15.75" customHeight="1">
      <c r="A84" s="254" t="s">
        <v>67</v>
      </c>
      <c r="B84" s="63" t="s">
        <v>529</v>
      </c>
      <c r="C84" s="95">
        <v>53240.0</v>
      </c>
      <c r="D84" s="269"/>
      <c r="E84" s="95">
        <v>21296.0</v>
      </c>
      <c r="F84" s="95">
        <v>23958.0</v>
      </c>
      <c r="G84" s="95"/>
      <c r="H84" s="299">
        <v>7986.0</v>
      </c>
    </row>
    <row r="85" ht="15.75" customHeight="1">
      <c r="A85" s="254" t="s">
        <v>294</v>
      </c>
      <c r="B85" s="63" t="s">
        <v>295</v>
      </c>
      <c r="C85" s="95">
        <v>2734721.71</v>
      </c>
      <c r="D85" s="95">
        <v>71492.01</v>
      </c>
      <c r="E85" s="95">
        <v>2663229.7</v>
      </c>
      <c r="F85" s="95"/>
      <c r="G85" s="95"/>
      <c r="H85" s="269"/>
    </row>
    <row r="86" ht="15.75" customHeight="1">
      <c r="A86" s="254" t="s">
        <v>498</v>
      </c>
      <c r="B86" s="63" t="s">
        <v>499</v>
      </c>
      <c r="C86" s="95">
        <v>160845.3</v>
      </c>
      <c r="D86" s="95">
        <v>17017.43</v>
      </c>
      <c r="E86" s="95">
        <f>143827.87+16084.53</f>
        <v>159912.4</v>
      </c>
      <c r="F86" s="95"/>
      <c r="G86" s="95"/>
      <c r="H86" s="269"/>
    </row>
    <row r="87" ht="15.75" customHeight="1">
      <c r="A87" s="254" t="s">
        <v>43</v>
      </c>
      <c r="B87" s="63" t="s">
        <v>425</v>
      </c>
      <c r="C87" s="95">
        <v>5669334.0</v>
      </c>
      <c r="D87" s="95"/>
      <c r="E87" s="95">
        <v>1700000.0</v>
      </c>
      <c r="F87" s="95">
        <v>3250000.0</v>
      </c>
      <c r="G87" s="97">
        <f t="shared" ref="G87:G88" si="18">C87-E87-F87</f>
        <v>719334</v>
      </c>
      <c r="H87" s="269"/>
    </row>
    <row r="88" ht="15.75" customHeight="1">
      <c r="A88" s="254" t="s">
        <v>57</v>
      </c>
      <c r="B88" s="63" t="s">
        <v>434</v>
      </c>
      <c r="C88" s="95">
        <v>799526.0</v>
      </c>
      <c r="D88" s="95"/>
      <c r="E88" s="95">
        <v>250000.0</v>
      </c>
      <c r="F88" s="95">
        <v>500000.0</v>
      </c>
      <c r="G88" s="97">
        <f t="shared" si="18"/>
        <v>49526</v>
      </c>
      <c r="H88" s="269"/>
    </row>
    <row r="89" ht="15.75" customHeight="1">
      <c r="A89" s="254"/>
      <c r="B89" s="63"/>
      <c r="C89" s="95"/>
      <c r="D89" s="300"/>
      <c r="E89" s="95"/>
      <c r="F89" s="95"/>
      <c r="G89" s="95"/>
      <c r="H89" s="95"/>
    </row>
    <row r="90" ht="15.75" customHeight="1">
      <c r="A90" s="265" t="s">
        <v>563</v>
      </c>
      <c r="B90" s="63"/>
      <c r="C90" s="63"/>
      <c r="D90" s="63"/>
      <c r="E90" s="63"/>
      <c r="F90" s="63"/>
      <c r="G90" s="63"/>
      <c r="H90" s="63"/>
    </row>
    <row r="91" ht="15.75" customHeight="1">
      <c r="A91" s="265" t="s">
        <v>531</v>
      </c>
      <c r="B91" s="63"/>
      <c r="C91" s="63"/>
      <c r="D91" s="63"/>
      <c r="E91" s="63"/>
      <c r="F91" s="63"/>
      <c r="G91" s="63"/>
      <c r="H91" s="63"/>
    </row>
    <row r="92" ht="15.75" customHeight="1">
      <c r="A92" s="265" t="s">
        <v>533</v>
      </c>
      <c r="B92" s="63"/>
      <c r="C92" s="63"/>
      <c r="D92" s="97"/>
      <c r="E92" s="63"/>
      <c r="F92" s="63"/>
      <c r="G92" s="63"/>
      <c r="H92" s="63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G1"/>
    <mergeCell ref="E77:G77"/>
    <mergeCell ref="D78:H78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86"/>
    <col customWidth="1" min="2" max="2" width="63.71"/>
    <col customWidth="1" min="3" max="4" width="13.71"/>
    <col customWidth="1" min="5" max="5" width="14.0"/>
    <col customWidth="1" min="6" max="7" width="12.71"/>
    <col customWidth="1" min="8" max="8" width="13.71"/>
    <col customWidth="1" min="9" max="9" width="16.43"/>
    <col customWidth="1" min="10" max="10" width="12.57"/>
    <col customWidth="1" min="11" max="11" width="12.0"/>
    <col customWidth="1" min="12" max="12" width="12.86"/>
    <col customWidth="1" min="13" max="26" width="10.0"/>
  </cols>
  <sheetData>
    <row r="1" ht="15.75" customHeight="1">
      <c r="A1" s="48"/>
      <c r="B1" s="53" t="s">
        <v>0</v>
      </c>
      <c r="C1" s="4"/>
      <c r="D1" s="4"/>
      <c r="E1" s="4"/>
      <c r="F1" s="4"/>
      <c r="G1" s="5"/>
      <c r="H1" s="56"/>
    </row>
    <row r="2" ht="15.75" customHeight="1">
      <c r="A2" s="48"/>
      <c r="B2" s="63"/>
      <c r="C2" s="65"/>
      <c r="D2" s="66"/>
      <c r="E2" s="66"/>
      <c r="F2" s="66"/>
      <c r="G2" s="66"/>
      <c r="H2" s="56"/>
    </row>
    <row r="3" ht="23.25" customHeight="1">
      <c r="A3" s="76" t="s">
        <v>2</v>
      </c>
      <c r="B3" s="78" t="s">
        <v>3</v>
      </c>
      <c r="C3" s="80" t="s">
        <v>4</v>
      </c>
      <c r="D3" s="81" t="s">
        <v>1</v>
      </c>
      <c r="E3" s="81" t="s">
        <v>5</v>
      </c>
      <c r="F3" s="81" t="s">
        <v>6</v>
      </c>
      <c r="G3" s="81" t="s">
        <v>9</v>
      </c>
      <c r="H3" s="81" t="s">
        <v>10</v>
      </c>
      <c r="J3" s="81" t="s">
        <v>54</v>
      </c>
      <c r="K3" s="84" t="s">
        <v>4</v>
      </c>
      <c r="L3" s="84" t="s">
        <v>55</v>
      </c>
    </row>
    <row r="4" ht="15.75" customHeight="1">
      <c r="A4" s="114" t="s">
        <v>345</v>
      </c>
      <c r="B4" s="238" t="s">
        <v>346</v>
      </c>
      <c r="C4" s="128"/>
      <c r="D4" s="95"/>
      <c r="E4" s="125"/>
      <c r="F4" s="63"/>
      <c r="G4" s="63"/>
      <c r="H4" s="63"/>
    </row>
    <row r="5" ht="15.75" customHeight="1">
      <c r="A5" s="114" t="s">
        <v>347</v>
      </c>
      <c r="B5" s="239" t="s">
        <v>348</v>
      </c>
      <c r="C5" s="240">
        <f>SUM(C6)</f>
        <v>1500000</v>
      </c>
      <c r="D5" s="95"/>
      <c r="E5" s="95"/>
      <c r="F5" s="95"/>
      <c r="G5" s="95"/>
      <c r="H5" s="241">
        <f>SUM(H6)</f>
        <v>1500000</v>
      </c>
      <c r="K5" s="332">
        <f>SUM(K6)</f>
        <v>0</v>
      </c>
    </row>
    <row r="6" ht="15.75" customHeight="1">
      <c r="A6" s="243"/>
      <c r="B6" s="115" t="s">
        <v>560</v>
      </c>
      <c r="C6" s="116">
        <v>1500000.0</v>
      </c>
      <c r="D6" s="93"/>
      <c r="F6" s="95"/>
      <c r="G6" s="95"/>
      <c r="H6" s="97">
        <f>C6</f>
        <v>1500000</v>
      </c>
      <c r="J6" s="170" t="s">
        <v>199</v>
      </c>
      <c r="L6" s="11" t="s">
        <v>349</v>
      </c>
    </row>
    <row r="7" ht="15.75" customHeight="1">
      <c r="A7" s="243"/>
      <c r="B7" s="115"/>
      <c r="C7" s="116"/>
      <c r="D7" s="95"/>
      <c r="E7" s="95"/>
      <c r="F7" s="95"/>
      <c r="G7" s="95"/>
      <c r="H7" s="97"/>
    </row>
    <row r="8" ht="15.75" customHeight="1">
      <c r="A8" s="114"/>
      <c r="B8" s="238" t="s">
        <v>352</v>
      </c>
      <c r="C8" s="240">
        <f>SUM(C9:C24)</f>
        <v>1175000</v>
      </c>
      <c r="D8" s="95"/>
      <c r="E8" s="125"/>
      <c r="F8" s="63"/>
      <c r="G8" s="63"/>
      <c r="H8" s="244">
        <f>SUM(H9:H24)</f>
        <v>1175000</v>
      </c>
      <c r="K8" s="242">
        <f>SUM(K9:K24)</f>
        <v>705000</v>
      </c>
    </row>
    <row r="9" ht="15.75" customHeight="1">
      <c r="A9" s="114"/>
      <c r="B9" s="121" t="s">
        <v>96</v>
      </c>
      <c r="C9" s="124">
        <v>200000.0</v>
      </c>
      <c r="D9" s="95"/>
      <c r="E9" s="125"/>
      <c r="F9" s="63"/>
      <c r="G9" s="63"/>
      <c r="H9" s="128">
        <f t="shared" ref="H9:H25" si="1">C9</f>
        <v>200000</v>
      </c>
      <c r="J9" s="98" t="s">
        <v>93</v>
      </c>
      <c r="K9" s="124">
        <v>200000.0</v>
      </c>
    </row>
    <row r="10" ht="15.75" customHeight="1">
      <c r="A10" s="114"/>
      <c r="B10" s="121" t="s">
        <v>353</v>
      </c>
      <c r="C10" s="124">
        <v>130000.0</v>
      </c>
      <c r="D10" s="95"/>
      <c r="E10" s="125"/>
      <c r="F10" s="63"/>
      <c r="G10" s="63"/>
      <c r="H10" s="128">
        <f t="shared" si="1"/>
        <v>130000</v>
      </c>
      <c r="J10" s="245" t="s">
        <v>226</v>
      </c>
      <c r="K10" s="124"/>
      <c r="L10" s="11" t="s">
        <v>354</v>
      </c>
    </row>
    <row r="11" ht="15.75" customHeight="1">
      <c r="A11" s="114"/>
      <c r="B11" s="121" t="s">
        <v>102</v>
      </c>
      <c r="C11" s="124">
        <v>90000.0</v>
      </c>
      <c r="D11" s="95"/>
      <c r="E11" s="125"/>
      <c r="F11" s="63"/>
      <c r="G11" s="63"/>
      <c r="H11" s="128">
        <f t="shared" si="1"/>
        <v>90000</v>
      </c>
      <c r="I11" s="132" t="s">
        <v>104</v>
      </c>
      <c r="J11" s="98" t="s">
        <v>93</v>
      </c>
      <c r="K11" s="124">
        <v>90000.0</v>
      </c>
    </row>
    <row r="12" ht="15.75" customHeight="1">
      <c r="A12" s="114"/>
      <c r="B12" s="121" t="s">
        <v>357</v>
      </c>
      <c r="C12" s="124">
        <v>150000.0</v>
      </c>
      <c r="D12" s="95"/>
      <c r="E12" s="125"/>
      <c r="F12" s="63"/>
      <c r="G12" s="63"/>
      <c r="H12" s="128">
        <f t="shared" si="1"/>
        <v>150000</v>
      </c>
      <c r="J12" s="245" t="s">
        <v>226</v>
      </c>
      <c r="L12" s="11" t="s">
        <v>358</v>
      </c>
    </row>
    <row r="13" ht="15.75" customHeight="1">
      <c r="A13" s="114"/>
      <c r="B13" s="121" t="s">
        <v>82</v>
      </c>
      <c r="C13" s="124">
        <v>60000.0</v>
      </c>
      <c r="D13" s="95"/>
      <c r="E13" s="125"/>
      <c r="F13" s="63"/>
      <c r="G13" s="63"/>
      <c r="H13" s="128">
        <f t="shared" si="1"/>
        <v>60000</v>
      </c>
      <c r="J13" s="98" t="s">
        <v>93</v>
      </c>
      <c r="K13" s="124">
        <v>60000.0</v>
      </c>
    </row>
    <row r="14" ht="15.75" customHeight="1">
      <c r="A14" s="114"/>
      <c r="B14" s="121" t="s">
        <v>84</v>
      </c>
      <c r="C14" s="124">
        <v>40000.0</v>
      </c>
      <c r="D14" s="95"/>
      <c r="E14" s="125"/>
      <c r="F14" s="63"/>
      <c r="G14" s="63"/>
      <c r="H14" s="128">
        <f t="shared" si="1"/>
        <v>40000</v>
      </c>
      <c r="J14" s="98" t="s">
        <v>93</v>
      </c>
      <c r="K14" s="124">
        <v>40000.0</v>
      </c>
    </row>
    <row r="15" ht="15.75" customHeight="1">
      <c r="A15" s="114"/>
      <c r="B15" s="121" t="s">
        <v>107</v>
      </c>
      <c r="C15" s="124">
        <v>10000.0</v>
      </c>
      <c r="D15" s="95"/>
      <c r="E15" s="125"/>
      <c r="F15" s="63"/>
      <c r="G15" s="63"/>
      <c r="H15" s="128">
        <f t="shared" si="1"/>
        <v>10000</v>
      </c>
      <c r="J15" s="98" t="s">
        <v>93</v>
      </c>
      <c r="K15" s="124">
        <v>10000.0</v>
      </c>
    </row>
    <row r="16" ht="15.75" customHeight="1">
      <c r="A16" s="114"/>
      <c r="B16" s="121" t="s">
        <v>561</v>
      </c>
      <c r="C16" s="124">
        <v>85000.0</v>
      </c>
      <c r="D16" s="95"/>
      <c r="E16" s="125"/>
      <c r="F16" s="63"/>
      <c r="G16" s="63"/>
      <c r="H16" s="128">
        <f t="shared" si="1"/>
        <v>85000</v>
      </c>
      <c r="J16" s="170" t="s">
        <v>199</v>
      </c>
      <c r="L16" s="11" t="s">
        <v>361</v>
      </c>
    </row>
    <row r="17" ht="15.75" customHeight="1">
      <c r="A17" s="114"/>
      <c r="B17" s="121" t="s">
        <v>109</v>
      </c>
      <c r="C17" s="124">
        <v>25000.0</v>
      </c>
      <c r="D17" s="95"/>
      <c r="E17" s="125"/>
      <c r="F17" s="63"/>
      <c r="G17" s="63"/>
      <c r="H17" s="128">
        <f t="shared" si="1"/>
        <v>25000</v>
      </c>
      <c r="J17" s="98" t="s">
        <v>93</v>
      </c>
      <c r="K17" s="124">
        <v>25000.0</v>
      </c>
    </row>
    <row r="18" ht="15.75" customHeight="1">
      <c r="A18" s="114"/>
      <c r="B18" s="121" t="s">
        <v>362</v>
      </c>
      <c r="C18" s="124">
        <v>90000.0</v>
      </c>
      <c r="D18" s="95"/>
      <c r="E18" s="125"/>
      <c r="F18" s="63"/>
      <c r="G18" s="63"/>
      <c r="H18" s="128">
        <f t="shared" si="1"/>
        <v>90000</v>
      </c>
      <c r="J18" s="170" t="s">
        <v>199</v>
      </c>
      <c r="L18" s="11" t="s">
        <v>361</v>
      </c>
    </row>
    <row r="19" ht="15.75" customHeight="1">
      <c r="A19" s="114"/>
      <c r="B19" s="121" t="s">
        <v>364</v>
      </c>
      <c r="C19" s="124">
        <v>15000.0</v>
      </c>
      <c r="D19" s="95"/>
      <c r="E19" s="125"/>
      <c r="F19" s="63"/>
      <c r="G19" s="63"/>
      <c r="H19" s="128">
        <f t="shared" si="1"/>
        <v>15000</v>
      </c>
      <c r="J19" s="170" t="s">
        <v>199</v>
      </c>
      <c r="L19" s="11" t="s">
        <v>361</v>
      </c>
    </row>
    <row r="20" ht="15.75" customHeight="1">
      <c r="A20" s="114"/>
      <c r="B20" s="121" t="s">
        <v>112</v>
      </c>
      <c r="C20" s="124">
        <v>35000.0</v>
      </c>
      <c r="D20" s="95"/>
      <c r="E20" s="125"/>
      <c r="F20" s="63"/>
      <c r="G20" s="63"/>
      <c r="H20" s="128">
        <f t="shared" si="1"/>
        <v>35000</v>
      </c>
      <c r="J20" s="98" t="s">
        <v>93</v>
      </c>
      <c r="K20" s="124">
        <v>35000.0</v>
      </c>
    </row>
    <row r="21" ht="15.75" customHeight="1">
      <c r="A21" s="114"/>
      <c r="B21" s="121" t="s">
        <v>86</v>
      </c>
      <c r="C21" s="124">
        <v>15000.0</v>
      </c>
      <c r="D21" s="95"/>
      <c r="E21" s="125"/>
      <c r="F21" s="63"/>
      <c r="G21" s="63"/>
      <c r="H21" s="128">
        <f t="shared" si="1"/>
        <v>15000</v>
      </c>
      <c r="J21" s="98" t="s">
        <v>93</v>
      </c>
      <c r="K21" s="124">
        <v>15000.0</v>
      </c>
    </row>
    <row r="22" ht="15.75" customHeight="1">
      <c r="A22" s="114"/>
      <c r="B22" s="121" t="s">
        <v>114</v>
      </c>
      <c r="C22" s="124">
        <v>60000.0</v>
      </c>
      <c r="D22" s="95"/>
      <c r="E22" s="125"/>
      <c r="F22" s="63"/>
      <c r="G22" s="63"/>
      <c r="H22" s="128">
        <f t="shared" si="1"/>
        <v>60000</v>
      </c>
      <c r="J22" s="98" t="s">
        <v>93</v>
      </c>
      <c r="K22" s="124">
        <v>60000.0</v>
      </c>
    </row>
    <row r="23" ht="15.75" customHeight="1">
      <c r="A23" s="114"/>
      <c r="B23" s="121" t="s">
        <v>116</v>
      </c>
      <c r="C23" s="124">
        <v>70000.0</v>
      </c>
      <c r="D23" s="95"/>
      <c r="E23" s="125"/>
      <c r="F23" s="63"/>
      <c r="G23" s="63"/>
      <c r="H23" s="128">
        <f t="shared" si="1"/>
        <v>70000</v>
      </c>
      <c r="J23" s="98" t="s">
        <v>93</v>
      </c>
      <c r="K23" s="124">
        <v>70000.0</v>
      </c>
    </row>
    <row r="24" ht="15.75" customHeight="1">
      <c r="A24" s="114"/>
      <c r="B24" s="121" t="s">
        <v>119</v>
      </c>
      <c r="C24" s="124">
        <v>100000.0</v>
      </c>
      <c r="D24" s="95"/>
      <c r="E24" s="125"/>
      <c r="F24" s="63"/>
      <c r="G24" s="63"/>
      <c r="H24" s="128">
        <f t="shared" si="1"/>
        <v>100000</v>
      </c>
      <c r="J24" s="98" t="s">
        <v>93</v>
      </c>
      <c r="K24" s="124">
        <v>100000.0</v>
      </c>
    </row>
    <row r="25" ht="15.75" customHeight="1">
      <c r="A25" s="114"/>
      <c r="B25" s="121" t="s">
        <v>177</v>
      </c>
      <c r="C25" s="142">
        <v>270000.0</v>
      </c>
      <c r="D25" s="95"/>
      <c r="E25" s="125"/>
      <c r="F25" s="63"/>
      <c r="G25" s="63"/>
      <c r="H25" s="128">
        <f t="shared" si="1"/>
        <v>270000</v>
      </c>
    </row>
    <row r="26" ht="15.75" customHeight="1">
      <c r="A26" s="114"/>
      <c r="B26" s="238"/>
      <c r="C26" s="128"/>
      <c r="D26" s="95"/>
      <c r="E26" s="125"/>
      <c r="F26" s="63"/>
      <c r="G26" s="63"/>
      <c r="H26" s="63"/>
    </row>
    <row r="27" ht="15.75" customHeight="1">
      <c r="A27" s="114" t="s">
        <v>345</v>
      </c>
      <c r="B27" s="238" t="s">
        <v>365</v>
      </c>
      <c r="C27" s="128"/>
      <c r="D27" s="95"/>
      <c r="E27" s="125"/>
      <c r="F27" s="63"/>
      <c r="G27" s="63"/>
      <c r="H27" s="63"/>
    </row>
    <row r="28" ht="15.75" customHeight="1">
      <c r="A28" s="114" t="s">
        <v>347</v>
      </c>
      <c r="B28" s="246" t="s">
        <v>365</v>
      </c>
      <c r="C28" s="240">
        <f>SUM(C29)</f>
        <v>650000</v>
      </c>
      <c r="D28" s="95"/>
      <c r="E28" s="95"/>
      <c r="F28" s="95"/>
      <c r="G28" s="95"/>
      <c r="H28" s="241">
        <f>SUM(H29)</f>
        <v>650000</v>
      </c>
      <c r="K28" s="333">
        <f t="shared" ref="K28:K29" si="2">H28</f>
        <v>650000</v>
      </c>
    </row>
    <row r="29" ht="15.75" customHeight="1">
      <c r="A29" s="243"/>
      <c r="B29" s="115" t="s">
        <v>562</v>
      </c>
      <c r="C29" s="116">
        <v>650000.0</v>
      </c>
      <c r="D29" s="93"/>
      <c r="F29" s="95"/>
      <c r="G29" s="95"/>
      <c r="H29" s="97">
        <f>C29</f>
        <v>650000</v>
      </c>
      <c r="J29" s="98" t="s">
        <v>93</v>
      </c>
      <c r="K29" s="334">
        <f t="shared" si="2"/>
        <v>650000</v>
      </c>
      <c r="L29" s="11" t="s">
        <v>367</v>
      </c>
    </row>
    <row r="30" ht="15.75" customHeight="1">
      <c r="A30" s="114"/>
      <c r="B30" s="238"/>
      <c r="C30" s="128"/>
      <c r="D30" s="95"/>
      <c r="E30" s="125"/>
      <c r="F30" s="63"/>
      <c r="G30" s="63"/>
      <c r="H30" s="63"/>
    </row>
    <row r="31" ht="15.75" customHeight="1">
      <c r="A31" s="114" t="s">
        <v>345</v>
      </c>
      <c r="B31" s="238" t="s">
        <v>368</v>
      </c>
      <c r="C31" s="247">
        <f t="shared" ref="C31:G31" si="3">SUM(C32:C96)</f>
        <v>4065390</v>
      </c>
      <c r="D31" s="247">
        <f t="shared" si="3"/>
        <v>0</v>
      </c>
      <c r="E31" s="247">
        <f t="shared" si="3"/>
        <v>0</v>
      </c>
      <c r="F31" s="247">
        <f t="shared" si="3"/>
        <v>0</v>
      </c>
      <c r="G31" s="247">
        <f t="shared" si="3"/>
        <v>0</v>
      </c>
      <c r="H31" s="247">
        <v>3968390.0</v>
      </c>
    </row>
    <row r="32" ht="15.75" customHeight="1">
      <c r="A32" s="114"/>
      <c r="B32" s="121" t="s">
        <v>122</v>
      </c>
      <c r="C32" s="142">
        <v>1200.0</v>
      </c>
      <c r="D32" s="93"/>
      <c r="E32" s="125"/>
      <c r="F32" s="63"/>
      <c r="G32" s="63"/>
      <c r="H32" s="63"/>
    </row>
    <row r="33" ht="15.75" customHeight="1">
      <c r="A33" s="114"/>
      <c r="B33" s="121" t="s">
        <v>369</v>
      </c>
      <c r="C33" s="142">
        <v>5600.0</v>
      </c>
      <c r="D33" s="93"/>
      <c r="E33" s="125"/>
      <c r="F33" s="63"/>
      <c r="G33" s="63"/>
      <c r="H33" s="63"/>
    </row>
    <row r="34" ht="15.75" customHeight="1">
      <c r="A34" s="114"/>
      <c r="B34" s="121" t="s">
        <v>371</v>
      </c>
      <c r="C34" s="142">
        <v>4800.0</v>
      </c>
      <c r="D34" s="93"/>
      <c r="E34" s="125"/>
      <c r="F34" s="63"/>
      <c r="G34" s="63"/>
      <c r="H34" s="63"/>
    </row>
    <row r="35" ht="15.75" customHeight="1">
      <c r="A35" s="114"/>
      <c r="B35" s="121" t="s">
        <v>124</v>
      </c>
      <c r="C35" s="142">
        <v>12000.0</v>
      </c>
      <c r="D35" s="93"/>
      <c r="E35" s="125"/>
      <c r="F35" s="63"/>
      <c r="G35" s="63"/>
      <c r="H35" s="63"/>
    </row>
    <row r="36" ht="15.75" customHeight="1">
      <c r="A36" s="114"/>
      <c r="B36" s="121" t="s">
        <v>125</v>
      </c>
      <c r="C36" s="142">
        <v>25000.0</v>
      </c>
      <c r="D36" s="93"/>
      <c r="E36" s="125"/>
      <c r="F36" s="63"/>
      <c r="G36" s="63"/>
      <c r="H36" s="63"/>
    </row>
    <row r="37" ht="15.75" customHeight="1">
      <c r="A37" s="114"/>
      <c r="B37" s="121" t="s">
        <v>126</v>
      </c>
      <c r="C37" s="142">
        <v>6000.0</v>
      </c>
      <c r="D37" s="93"/>
      <c r="E37" s="125"/>
      <c r="F37" s="63"/>
      <c r="G37" s="63"/>
      <c r="H37" s="63"/>
    </row>
    <row r="38" ht="15.75" customHeight="1">
      <c r="A38" s="114"/>
      <c r="B38" s="121" t="s">
        <v>130</v>
      </c>
      <c r="C38" s="142">
        <v>3000.0</v>
      </c>
      <c r="D38" s="95"/>
      <c r="E38" s="125"/>
      <c r="F38" s="63"/>
      <c r="G38" s="63"/>
      <c r="H38" s="63"/>
    </row>
    <row r="39" ht="15.75" customHeight="1">
      <c r="A39" s="114"/>
      <c r="B39" s="121" t="s">
        <v>103</v>
      </c>
      <c r="C39" s="142">
        <v>40000.0</v>
      </c>
      <c r="D39" s="93"/>
      <c r="E39" s="125"/>
      <c r="F39" s="63"/>
      <c r="G39" s="63"/>
      <c r="H39" s="63"/>
    </row>
    <row r="40" ht="15.75" customHeight="1">
      <c r="A40" s="114"/>
      <c r="B40" s="121" t="s">
        <v>131</v>
      </c>
      <c r="C40" s="142">
        <v>40000.0</v>
      </c>
      <c r="D40" s="93"/>
      <c r="E40" s="125"/>
      <c r="F40" s="63"/>
      <c r="G40" s="63"/>
      <c r="H40" s="63"/>
    </row>
    <row r="41" ht="15.75" customHeight="1">
      <c r="A41" s="114"/>
      <c r="B41" s="121" t="s">
        <v>132</v>
      </c>
      <c r="C41" s="142">
        <v>40000.0</v>
      </c>
      <c r="D41" s="93"/>
      <c r="E41" s="125"/>
      <c r="F41" s="63"/>
      <c r="G41" s="63"/>
      <c r="H41" s="63"/>
    </row>
    <row r="42" ht="15.75" customHeight="1">
      <c r="A42" s="114"/>
      <c r="B42" s="121" t="s">
        <v>134</v>
      </c>
      <c r="C42" s="142">
        <v>30000.0</v>
      </c>
      <c r="D42" s="95"/>
      <c r="E42" s="125"/>
      <c r="F42" s="63"/>
      <c r="G42" s="63"/>
      <c r="H42" s="63"/>
    </row>
    <row r="43" ht="15.75" customHeight="1">
      <c r="A43" s="114"/>
      <c r="B43" s="121" t="s">
        <v>374</v>
      </c>
      <c r="C43" s="142">
        <v>100000.0</v>
      </c>
      <c r="D43" s="95"/>
      <c r="E43" s="125"/>
      <c r="F43" s="63"/>
      <c r="G43" s="63"/>
      <c r="H43" s="63"/>
    </row>
    <row r="44" ht="15.75" customHeight="1">
      <c r="A44" s="114"/>
      <c r="B44" s="121" t="s">
        <v>378</v>
      </c>
      <c r="C44" s="142">
        <v>4000.0</v>
      </c>
      <c r="D44" s="95"/>
      <c r="E44" s="125"/>
      <c r="F44" s="63"/>
      <c r="G44" s="63"/>
      <c r="H44" s="63"/>
    </row>
    <row r="45" ht="15.75" customHeight="1">
      <c r="A45" s="114"/>
      <c r="B45" s="121" t="s">
        <v>380</v>
      </c>
      <c r="C45" s="142">
        <v>100000.0</v>
      </c>
      <c r="D45" s="95"/>
      <c r="E45" s="125"/>
      <c r="F45" s="63"/>
      <c r="G45" s="63"/>
      <c r="H45" s="63"/>
    </row>
    <row r="46" ht="15.75" customHeight="1">
      <c r="A46" s="114"/>
      <c r="B46" s="121" t="s">
        <v>381</v>
      </c>
      <c r="C46" s="142">
        <v>2000.0</v>
      </c>
      <c r="D46" s="95"/>
      <c r="E46" s="125"/>
      <c r="F46" s="63"/>
      <c r="G46" s="63"/>
      <c r="H46" s="63"/>
    </row>
    <row r="47" ht="15.75" customHeight="1">
      <c r="A47" s="114"/>
      <c r="B47" s="121" t="s">
        <v>113</v>
      </c>
      <c r="C47" s="142">
        <v>5000.0</v>
      </c>
      <c r="D47" s="95"/>
      <c r="E47" s="125"/>
      <c r="F47" s="63"/>
      <c r="G47" s="63"/>
      <c r="H47" s="63"/>
    </row>
    <row r="48" ht="15.75" customHeight="1">
      <c r="A48" s="114"/>
      <c r="B48" s="121" t="s">
        <v>383</v>
      </c>
      <c r="C48" s="142">
        <v>97000.0</v>
      </c>
      <c r="D48" s="95"/>
      <c r="E48" s="125"/>
      <c r="F48" s="63"/>
      <c r="G48" s="63"/>
      <c r="H48" s="63"/>
    </row>
    <row r="49" ht="15.75" customHeight="1">
      <c r="A49" s="114"/>
      <c r="B49" s="121" t="s">
        <v>135</v>
      </c>
      <c r="C49" s="142">
        <v>4000.0</v>
      </c>
      <c r="D49" s="95"/>
      <c r="E49" s="125"/>
      <c r="F49" s="63"/>
      <c r="G49" s="63"/>
      <c r="H49" s="63"/>
    </row>
    <row r="50" ht="15.75" customHeight="1">
      <c r="A50" s="114"/>
      <c r="B50" s="121" t="s">
        <v>388</v>
      </c>
      <c r="C50" s="142" t="s">
        <v>389</v>
      </c>
      <c r="D50" s="95"/>
      <c r="E50" s="125"/>
      <c r="F50" s="63"/>
      <c r="G50" s="63"/>
      <c r="H50" s="63"/>
    </row>
    <row r="51" ht="15.75" customHeight="1">
      <c r="A51" s="114"/>
      <c r="B51" s="121" t="s">
        <v>390</v>
      </c>
      <c r="C51" s="142">
        <v>2400.0</v>
      </c>
      <c r="D51" s="95"/>
      <c r="E51" s="125"/>
      <c r="F51" s="63"/>
      <c r="G51" s="63"/>
      <c r="H51" s="63"/>
    </row>
    <row r="52" ht="15.75" customHeight="1">
      <c r="A52" s="114"/>
      <c r="B52" s="121" t="s">
        <v>391</v>
      </c>
      <c r="C52" s="142">
        <v>800.0</v>
      </c>
      <c r="D52" s="95"/>
      <c r="E52" s="125"/>
      <c r="F52" s="63"/>
      <c r="G52" s="63"/>
      <c r="H52" s="63"/>
    </row>
    <row r="53" ht="15.75" customHeight="1">
      <c r="A53" s="114"/>
      <c r="B53" s="121" t="s">
        <v>393</v>
      </c>
      <c r="C53" s="142">
        <v>5000.0</v>
      </c>
      <c r="D53" s="95"/>
      <c r="E53" s="125"/>
      <c r="F53" s="63"/>
      <c r="G53" s="63"/>
      <c r="H53" s="63"/>
    </row>
    <row r="54" ht="15.75" customHeight="1">
      <c r="A54" s="114"/>
      <c r="B54" s="121" t="s">
        <v>137</v>
      </c>
      <c r="C54" s="142">
        <v>5000.0</v>
      </c>
      <c r="D54" s="95"/>
      <c r="E54" s="125"/>
      <c r="F54" s="63"/>
      <c r="G54" s="63"/>
      <c r="H54" s="63"/>
    </row>
    <row r="55" ht="15.75" customHeight="1">
      <c r="A55" s="114"/>
      <c r="B55" s="121" t="s">
        <v>139</v>
      </c>
      <c r="C55" s="142">
        <v>5790.0</v>
      </c>
      <c r="D55" s="95"/>
      <c r="E55" s="125"/>
      <c r="F55" s="63"/>
      <c r="G55" s="63"/>
      <c r="H55" s="63"/>
    </row>
    <row r="56" ht="15.75" customHeight="1">
      <c r="A56" s="114"/>
      <c r="B56" s="121" t="s">
        <v>396</v>
      </c>
      <c r="C56" s="142">
        <v>100000.0</v>
      </c>
      <c r="D56" s="95"/>
      <c r="E56" s="125"/>
      <c r="F56" s="63"/>
      <c r="G56" s="63"/>
      <c r="H56" s="63"/>
    </row>
    <row r="57" ht="15.75" customHeight="1">
      <c r="A57" s="114"/>
      <c r="B57" s="121" t="s">
        <v>400</v>
      </c>
      <c r="C57" s="142">
        <v>10000.0</v>
      </c>
      <c r="D57" s="95"/>
      <c r="E57" s="125"/>
      <c r="F57" s="63"/>
      <c r="G57" s="63"/>
      <c r="H57" s="63"/>
    </row>
    <row r="58" ht="15.75" customHeight="1">
      <c r="A58" s="114"/>
      <c r="B58" s="121" t="s">
        <v>401</v>
      </c>
      <c r="C58" s="142">
        <v>100000.0</v>
      </c>
      <c r="D58" s="95"/>
      <c r="E58" s="125"/>
      <c r="F58" s="63"/>
      <c r="G58" s="63"/>
      <c r="H58" s="63"/>
    </row>
    <row r="59" ht="15.75" customHeight="1">
      <c r="A59" s="114"/>
      <c r="B59" s="121" t="s">
        <v>185</v>
      </c>
      <c r="C59" s="142">
        <v>50000.0</v>
      </c>
      <c r="D59" s="95"/>
      <c r="E59" s="125"/>
      <c r="F59" s="63"/>
      <c r="G59" s="63"/>
      <c r="H59" s="63"/>
    </row>
    <row r="60" ht="15.75" customHeight="1">
      <c r="A60" s="114"/>
      <c r="B60" s="121" t="s">
        <v>193</v>
      </c>
      <c r="C60" s="142">
        <v>20000.0</v>
      </c>
      <c r="D60" s="95"/>
      <c r="E60" s="125"/>
      <c r="F60" s="63"/>
      <c r="G60" s="63"/>
      <c r="H60" s="63"/>
    </row>
    <row r="61" ht="15.75" customHeight="1">
      <c r="A61" s="114"/>
      <c r="B61" s="121" t="s">
        <v>213</v>
      </c>
      <c r="C61" s="142">
        <v>15000.0</v>
      </c>
      <c r="D61" s="95"/>
      <c r="E61" s="125"/>
      <c r="F61" s="63"/>
      <c r="G61" s="63"/>
      <c r="H61" s="63"/>
    </row>
    <row r="62" ht="15.75" customHeight="1">
      <c r="A62" s="114"/>
      <c r="B62" s="121" t="s">
        <v>406</v>
      </c>
      <c r="C62" s="142">
        <v>480000.0</v>
      </c>
      <c r="D62" s="95"/>
      <c r="E62" s="125"/>
      <c r="F62" s="63"/>
      <c r="G62" s="63"/>
      <c r="H62" s="63"/>
    </row>
    <row r="63" ht="15.75" customHeight="1">
      <c r="A63" s="114"/>
      <c r="B63" s="121" t="s">
        <v>409</v>
      </c>
      <c r="C63" s="142">
        <v>150000.0</v>
      </c>
      <c r="D63" s="95"/>
      <c r="E63" s="125"/>
      <c r="F63" s="63"/>
      <c r="G63" s="63"/>
      <c r="H63" s="63"/>
    </row>
    <row r="64" ht="15.75" customHeight="1">
      <c r="A64" s="114"/>
      <c r="B64" s="121" t="s">
        <v>414</v>
      </c>
      <c r="C64" s="142">
        <v>26000.0</v>
      </c>
      <c r="D64" s="95"/>
      <c r="E64" s="125"/>
      <c r="F64" s="63"/>
      <c r="G64" s="63"/>
      <c r="H64" s="63"/>
    </row>
    <row r="65" ht="15.75" customHeight="1">
      <c r="A65" s="114"/>
      <c r="B65" s="121" t="s">
        <v>415</v>
      </c>
      <c r="C65" s="142">
        <v>300000.0</v>
      </c>
      <c r="D65" s="95"/>
      <c r="E65" s="125"/>
      <c r="F65" s="63"/>
      <c r="G65" s="63"/>
      <c r="H65" s="63"/>
    </row>
    <row r="66" ht="15.75" customHeight="1">
      <c r="A66" s="114"/>
      <c r="B66" s="121" t="s">
        <v>416</v>
      </c>
      <c r="C66" s="142">
        <v>1031000.0</v>
      </c>
      <c r="D66" s="95"/>
      <c r="E66" s="125"/>
      <c r="F66" s="63"/>
      <c r="G66" s="63"/>
      <c r="H66" s="63"/>
    </row>
    <row r="67" ht="15.75" customHeight="1">
      <c r="A67" s="114"/>
      <c r="B67" s="121"/>
      <c r="C67" s="128"/>
      <c r="D67" s="95"/>
      <c r="E67" s="125"/>
      <c r="F67" s="63"/>
      <c r="G67" s="63"/>
      <c r="H67" s="63"/>
    </row>
    <row r="68" ht="15.75" customHeight="1">
      <c r="A68" s="114"/>
      <c r="B68" s="121" t="s">
        <v>419</v>
      </c>
      <c r="C68" s="128"/>
      <c r="D68" s="95"/>
      <c r="E68" s="125"/>
      <c r="F68" s="63"/>
      <c r="G68" s="63"/>
      <c r="H68" s="63"/>
    </row>
    <row r="69" ht="15.75" customHeight="1">
      <c r="A69" s="114"/>
      <c r="B69" s="121" t="s">
        <v>421</v>
      </c>
      <c r="C69" s="128"/>
      <c r="D69" s="95"/>
      <c r="E69" s="125"/>
      <c r="F69" s="63"/>
      <c r="G69" s="63"/>
      <c r="H69" s="63"/>
    </row>
    <row r="70" ht="15.75" customHeight="1">
      <c r="A70" s="114"/>
      <c r="B70" s="121" t="s">
        <v>422</v>
      </c>
      <c r="C70" s="142">
        <v>630000.0</v>
      </c>
      <c r="D70" s="95"/>
      <c r="E70" s="125"/>
      <c r="F70" s="63"/>
      <c r="G70" s="63"/>
      <c r="H70" s="63"/>
    </row>
    <row r="71" ht="15.75" customHeight="1">
      <c r="A71" s="114"/>
      <c r="B71" s="121" t="s">
        <v>424</v>
      </c>
      <c r="C71" s="142">
        <v>28000.0</v>
      </c>
      <c r="D71" s="95"/>
      <c r="E71" s="125"/>
      <c r="F71" s="63"/>
      <c r="G71" s="63"/>
      <c r="H71" s="63"/>
    </row>
    <row r="72" ht="15.75" customHeight="1">
      <c r="A72" s="114"/>
      <c r="B72" s="121" t="s">
        <v>426</v>
      </c>
      <c r="C72" s="142">
        <v>50000.0</v>
      </c>
      <c r="D72" s="95"/>
      <c r="E72" s="125"/>
      <c r="F72" s="63"/>
      <c r="G72" s="63"/>
      <c r="H72" s="63"/>
    </row>
    <row r="73" ht="15.75" customHeight="1">
      <c r="A73" s="114"/>
      <c r="B73" s="121" t="s">
        <v>140</v>
      </c>
      <c r="C73" s="142">
        <v>5000.0</v>
      </c>
      <c r="D73" s="95"/>
      <c r="E73" s="125"/>
      <c r="F73" s="63"/>
      <c r="G73" s="63"/>
      <c r="H73" s="63"/>
    </row>
    <row r="74" ht="15.75" customHeight="1">
      <c r="A74" s="114"/>
      <c r="B74" s="121" t="s">
        <v>428</v>
      </c>
      <c r="C74" s="142">
        <v>21000.0</v>
      </c>
      <c r="D74" s="95"/>
      <c r="E74" s="125"/>
      <c r="F74" s="63"/>
      <c r="G74" s="63"/>
      <c r="H74" s="63"/>
    </row>
    <row r="75" ht="15.75" customHeight="1">
      <c r="A75" s="114"/>
      <c r="B75" s="121" t="s">
        <v>142</v>
      </c>
      <c r="C75" s="142">
        <v>6000.0</v>
      </c>
      <c r="D75" s="95"/>
      <c r="E75" s="125"/>
      <c r="F75" s="63"/>
      <c r="G75" s="63"/>
      <c r="H75" s="63"/>
    </row>
    <row r="76" ht="15.75" customHeight="1">
      <c r="A76" s="114"/>
      <c r="B76" s="121" t="s">
        <v>430</v>
      </c>
      <c r="C76" s="142">
        <v>60000.0</v>
      </c>
      <c r="D76" s="95"/>
      <c r="E76" s="125"/>
      <c r="F76" s="63"/>
      <c r="G76" s="63"/>
      <c r="H76" s="63"/>
    </row>
    <row r="77" ht="15.75" customHeight="1">
      <c r="A77" s="114"/>
      <c r="B77" s="121"/>
      <c r="C77" s="142"/>
      <c r="D77" s="95"/>
      <c r="E77" s="125"/>
      <c r="F77" s="63"/>
      <c r="G77" s="63"/>
      <c r="H77" s="63"/>
    </row>
    <row r="78" ht="15.75" customHeight="1">
      <c r="A78" s="114"/>
      <c r="B78" s="121" t="s">
        <v>433</v>
      </c>
      <c r="C78" s="142">
        <v>50800.0</v>
      </c>
      <c r="D78" s="95"/>
      <c r="E78" s="125"/>
      <c r="F78" s="63"/>
      <c r="G78" s="63"/>
      <c r="H78" s="63"/>
    </row>
    <row r="79" ht="15.75" customHeight="1">
      <c r="A79" s="114"/>
      <c r="B79" s="121" t="s">
        <v>166</v>
      </c>
      <c r="C79" s="142">
        <v>12000.0</v>
      </c>
      <c r="D79" s="95"/>
      <c r="E79" s="125"/>
      <c r="F79" s="63"/>
      <c r="G79" s="63"/>
      <c r="H79" s="63"/>
    </row>
    <row r="80" ht="15.75" customHeight="1">
      <c r="A80" s="114"/>
      <c r="B80" s="121" t="s">
        <v>437</v>
      </c>
      <c r="C80" s="142">
        <v>170000.0</v>
      </c>
      <c r="D80" s="95"/>
      <c r="E80" s="125"/>
      <c r="F80" s="63"/>
      <c r="G80" s="63"/>
      <c r="H80" s="63"/>
    </row>
    <row r="81" ht="15.75" customHeight="1">
      <c r="A81" s="114"/>
      <c r="B81" s="121" t="s">
        <v>440</v>
      </c>
      <c r="C81" s="142">
        <v>2000.0</v>
      </c>
      <c r="D81" s="95"/>
      <c r="E81" s="125"/>
      <c r="F81" s="63"/>
      <c r="G81" s="63"/>
      <c r="H81" s="63"/>
    </row>
    <row r="82" ht="15.75" customHeight="1">
      <c r="A82" s="114"/>
      <c r="B82" s="121"/>
      <c r="C82" s="128"/>
      <c r="D82" s="95"/>
      <c r="E82" s="125"/>
      <c r="F82" s="63"/>
      <c r="G82" s="63"/>
      <c r="H82" s="63"/>
    </row>
    <row r="83" ht="15.75" customHeight="1">
      <c r="A83" s="114"/>
      <c r="B83" s="121" t="s">
        <v>442</v>
      </c>
      <c r="C83" s="142">
        <v>40000.0</v>
      </c>
      <c r="D83" s="95"/>
      <c r="E83" s="125"/>
      <c r="F83" s="63"/>
      <c r="G83" s="63"/>
      <c r="H83" s="63"/>
    </row>
    <row r="84" ht="15.75" customHeight="1">
      <c r="A84" s="114"/>
      <c r="B84" s="121"/>
      <c r="C84" s="128"/>
      <c r="D84" s="95"/>
      <c r="E84" s="125"/>
      <c r="F84" s="63"/>
      <c r="G84" s="63"/>
      <c r="H84" s="63"/>
    </row>
    <row r="85" ht="15.75" customHeight="1">
      <c r="A85" s="114"/>
      <c r="B85" s="121" t="s">
        <v>446</v>
      </c>
      <c r="C85" s="142">
        <v>70000.0</v>
      </c>
      <c r="D85" s="95"/>
      <c r="E85" s="125"/>
      <c r="F85" s="63"/>
      <c r="G85" s="63"/>
      <c r="H85" s="63"/>
    </row>
    <row r="86" ht="15.75" customHeight="1">
      <c r="A86" s="114"/>
      <c r="B86" s="121" t="s">
        <v>564</v>
      </c>
      <c r="C86" s="142">
        <v>100000.0</v>
      </c>
      <c r="D86" s="95"/>
      <c r="E86" s="125"/>
      <c r="F86" s="63"/>
      <c r="G86" s="63"/>
      <c r="H86" s="63"/>
    </row>
    <row r="87" ht="15.75" customHeight="1">
      <c r="A87" s="114"/>
      <c r="B87" s="121" t="s">
        <v>450</v>
      </c>
      <c r="C87" s="128"/>
      <c r="D87" s="95"/>
      <c r="E87" s="125"/>
      <c r="F87" s="63"/>
      <c r="G87" s="63"/>
      <c r="H87" s="63"/>
    </row>
    <row r="88" ht="15.75" customHeight="1">
      <c r="A88" s="114"/>
      <c r="B88" s="121" t="s">
        <v>453</v>
      </c>
      <c r="C88" s="128"/>
      <c r="D88" s="95"/>
      <c r="E88" s="125"/>
      <c r="F88" s="63"/>
      <c r="G88" s="63"/>
      <c r="H88" s="63"/>
    </row>
    <row r="89" ht="15.75" customHeight="1">
      <c r="A89" s="114"/>
      <c r="B89" s="121" t="s">
        <v>454</v>
      </c>
      <c r="C89" s="128"/>
      <c r="D89" s="95"/>
      <c r="E89" s="125"/>
      <c r="F89" s="63"/>
      <c r="G89" s="63"/>
      <c r="H89" s="63"/>
    </row>
    <row r="90" ht="15.75" customHeight="1">
      <c r="A90" s="114"/>
      <c r="B90" s="121" t="s">
        <v>457</v>
      </c>
      <c r="C90" s="128"/>
      <c r="D90" s="95"/>
      <c r="E90" s="125"/>
      <c r="F90" s="63"/>
      <c r="G90" s="63"/>
      <c r="H90" s="63"/>
    </row>
    <row r="91" ht="15.75" customHeight="1">
      <c r="A91" s="114"/>
      <c r="B91" s="121" t="s">
        <v>458</v>
      </c>
      <c r="C91" s="128"/>
      <c r="D91" s="95"/>
      <c r="E91" s="125"/>
      <c r="F91" s="63"/>
      <c r="G91" s="63"/>
      <c r="H91" s="63"/>
    </row>
    <row r="92" ht="15.75" customHeight="1">
      <c r="A92" s="114"/>
      <c r="B92" s="121" t="s">
        <v>459</v>
      </c>
      <c r="C92" s="128"/>
      <c r="D92" s="95"/>
      <c r="E92" s="125"/>
      <c r="F92" s="63"/>
      <c r="G92" s="63"/>
      <c r="H92" s="63"/>
    </row>
    <row r="93" ht="15.75" customHeight="1">
      <c r="A93" s="114"/>
      <c r="B93" s="121" t="s">
        <v>462</v>
      </c>
      <c r="C93" s="128"/>
      <c r="D93" s="95"/>
      <c r="E93" s="125"/>
      <c r="F93" s="63"/>
      <c r="G93" s="63"/>
      <c r="H93" s="63"/>
    </row>
    <row r="94" ht="15.75" customHeight="1">
      <c r="A94" s="114"/>
      <c r="B94" s="121" t="s">
        <v>463</v>
      </c>
      <c r="C94" s="128"/>
      <c r="D94" s="95"/>
      <c r="E94" s="125"/>
      <c r="F94" s="63"/>
      <c r="G94" s="63"/>
      <c r="H94" s="63"/>
    </row>
    <row r="95" ht="15.75" customHeight="1">
      <c r="A95" s="114"/>
      <c r="B95" s="121" t="s">
        <v>464</v>
      </c>
      <c r="C95" s="128"/>
      <c r="D95" s="95"/>
      <c r="E95" s="125"/>
      <c r="F95" s="63"/>
      <c r="G95" s="63"/>
      <c r="H95" s="63"/>
    </row>
    <row r="96" ht="15.75" customHeight="1">
      <c r="A96" s="114"/>
      <c r="B96" s="121" t="s">
        <v>466</v>
      </c>
      <c r="C96" s="128"/>
      <c r="D96" s="95"/>
      <c r="E96" s="125"/>
      <c r="F96" s="63"/>
      <c r="G96" s="63"/>
      <c r="H96" s="63"/>
    </row>
    <row r="97" ht="15.75" customHeight="1">
      <c r="A97" s="114"/>
      <c r="B97" s="121"/>
      <c r="C97" s="128"/>
      <c r="D97" s="95"/>
      <c r="E97" s="125"/>
      <c r="F97" s="63"/>
      <c r="G97" s="63"/>
      <c r="H97" s="63"/>
    </row>
    <row r="98" ht="15.75" customHeight="1">
      <c r="A98" s="114"/>
      <c r="B98" s="121"/>
      <c r="C98" s="128"/>
      <c r="D98" s="95"/>
      <c r="E98" s="125"/>
      <c r="F98" s="63"/>
      <c r="G98" s="63"/>
      <c r="H98" s="63"/>
    </row>
    <row r="99" ht="15.75" customHeight="1">
      <c r="A99" s="114"/>
      <c r="B99" s="121"/>
      <c r="C99" s="128"/>
      <c r="D99" s="95"/>
      <c r="E99" s="125"/>
      <c r="F99" s="63"/>
      <c r="G99" s="63"/>
      <c r="H99" s="63"/>
    </row>
    <row r="100" ht="15.75" customHeight="1">
      <c r="A100" s="114"/>
      <c r="B100" s="121"/>
      <c r="C100" s="128"/>
      <c r="D100" s="95"/>
      <c r="E100" s="125"/>
      <c r="F100" s="63"/>
      <c r="G100" s="63"/>
      <c r="H100" s="63"/>
    </row>
    <row r="101" ht="15.75" customHeight="1">
      <c r="A101" s="114"/>
      <c r="B101" s="121"/>
      <c r="C101" s="128"/>
      <c r="D101" s="95"/>
      <c r="E101" s="125"/>
      <c r="F101" s="63"/>
      <c r="G101" s="63"/>
      <c r="H101" s="63"/>
    </row>
    <row r="102" ht="15.75" customHeight="1">
      <c r="A102" s="114"/>
      <c r="B102" s="121"/>
      <c r="C102" s="128"/>
      <c r="D102" s="95"/>
      <c r="E102" s="125"/>
      <c r="F102" s="63"/>
      <c r="G102" s="63"/>
      <c r="H102" s="63"/>
    </row>
    <row r="103" ht="15.75" customHeight="1">
      <c r="A103" s="114"/>
      <c r="B103" s="121"/>
      <c r="C103" s="128"/>
      <c r="D103" s="95"/>
      <c r="E103" s="125"/>
      <c r="F103" s="63"/>
      <c r="G103" s="63"/>
      <c r="H103" s="63"/>
    </row>
    <row r="104" ht="15.75" customHeight="1">
      <c r="A104" s="114"/>
      <c r="B104" s="121"/>
      <c r="C104" s="128"/>
      <c r="D104" s="95"/>
      <c r="E104" s="125"/>
      <c r="F104" s="63"/>
      <c r="G104" s="63"/>
      <c r="H104" s="63"/>
    </row>
    <row r="105" ht="15.75" customHeight="1">
      <c r="A105" s="114"/>
      <c r="B105" s="121"/>
      <c r="C105" s="128"/>
      <c r="D105" s="95"/>
      <c r="E105" s="125"/>
      <c r="F105" s="63"/>
      <c r="G105" s="63"/>
      <c r="H105" s="63"/>
    </row>
    <row r="106" ht="15.75" customHeight="1">
      <c r="A106" s="114" t="s">
        <v>345</v>
      </c>
      <c r="B106" s="238" t="s">
        <v>471</v>
      </c>
      <c r="C106" s="128"/>
      <c r="D106" s="95"/>
      <c r="E106" s="125"/>
      <c r="F106" s="63"/>
      <c r="G106" s="63"/>
      <c r="H106" s="63"/>
    </row>
    <row r="107" ht="15.75" customHeight="1">
      <c r="A107" s="114" t="s">
        <v>347</v>
      </c>
      <c r="B107" s="239" t="s">
        <v>348</v>
      </c>
      <c r="C107" s="240">
        <f>SUM(C109:C125)</f>
        <v>1617700</v>
      </c>
      <c r="D107" s="95"/>
      <c r="E107" s="95"/>
      <c r="F107" s="95"/>
      <c r="G107" s="95"/>
      <c r="H107" s="241">
        <f>SUM(H109:H119)</f>
        <v>993700</v>
      </c>
      <c r="K107" s="242">
        <f>SUM(K109:K119)</f>
        <v>993700</v>
      </c>
    </row>
    <row r="108" ht="15.75" customHeight="1">
      <c r="A108" s="243"/>
      <c r="B108" s="115" t="s">
        <v>144</v>
      </c>
      <c r="C108" s="116">
        <v>500000.0</v>
      </c>
      <c r="D108" s="93"/>
      <c r="F108" s="95"/>
      <c r="G108" s="95"/>
      <c r="H108" s="119">
        <v>500000.0</v>
      </c>
      <c r="I108" s="11"/>
      <c r="J108" s="98" t="s">
        <v>145</v>
      </c>
      <c r="K108" s="116">
        <v>500000.0</v>
      </c>
    </row>
    <row r="109" ht="15.75" customHeight="1">
      <c r="A109" s="243"/>
      <c r="B109" s="115" t="s">
        <v>342</v>
      </c>
      <c r="C109" s="116">
        <v>100000.0</v>
      </c>
      <c r="D109" s="93"/>
      <c r="F109" s="95"/>
      <c r="G109" s="95"/>
      <c r="H109" s="97">
        <f t="shared" ref="H109:H119" si="4">C109</f>
        <v>100000</v>
      </c>
      <c r="I109" s="154" t="s">
        <v>151</v>
      </c>
      <c r="J109" s="98" t="s">
        <v>93</v>
      </c>
      <c r="K109" s="116">
        <v>100000.0</v>
      </c>
    </row>
    <row r="110" ht="15.75" customHeight="1">
      <c r="A110" s="243"/>
      <c r="B110" s="115" t="s">
        <v>157</v>
      </c>
      <c r="C110" s="116">
        <v>100000.0</v>
      </c>
      <c r="D110" s="93"/>
      <c r="F110" s="95"/>
      <c r="G110" s="95"/>
      <c r="H110" s="97">
        <f t="shared" si="4"/>
        <v>100000</v>
      </c>
      <c r="J110" s="98" t="s">
        <v>93</v>
      </c>
      <c r="K110" s="116">
        <v>100000.0</v>
      </c>
    </row>
    <row r="111" ht="15.75" customHeight="1">
      <c r="A111" s="243"/>
      <c r="B111" s="115" t="s">
        <v>276</v>
      </c>
      <c r="C111" s="116">
        <v>400000.0</v>
      </c>
      <c r="D111" s="93"/>
      <c r="F111" s="95"/>
      <c r="G111" s="95"/>
      <c r="H111" s="97">
        <f t="shared" si="4"/>
        <v>400000</v>
      </c>
      <c r="J111" s="98" t="s">
        <v>93</v>
      </c>
      <c r="K111" s="116">
        <v>400000.0</v>
      </c>
    </row>
    <row r="112" ht="15.75" customHeight="1">
      <c r="A112" s="243"/>
      <c r="B112" s="115" t="s">
        <v>27</v>
      </c>
      <c r="C112" s="116">
        <v>50000.0</v>
      </c>
      <c r="D112" s="93"/>
      <c r="F112" s="95"/>
      <c r="G112" s="95"/>
      <c r="H112" s="97">
        <f t="shared" si="4"/>
        <v>50000</v>
      </c>
      <c r="J112" s="98" t="s">
        <v>93</v>
      </c>
      <c r="K112" s="116">
        <v>50000.0</v>
      </c>
    </row>
    <row r="113" ht="15.75" customHeight="1">
      <c r="A113" s="243"/>
      <c r="B113" s="115" t="s">
        <v>165</v>
      </c>
      <c r="C113" s="116">
        <v>150000.0</v>
      </c>
      <c r="D113" s="95"/>
      <c r="E113" s="95"/>
      <c r="F113" s="95"/>
      <c r="G113" s="95"/>
      <c r="H113" s="97">
        <f t="shared" si="4"/>
        <v>150000</v>
      </c>
      <c r="J113" s="98" t="s">
        <v>93</v>
      </c>
      <c r="K113" s="116">
        <v>150000.0</v>
      </c>
    </row>
    <row r="114" ht="15.75" customHeight="1">
      <c r="A114" s="243"/>
      <c r="B114" s="115" t="s">
        <v>167</v>
      </c>
      <c r="C114" s="116">
        <v>40000.0</v>
      </c>
      <c r="D114" s="95"/>
      <c r="E114" s="95"/>
      <c r="F114" s="95"/>
      <c r="G114" s="95"/>
      <c r="H114" s="97">
        <f t="shared" si="4"/>
        <v>40000</v>
      </c>
      <c r="J114" s="98" t="s">
        <v>93</v>
      </c>
      <c r="K114" s="116">
        <v>40000.0</v>
      </c>
    </row>
    <row r="115" ht="15.75" customHeight="1">
      <c r="A115" s="243"/>
      <c r="B115" s="115" t="s">
        <v>168</v>
      </c>
      <c r="C115" s="116">
        <v>50000.0</v>
      </c>
      <c r="D115" s="95"/>
      <c r="E115" s="95"/>
      <c r="F115" s="95"/>
      <c r="G115" s="95"/>
      <c r="H115" s="97">
        <f t="shared" si="4"/>
        <v>50000</v>
      </c>
      <c r="J115" s="98" t="s">
        <v>93</v>
      </c>
      <c r="K115" s="116">
        <v>50000.0</v>
      </c>
    </row>
    <row r="116" ht="15.75" customHeight="1">
      <c r="A116" s="243"/>
      <c r="B116" s="115" t="s">
        <v>169</v>
      </c>
      <c r="C116" s="116">
        <v>80000.0</v>
      </c>
      <c r="D116" s="95"/>
      <c r="E116" s="95"/>
      <c r="F116" s="95"/>
      <c r="G116" s="95"/>
      <c r="H116" s="97">
        <f t="shared" si="4"/>
        <v>80000</v>
      </c>
      <c r="J116" s="98" t="s">
        <v>93</v>
      </c>
      <c r="K116" s="116">
        <v>80000.0</v>
      </c>
    </row>
    <row r="117" ht="15.75" customHeight="1">
      <c r="A117" s="243"/>
      <c r="B117" s="115" t="s">
        <v>173</v>
      </c>
      <c r="C117" s="116">
        <v>8500.0</v>
      </c>
      <c r="D117" s="95"/>
      <c r="E117" s="95"/>
      <c r="F117" s="95"/>
      <c r="G117" s="95"/>
      <c r="H117" s="97">
        <f t="shared" si="4"/>
        <v>8500</v>
      </c>
      <c r="J117" s="98" t="s">
        <v>93</v>
      </c>
      <c r="K117" s="116">
        <v>8500.0</v>
      </c>
    </row>
    <row r="118" ht="15.75" customHeight="1">
      <c r="A118" s="243"/>
      <c r="B118" s="115" t="s">
        <v>174</v>
      </c>
      <c r="C118" s="116">
        <v>14000.0</v>
      </c>
      <c r="D118" s="95"/>
      <c r="E118" s="95"/>
      <c r="F118" s="95"/>
      <c r="G118" s="95"/>
      <c r="H118" s="97">
        <f t="shared" si="4"/>
        <v>14000</v>
      </c>
      <c r="J118" s="98" t="s">
        <v>93</v>
      </c>
      <c r="K118" s="116">
        <v>14000.0</v>
      </c>
    </row>
    <row r="119" ht="15.75" customHeight="1">
      <c r="A119" s="243"/>
      <c r="B119" s="115" t="s">
        <v>175</v>
      </c>
      <c r="C119" s="116">
        <v>1200.0</v>
      </c>
      <c r="D119" s="95"/>
      <c r="E119" s="95"/>
      <c r="F119" s="95"/>
      <c r="G119" s="95"/>
      <c r="H119" s="97">
        <f t="shared" si="4"/>
        <v>1200</v>
      </c>
      <c r="J119" s="98" t="s">
        <v>93</v>
      </c>
      <c r="K119" s="116">
        <v>1200.0</v>
      </c>
    </row>
    <row r="120" ht="15.75" customHeight="1">
      <c r="A120" s="243"/>
      <c r="B120" s="115" t="s">
        <v>344</v>
      </c>
      <c r="C120" s="116">
        <v>30000.0</v>
      </c>
      <c r="D120" s="95"/>
      <c r="E120" s="95"/>
      <c r="F120" s="95"/>
      <c r="G120" s="95"/>
      <c r="H120" s="97"/>
    </row>
    <row r="121" ht="15.75" customHeight="1">
      <c r="A121" s="243"/>
      <c r="B121" s="115" t="s">
        <v>176</v>
      </c>
      <c r="C121" s="116">
        <v>18000.0</v>
      </c>
      <c r="D121" s="95"/>
      <c r="E121" s="95"/>
      <c r="F121" s="95"/>
      <c r="G121" s="95"/>
      <c r="H121" s="97"/>
    </row>
    <row r="122" ht="15.75" customHeight="1">
      <c r="A122" s="243"/>
      <c r="B122" s="115" t="s">
        <v>21</v>
      </c>
      <c r="C122" s="116">
        <v>16000.0</v>
      </c>
      <c r="D122" s="95"/>
      <c r="E122" s="95"/>
      <c r="F122" s="95"/>
      <c r="G122" s="95"/>
      <c r="H122" s="97"/>
    </row>
    <row r="123" ht="15.75" customHeight="1">
      <c r="A123" s="243"/>
      <c r="B123" s="115" t="s">
        <v>485</v>
      </c>
      <c r="C123" s="116">
        <v>500000.0</v>
      </c>
      <c r="D123" s="95"/>
      <c r="E123" s="95"/>
      <c r="F123" s="95"/>
      <c r="G123" s="95"/>
      <c r="H123" s="97"/>
    </row>
    <row r="124" ht="15.75" customHeight="1">
      <c r="A124" s="243"/>
      <c r="B124" s="115" t="s">
        <v>489</v>
      </c>
      <c r="C124" s="116">
        <v>40000.0</v>
      </c>
      <c r="D124" s="95"/>
      <c r="E124" s="95"/>
      <c r="F124" s="95"/>
      <c r="G124" s="95"/>
      <c r="H124" s="97"/>
    </row>
    <row r="125" ht="15.75" customHeight="1">
      <c r="A125" s="243"/>
      <c r="B125" s="115" t="s">
        <v>492</v>
      </c>
      <c r="C125" s="116">
        <v>20000.0</v>
      </c>
      <c r="D125" s="95"/>
      <c r="E125" s="95"/>
      <c r="F125" s="95"/>
      <c r="G125" s="95"/>
      <c r="H125" s="97"/>
    </row>
    <row r="126" ht="15.75" customHeight="1">
      <c r="A126" s="243"/>
      <c r="B126" s="115" t="s">
        <v>493</v>
      </c>
      <c r="C126" s="116">
        <v>300000.0</v>
      </c>
      <c r="D126" s="95"/>
      <c r="E126" s="95"/>
      <c r="F126" s="95"/>
      <c r="G126" s="95"/>
      <c r="H126" s="97"/>
    </row>
    <row r="127" ht="15.75" customHeight="1">
      <c r="A127" s="243"/>
      <c r="B127" s="115" t="s">
        <v>494</v>
      </c>
      <c r="C127" s="116">
        <v>300000.0</v>
      </c>
      <c r="D127" s="95"/>
      <c r="E127" s="95"/>
      <c r="F127" s="95"/>
      <c r="G127" s="95"/>
      <c r="H127" s="97"/>
    </row>
    <row r="128" ht="15.75" customHeight="1">
      <c r="A128" s="243"/>
      <c r="B128" s="115" t="s">
        <v>178</v>
      </c>
      <c r="C128" s="116">
        <v>2000.0</v>
      </c>
      <c r="D128" s="95"/>
      <c r="E128" s="95"/>
      <c r="F128" s="95"/>
      <c r="G128" s="95"/>
      <c r="H128" s="97"/>
    </row>
    <row r="129" ht="15.75" customHeight="1">
      <c r="A129" s="243"/>
      <c r="B129" s="115" t="s">
        <v>182</v>
      </c>
      <c r="C129" s="116">
        <v>25000.0</v>
      </c>
      <c r="D129" s="95"/>
      <c r="E129" s="95"/>
      <c r="F129" s="95"/>
      <c r="G129" s="95"/>
      <c r="H129" s="97"/>
    </row>
    <row r="130" ht="15.75" customHeight="1">
      <c r="A130" s="243"/>
      <c r="B130" s="115"/>
      <c r="C130" s="116"/>
      <c r="D130" s="95"/>
      <c r="E130" s="95"/>
      <c r="F130" s="95"/>
      <c r="G130" s="95"/>
      <c r="H130" s="97"/>
    </row>
    <row r="131" ht="15.75" customHeight="1">
      <c r="A131" s="243"/>
      <c r="B131" s="115"/>
      <c r="C131" s="116"/>
      <c r="D131" s="95"/>
      <c r="E131" s="95"/>
      <c r="F131" s="95"/>
      <c r="G131" s="95"/>
      <c r="H131" s="97"/>
    </row>
    <row r="132" ht="15.75" customHeight="1">
      <c r="A132" s="243"/>
      <c r="B132" s="115" t="s">
        <v>191</v>
      </c>
      <c r="C132" s="116">
        <v>2565835.39</v>
      </c>
      <c r="D132" s="93" t="s">
        <v>192</v>
      </c>
      <c r="E132" s="95"/>
      <c r="F132" s="95"/>
      <c r="G132" s="95"/>
      <c r="H132" s="97"/>
    </row>
    <row r="133" ht="15.75" customHeight="1">
      <c r="A133" s="243"/>
      <c r="B133" s="115" t="s">
        <v>196</v>
      </c>
      <c r="C133" s="116">
        <v>162168.05</v>
      </c>
      <c r="D133" s="93" t="s">
        <v>197</v>
      </c>
      <c r="E133" s="95"/>
      <c r="F133" s="95"/>
      <c r="G133" s="95"/>
      <c r="H133" s="97"/>
    </row>
    <row r="134" ht="15.75" customHeight="1">
      <c r="A134" s="243"/>
      <c r="B134" s="115" t="s">
        <v>500</v>
      </c>
      <c r="C134" s="116">
        <v>1455084.28</v>
      </c>
      <c r="D134" s="95"/>
      <c r="E134" s="95"/>
      <c r="F134" s="95"/>
      <c r="G134" s="95"/>
      <c r="H134" s="97"/>
    </row>
    <row r="135" ht="15.75" customHeight="1">
      <c r="A135" s="243"/>
      <c r="B135" s="115" t="s">
        <v>75</v>
      </c>
      <c r="C135" s="116">
        <v>242400.0</v>
      </c>
      <c r="D135" s="93" t="s">
        <v>501</v>
      </c>
      <c r="E135" s="95"/>
      <c r="F135" s="95"/>
      <c r="G135" s="95"/>
      <c r="H135" s="97"/>
    </row>
    <row r="136" ht="15.75" customHeight="1">
      <c r="A136" s="243"/>
      <c r="B136" s="115" t="s">
        <v>62</v>
      </c>
      <c r="C136" s="116">
        <v>123000.0</v>
      </c>
      <c r="D136" s="93" t="s">
        <v>504</v>
      </c>
      <c r="E136" s="95"/>
      <c r="F136" s="95"/>
      <c r="G136" s="95"/>
      <c r="H136" s="97"/>
    </row>
    <row r="137" ht="15.75" customHeight="1">
      <c r="A137" s="243"/>
      <c r="B137" s="115" t="s">
        <v>505</v>
      </c>
      <c r="C137" s="116">
        <v>984013.26</v>
      </c>
      <c r="D137" s="95"/>
      <c r="E137" s="95"/>
      <c r="F137" s="95"/>
      <c r="G137" s="95"/>
      <c r="H137" s="97"/>
    </row>
    <row r="138" ht="15.75" customHeight="1">
      <c r="A138" s="243"/>
      <c r="B138" s="115" t="s">
        <v>290</v>
      </c>
      <c r="C138" s="116">
        <v>34233.74</v>
      </c>
      <c r="D138" s="95"/>
      <c r="E138" s="95"/>
      <c r="F138" s="95"/>
      <c r="G138" s="95"/>
      <c r="H138" s="97"/>
    </row>
    <row r="139" ht="15.75" customHeight="1">
      <c r="A139" s="243"/>
      <c r="B139" s="115" t="s">
        <v>508</v>
      </c>
      <c r="C139" s="116">
        <v>199570.14</v>
      </c>
      <c r="D139" s="95"/>
      <c r="E139" s="95"/>
      <c r="F139" s="95"/>
      <c r="G139" s="95"/>
      <c r="H139" s="97"/>
    </row>
    <row r="140" ht="15.75" customHeight="1">
      <c r="A140" s="243"/>
      <c r="B140" s="115" t="s">
        <v>509</v>
      </c>
      <c r="C140" s="116"/>
      <c r="D140" s="95"/>
      <c r="E140" s="95"/>
      <c r="F140" s="95"/>
      <c r="G140" s="95"/>
      <c r="H140" s="97"/>
    </row>
    <row r="141" ht="15.75" customHeight="1">
      <c r="A141" s="243"/>
      <c r="B141" s="115" t="s">
        <v>510</v>
      </c>
      <c r="C141" s="116">
        <v>25000.0</v>
      </c>
      <c r="D141" s="95"/>
      <c r="E141" s="95"/>
      <c r="F141" s="95"/>
      <c r="G141" s="95"/>
      <c r="H141" s="97"/>
    </row>
    <row r="142" ht="15.75" customHeight="1">
      <c r="A142" s="243"/>
      <c r="B142" s="115" t="s">
        <v>511</v>
      </c>
      <c r="C142" s="116">
        <v>50000.0</v>
      </c>
      <c r="D142" s="95"/>
      <c r="E142" s="95"/>
      <c r="F142" s="95"/>
      <c r="G142" s="95"/>
      <c r="H142" s="97"/>
    </row>
    <row r="143" ht="15.75" customHeight="1">
      <c r="A143" s="243"/>
      <c r="B143" s="115"/>
      <c r="C143" s="116"/>
      <c r="D143" s="95"/>
      <c r="E143" s="95"/>
      <c r="F143" s="95"/>
      <c r="G143" s="95"/>
      <c r="H143" s="97"/>
    </row>
    <row r="144" ht="15.75" customHeight="1">
      <c r="A144" s="243"/>
      <c r="B144" s="115"/>
      <c r="C144" s="116"/>
      <c r="D144" s="95"/>
      <c r="E144" s="95"/>
      <c r="F144" s="95"/>
      <c r="G144" s="95"/>
      <c r="H144" s="97"/>
    </row>
    <row r="145" ht="15.75" customHeight="1">
      <c r="A145" s="243"/>
      <c r="B145" s="115" t="s">
        <v>23</v>
      </c>
      <c r="C145" s="116"/>
      <c r="D145" s="95"/>
      <c r="E145" s="95"/>
      <c r="F145" s="95"/>
      <c r="G145" s="95"/>
      <c r="H145" s="97"/>
    </row>
    <row r="146" ht="15.75" customHeight="1">
      <c r="A146" s="243"/>
      <c r="B146" s="115"/>
      <c r="C146" s="116"/>
      <c r="D146" s="95"/>
      <c r="E146" s="95"/>
      <c r="F146" s="95"/>
      <c r="G146" s="95"/>
      <c r="H146" s="97"/>
    </row>
    <row r="147" ht="15.75" customHeight="1">
      <c r="A147" s="243"/>
      <c r="B147" s="115" t="s">
        <v>514</v>
      </c>
      <c r="C147" s="116"/>
      <c r="D147" s="95"/>
      <c r="E147" s="95"/>
      <c r="F147" s="95"/>
      <c r="G147" s="95"/>
      <c r="H147" s="97"/>
    </row>
    <row r="148" ht="15.75" customHeight="1">
      <c r="A148" s="243"/>
      <c r="B148" s="115" t="s">
        <v>203</v>
      </c>
      <c r="C148" s="116">
        <v>12000.0</v>
      </c>
      <c r="D148" s="95"/>
      <c r="E148" s="95"/>
      <c r="F148" s="95"/>
      <c r="G148" s="95"/>
      <c r="H148" s="97"/>
    </row>
    <row r="149" ht="15.75" customHeight="1">
      <c r="A149" s="243"/>
      <c r="B149" s="115" t="s">
        <v>206</v>
      </c>
      <c r="C149" s="116">
        <v>1100.0</v>
      </c>
      <c r="D149" s="95"/>
      <c r="E149" s="95"/>
      <c r="F149" s="95"/>
      <c r="G149" s="95"/>
      <c r="H149" s="97"/>
    </row>
    <row r="150" ht="15.75" customHeight="1">
      <c r="A150" s="243"/>
      <c r="B150" s="115" t="s">
        <v>520</v>
      </c>
      <c r="C150" s="116">
        <v>7580.0</v>
      </c>
      <c r="D150" s="95"/>
      <c r="E150" s="95"/>
      <c r="F150" s="95"/>
      <c r="G150" s="95"/>
      <c r="H150" s="97"/>
    </row>
    <row r="151" ht="15.75" customHeight="1">
      <c r="A151" s="243"/>
      <c r="B151" s="115" t="s">
        <v>522</v>
      </c>
      <c r="C151" s="116"/>
      <c r="D151" s="95"/>
      <c r="E151" s="95"/>
      <c r="F151" s="95"/>
      <c r="G151" s="95"/>
      <c r="H151" s="97"/>
    </row>
    <row r="152" ht="15.75" customHeight="1">
      <c r="A152" s="243"/>
      <c r="B152" s="115" t="s">
        <v>524</v>
      </c>
      <c r="C152" s="116">
        <v>38000.0</v>
      </c>
      <c r="D152" s="95"/>
      <c r="E152" s="95"/>
      <c r="F152" s="95"/>
      <c r="G152" s="95"/>
      <c r="H152" s="97"/>
    </row>
    <row r="153" ht="15.75" customHeight="1">
      <c r="A153" s="243"/>
      <c r="B153" s="115" t="s">
        <v>526</v>
      </c>
      <c r="C153" s="116"/>
      <c r="D153" s="95"/>
      <c r="E153" s="95"/>
      <c r="F153" s="95"/>
      <c r="G153" s="95"/>
      <c r="H153" s="97"/>
    </row>
    <row r="154" ht="15.75" customHeight="1">
      <c r="A154" s="243"/>
      <c r="B154" s="115" t="s">
        <v>207</v>
      </c>
      <c r="C154" s="116">
        <v>1740.0</v>
      </c>
      <c r="D154" s="95"/>
      <c r="E154" s="95"/>
      <c r="F154" s="95"/>
      <c r="G154" s="95"/>
      <c r="H154" s="97"/>
    </row>
    <row r="155" ht="15.75" customHeight="1">
      <c r="A155" s="243"/>
      <c r="B155" s="115" t="s">
        <v>33</v>
      </c>
      <c r="C155" s="116">
        <v>840.0</v>
      </c>
      <c r="D155" s="95"/>
      <c r="E155" s="95"/>
      <c r="F155" s="95"/>
      <c r="G155" s="95"/>
      <c r="H155" s="97"/>
    </row>
    <row r="156" ht="15.75" customHeight="1">
      <c r="A156" s="243"/>
      <c r="B156" s="115" t="s">
        <v>34</v>
      </c>
      <c r="C156" s="116">
        <v>5000.0</v>
      </c>
      <c r="D156" s="95"/>
      <c r="E156" s="95"/>
      <c r="F156" s="95"/>
      <c r="G156" s="95"/>
      <c r="H156" s="97"/>
    </row>
    <row r="157" ht="15.75" customHeight="1">
      <c r="A157" s="243"/>
      <c r="B157" s="115" t="s">
        <v>35</v>
      </c>
      <c r="C157" s="116">
        <v>3500.0</v>
      </c>
      <c r="D157" s="95"/>
      <c r="E157" s="95"/>
      <c r="F157" s="95"/>
      <c r="G157" s="95"/>
      <c r="H157" s="97"/>
    </row>
    <row r="158" ht="15.75" customHeight="1">
      <c r="A158" s="243"/>
      <c r="B158" s="115" t="s">
        <v>528</v>
      </c>
      <c r="C158" s="116"/>
      <c r="D158" s="95"/>
      <c r="E158" s="95"/>
      <c r="F158" s="95"/>
      <c r="G158" s="95"/>
      <c r="H158" s="97"/>
    </row>
    <row r="159" ht="15.75" customHeight="1">
      <c r="A159" s="243"/>
      <c r="B159" s="115" t="s">
        <v>210</v>
      </c>
      <c r="C159" s="116">
        <v>25000.0</v>
      </c>
      <c r="D159" s="95"/>
      <c r="E159" s="95"/>
      <c r="F159" s="95"/>
      <c r="G159" s="95"/>
      <c r="H159" s="97"/>
    </row>
    <row r="160" ht="15.75" customHeight="1">
      <c r="A160" s="243"/>
      <c r="B160" s="115">
        <v>1510.0</v>
      </c>
      <c r="C160" s="116">
        <v>94760.0</v>
      </c>
      <c r="D160" s="95"/>
      <c r="E160" s="95"/>
      <c r="F160" s="95"/>
      <c r="G160" s="95"/>
      <c r="H160" s="97"/>
    </row>
    <row r="161" ht="15.75" customHeight="1">
      <c r="A161" s="243"/>
      <c r="B161" s="115"/>
      <c r="C161" s="116"/>
      <c r="D161" s="95"/>
      <c r="E161" s="95"/>
      <c r="F161" s="95"/>
      <c r="G161" s="95"/>
      <c r="H161" s="97"/>
    </row>
    <row r="162" ht="15.75" customHeight="1">
      <c r="A162" s="243"/>
      <c r="B162" s="115"/>
      <c r="C162" s="116"/>
      <c r="D162" s="95"/>
      <c r="E162" s="95"/>
      <c r="F162" s="95"/>
      <c r="G162" s="95"/>
      <c r="H162" s="97"/>
    </row>
    <row r="163" ht="15.75" customHeight="1">
      <c r="A163" s="243"/>
      <c r="B163" s="115"/>
      <c r="C163" s="116"/>
      <c r="D163" s="95"/>
      <c r="E163" s="95"/>
      <c r="F163" s="95"/>
      <c r="G163" s="95"/>
      <c r="H163" s="97"/>
    </row>
    <row r="164" ht="15.75" customHeight="1">
      <c r="A164" s="243"/>
      <c r="B164" s="115"/>
      <c r="C164" s="116"/>
      <c r="D164" s="95"/>
      <c r="E164" s="95"/>
      <c r="F164" s="95"/>
      <c r="G164" s="95"/>
      <c r="H164" s="97"/>
    </row>
    <row r="165" ht="15.75" customHeight="1">
      <c r="A165" s="114" t="s">
        <v>345</v>
      </c>
      <c r="B165" s="238" t="s">
        <v>355</v>
      </c>
      <c r="C165" s="128"/>
      <c r="D165" s="95"/>
      <c r="E165" s="125"/>
      <c r="F165" s="63"/>
      <c r="G165" s="63"/>
      <c r="H165" s="63"/>
    </row>
    <row r="166" ht="15.75" customHeight="1">
      <c r="A166" s="114" t="s">
        <v>347</v>
      </c>
      <c r="B166" s="239" t="s">
        <v>348</v>
      </c>
      <c r="C166" s="240">
        <f>SUM(C167:C172)</f>
        <v>174000</v>
      </c>
      <c r="D166" s="95"/>
      <c r="E166" s="95"/>
      <c r="F166" s="95"/>
      <c r="G166" s="95"/>
      <c r="H166" s="241">
        <f>SUM(H167:H172)</f>
        <v>150000</v>
      </c>
      <c r="K166" s="242">
        <f>SUM(K168:K172)</f>
        <v>74000</v>
      </c>
    </row>
    <row r="167" ht="15.75" customHeight="1">
      <c r="A167" s="243"/>
      <c r="B167" s="115" t="s">
        <v>532</v>
      </c>
      <c r="C167" s="116">
        <v>100000.0</v>
      </c>
      <c r="D167" s="93"/>
      <c r="F167" s="95"/>
      <c r="G167" s="95"/>
      <c r="H167" s="97">
        <f t="shared" ref="H167:H170" si="5">C167</f>
        <v>100000</v>
      </c>
      <c r="J167" s="170" t="s">
        <v>199</v>
      </c>
      <c r="L167" s="11" t="s">
        <v>534</v>
      </c>
    </row>
    <row r="168" ht="15.75" customHeight="1">
      <c r="A168" s="243"/>
      <c r="B168" s="115" t="s">
        <v>212</v>
      </c>
      <c r="C168" s="116">
        <v>14000.0</v>
      </c>
      <c r="D168" s="93"/>
      <c r="F168" s="95"/>
      <c r="G168" s="95"/>
      <c r="H168" s="97">
        <f t="shared" si="5"/>
        <v>14000</v>
      </c>
      <c r="J168" s="98" t="s">
        <v>93</v>
      </c>
      <c r="K168" s="116">
        <v>14000.0</v>
      </c>
    </row>
    <row r="169" ht="15.75" customHeight="1">
      <c r="A169" s="243"/>
      <c r="B169" s="115" t="s">
        <v>215</v>
      </c>
      <c r="C169" s="116">
        <v>9000.0</v>
      </c>
      <c r="D169" s="93"/>
      <c r="F169" s="95"/>
      <c r="G169" s="95"/>
      <c r="H169" s="97">
        <f t="shared" si="5"/>
        <v>9000</v>
      </c>
      <c r="J169" s="98" t="s">
        <v>93</v>
      </c>
      <c r="K169" s="116">
        <v>9000.0</v>
      </c>
    </row>
    <row r="170" ht="15.75" customHeight="1">
      <c r="A170" s="243"/>
      <c r="B170" s="115" t="s">
        <v>216</v>
      </c>
      <c r="C170" s="116">
        <v>15000.0</v>
      </c>
      <c r="D170" s="93"/>
      <c r="F170" s="95"/>
      <c r="G170" s="95"/>
      <c r="H170" s="97">
        <f t="shared" si="5"/>
        <v>15000</v>
      </c>
      <c r="J170" s="98" t="s">
        <v>93</v>
      </c>
      <c r="K170" s="116">
        <v>15000.0</v>
      </c>
    </row>
    <row r="171" ht="15.75" customHeight="1">
      <c r="A171" s="243"/>
      <c r="B171" s="115" t="s">
        <v>218</v>
      </c>
      <c r="C171" s="116">
        <v>24000.0</v>
      </c>
      <c r="D171" s="95"/>
      <c r="E171" s="95"/>
      <c r="F171" s="95"/>
      <c r="G171" s="95"/>
      <c r="H171" s="119" t="s">
        <v>535</v>
      </c>
      <c r="J171" s="98" t="s">
        <v>93</v>
      </c>
      <c r="K171" s="116">
        <v>24000.0</v>
      </c>
    </row>
    <row r="172" ht="15.75" customHeight="1">
      <c r="A172" s="243"/>
      <c r="B172" s="115" t="s">
        <v>219</v>
      </c>
      <c r="C172" s="116">
        <v>12000.0</v>
      </c>
      <c r="D172" s="95"/>
      <c r="E172" s="95"/>
      <c r="F172" s="95"/>
      <c r="G172" s="95"/>
      <c r="H172" s="97">
        <f>C172</f>
        <v>12000</v>
      </c>
      <c r="J172" s="98" t="s">
        <v>93</v>
      </c>
      <c r="K172" s="116">
        <v>12000.0</v>
      </c>
    </row>
    <row r="173" ht="15.75" customHeight="1">
      <c r="A173" s="243"/>
      <c r="B173" s="115"/>
      <c r="C173" s="116"/>
      <c r="D173" s="95"/>
      <c r="E173" s="95"/>
      <c r="F173" s="95"/>
      <c r="G173" s="95"/>
      <c r="H173" s="97"/>
    </row>
    <row r="174" ht="15.75" customHeight="1">
      <c r="A174" s="114" t="s">
        <v>345</v>
      </c>
      <c r="B174" s="238" t="s">
        <v>536</v>
      </c>
      <c r="C174" s="128"/>
      <c r="D174" s="95"/>
      <c r="E174" s="125"/>
      <c r="F174" s="63"/>
      <c r="G174" s="63"/>
      <c r="H174" s="63"/>
    </row>
    <row r="175" ht="15.75" customHeight="1">
      <c r="A175" s="114" t="s">
        <v>347</v>
      </c>
      <c r="B175" s="239" t="s">
        <v>348</v>
      </c>
      <c r="C175" s="240">
        <f>SUM(C176)</f>
        <v>700000</v>
      </c>
      <c r="D175" s="95"/>
      <c r="E175" s="95"/>
      <c r="F175" s="95"/>
      <c r="G175" s="95"/>
      <c r="H175" s="241">
        <f>SUM(H176)</f>
        <v>700000</v>
      </c>
      <c r="K175" s="242">
        <f>SUM(K176)</f>
        <v>700000</v>
      </c>
    </row>
    <row r="176" ht="15.75" customHeight="1">
      <c r="A176" s="243"/>
      <c r="B176" s="115" t="s">
        <v>221</v>
      </c>
      <c r="C176" s="116">
        <v>700000.0</v>
      </c>
      <c r="D176" s="95"/>
      <c r="E176" s="95"/>
      <c r="F176" s="95"/>
      <c r="G176" s="95"/>
      <c r="H176" s="97">
        <f>C176</f>
        <v>700000</v>
      </c>
      <c r="J176" s="98" t="s">
        <v>93</v>
      </c>
      <c r="K176" s="116">
        <v>700000.0</v>
      </c>
    </row>
    <row r="177" ht="15.75" customHeight="1">
      <c r="A177" s="243"/>
      <c r="B177" s="115"/>
      <c r="C177" s="116"/>
      <c r="D177" s="95"/>
      <c r="E177" s="95"/>
      <c r="F177" s="95"/>
      <c r="G177" s="95"/>
      <c r="H177" s="97"/>
      <c r="J177" s="98"/>
      <c r="K177" s="116"/>
    </row>
    <row r="178" ht="15.75" customHeight="1">
      <c r="A178" s="114" t="s">
        <v>234</v>
      </c>
      <c r="B178" s="246" t="s">
        <v>537</v>
      </c>
      <c r="C178" s="305">
        <f>SUM(C179:C180)</f>
        <v>9000</v>
      </c>
      <c r="D178" s="95"/>
      <c r="E178" s="95"/>
      <c r="F178" s="95"/>
      <c r="G178" s="95"/>
      <c r="H178" s="305">
        <f>SUM(H179:H180)</f>
        <v>9000</v>
      </c>
      <c r="J178" s="98"/>
      <c r="K178" s="116"/>
    </row>
    <row r="179" ht="15.75" customHeight="1">
      <c r="A179" s="243"/>
      <c r="B179" s="115" t="s">
        <v>222</v>
      </c>
      <c r="C179" s="116">
        <v>4000.0</v>
      </c>
      <c r="D179" s="95"/>
      <c r="E179" s="95"/>
      <c r="F179" s="95"/>
      <c r="G179" s="95"/>
      <c r="H179" s="97">
        <f t="shared" ref="H179:H180" si="6">C179</f>
        <v>4000</v>
      </c>
      <c r="J179" s="98"/>
      <c r="K179" s="116"/>
    </row>
    <row r="180" ht="15.75" customHeight="1">
      <c r="A180" s="243"/>
      <c r="B180" s="115" t="s">
        <v>540</v>
      </c>
      <c r="C180" s="116">
        <v>5000.0</v>
      </c>
      <c r="D180" s="95"/>
      <c r="E180" s="95"/>
      <c r="F180" s="95"/>
      <c r="G180" s="95"/>
      <c r="H180" s="97">
        <f t="shared" si="6"/>
        <v>5000</v>
      </c>
      <c r="J180" s="98"/>
      <c r="K180" s="116"/>
    </row>
    <row r="181" ht="15.75" customHeight="1">
      <c r="A181" s="243"/>
      <c r="B181" s="115"/>
      <c r="C181" s="116"/>
      <c r="D181" s="95"/>
      <c r="E181" s="95"/>
      <c r="F181" s="95"/>
      <c r="G181" s="95"/>
      <c r="H181" s="97"/>
      <c r="J181" s="98"/>
      <c r="K181" s="116"/>
    </row>
    <row r="182" ht="15.75" customHeight="1">
      <c r="A182" s="114" t="s">
        <v>272</v>
      </c>
      <c r="B182" s="246" t="s">
        <v>542</v>
      </c>
      <c r="C182" s="305">
        <f>SUM(C183:C184)</f>
        <v>27000</v>
      </c>
      <c r="D182" s="95"/>
      <c r="E182" s="95"/>
      <c r="F182" s="95"/>
      <c r="G182" s="95"/>
      <c r="H182" s="305">
        <f>SUM(H183:H184)</f>
        <v>27000</v>
      </c>
      <c r="J182" s="98"/>
      <c r="K182" s="116"/>
    </row>
    <row r="183" ht="15.75" customHeight="1">
      <c r="A183" s="243"/>
      <c r="B183" s="115" t="s">
        <v>545</v>
      </c>
      <c r="C183" s="116">
        <v>20000.0</v>
      </c>
      <c r="D183" s="95"/>
      <c r="E183" s="95"/>
      <c r="F183" s="95"/>
      <c r="G183" s="95"/>
      <c r="H183" s="97">
        <f t="shared" ref="H183:H184" si="7">C183</f>
        <v>20000</v>
      </c>
      <c r="J183" s="98"/>
      <c r="K183" s="116"/>
    </row>
    <row r="184" ht="15.75" customHeight="1">
      <c r="A184" s="243"/>
      <c r="B184" s="115" t="s">
        <v>547</v>
      </c>
      <c r="C184" s="116">
        <v>7000.0</v>
      </c>
      <c r="D184" s="95"/>
      <c r="E184" s="95"/>
      <c r="F184" s="95"/>
      <c r="G184" s="95"/>
      <c r="H184" s="97">
        <f t="shared" si="7"/>
        <v>7000</v>
      </c>
      <c r="J184" s="98"/>
      <c r="K184" s="116"/>
    </row>
    <row r="185" ht="15.75" customHeight="1">
      <c r="A185" s="243"/>
      <c r="B185" s="115"/>
      <c r="C185" s="116"/>
      <c r="D185" s="95"/>
      <c r="E185" s="95"/>
      <c r="F185" s="95"/>
      <c r="G185" s="95"/>
      <c r="H185" s="97"/>
      <c r="J185" s="98"/>
      <c r="K185" s="116"/>
    </row>
    <row r="186" ht="15.75" customHeight="1">
      <c r="A186" s="243"/>
      <c r="B186" s="115"/>
      <c r="C186" s="116"/>
      <c r="D186" s="95"/>
      <c r="E186" s="95"/>
      <c r="F186" s="95"/>
      <c r="G186" s="95"/>
      <c r="H186" s="97"/>
    </row>
    <row r="187" ht="15.75" customHeight="1">
      <c r="A187" s="114" t="s">
        <v>345</v>
      </c>
      <c r="B187" s="238" t="s">
        <v>548</v>
      </c>
      <c r="C187" s="128"/>
      <c r="D187" s="95"/>
      <c r="E187" s="125"/>
      <c r="F187" s="63"/>
      <c r="G187" s="63"/>
      <c r="H187" s="63"/>
    </row>
    <row r="188" ht="15.75" customHeight="1">
      <c r="A188" s="114" t="s">
        <v>550</v>
      </c>
      <c r="B188" s="239" t="s">
        <v>348</v>
      </c>
      <c r="C188" s="240">
        <f>SUM(C189:C196)</f>
        <v>1817579.26</v>
      </c>
      <c r="D188" s="95"/>
      <c r="E188" s="95"/>
      <c r="F188" s="95"/>
      <c r="G188" s="95"/>
      <c r="H188" s="241">
        <f>SUM(H189:H196)</f>
        <v>1817579.26</v>
      </c>
      <c r="K188" s="242">
        <f>SUM(K189:K196)</f>
        <v>1228043.18</v>
      </c>
    </row>
    <row r="189" ht="15.75" customHeight="1">
      <c r="A189" s="243"/>
      <c r="B189" s="115" t="s">
        <v>307</v>
      </c>
      <c r="C189" s="116">
        <v>1189536.08</v>
      </c>
      <c r="D189" s="95"/>
      <c r="E189" s="95"/>
      <c r="F189" s="95"/>
      <c r="G189" s="95"/>
      <c r="H189" s="97">
        <f t="shared" ref="H189:H196" si="8">C189</f>
        <v>1189536.08</v>
      </c>
      <c r="J189" s="170" t="s">
        <v>199</v>
      </c>
      <c r="K189" s="116">
        <v>600000.0</v>
      </c>
      <c r="L189" s="11" t="s">
        <v>230</v>
      </c>
    </row>
    <row r="190" ht="15.75" customHeight="1">
      <c r="A190" s="243"/>
      <c r="B190" s="115" t="s">
        <v>231</v>
      </c>
      <c r="C190" s="116">
        <v>65000.0</v>
      </c>
      <c r="D190" s="95"/>
      <c r="E190" s="95"/>
      <c r="F190" s="95"/>
      <c r="G190" s="95"/>
      <c r="H190" s="97">
        <f t="shared" si="8"/>
        <v>65000</v>
      </c>
      <c r="J190" s="98" t="s">
        <v>93</v>
      </c>
      <c r="K190" s="116">
        <v>65000.0</v>
      </c>
    </row>
    <row r="191" ht="15.75" customHeight="1">
      <c r="A191" s="243"/>
      <c r="B191" s="115" t="s">
        <v>308</v>
      </c>
      <c r="C191" s="116">
        <v>295043.18</v>
      </c>
      <c r="D191" s="95"/>
      <c r="E191" s="95"/>
      <c r="F191" s="95"/>
      <c r="G191" s="95"/>
      <c r="H191" s="97">
        <f t="shared" si="8"/>
        <v>295043.18</v>
      </c>
      <c r="J191" s="98" t="s">
        <v>93</v>
      </c>
      <c r="K191" s="116">
        <v>295043.18</v>
      </c>
    </row>
    <row r="192" ht="15.75" customHeight="1">
      <c r="A192" s="243"/>
      <c r="B192" s="115" t="s">
        <v>233</v>
      </c>
      <c r="C192" s="116">
        <v>120000.0</v>
      </c>
      <c r="D192" s="95"/>
      <c r="E192" s="95"/>
      <c r="F192" s="95"/>
      <c r="G192" s="95"/>
      <c r="H192" s="97">
        <f t="shared" si="8"/>
        <v>120000</v>
      </c>
      <c r="J192" s="98" t="s">
        <v>93</v>
      </c>
      <c r="K192" s="116">
        <v>120000.0</v>
      </c>
    </row>
    <row r="193" ht="15.75" customHeight="1">
      <c r="A193" s="243"/>
      <c r="B193" s="115" t="s">
        <v>236</v>
      </c>
      <c r="C193" s="116">
        <v>25000.0</v>
      </c>
      <c r="D193" s="95"/>
      <c r="E193" s="95"/>
      <c r="F193" s="95"/>
      <c r="G193" s="95"/>
      <c r="H193" s="97">
        <f t="shared" si="8"/>
        <v>25000</v>
      </c>
      <c r="J193" s="98" t="s">
        <v>93</v>
      </c>
      <c r="K193" s="116">
        <v>25000.0</v>
      </c>
    </row>
    <row r="194" ht="15.75" customHeight="1">
      <c r="A194" s="243"/>
      <c r="B194" s="115" t="s">
        <v>552</v>
      </c>
      <c r="C194" s="116">
        <v>50000.0</v>
      </c>
      <c r="D194" s="95"/>
      <c r="E194" s="95"/>
      <c r="F194" s="95"/>
      <c r="G194" s="95"/>
      <c r="H194" s="97">
        <f t="shared" si="8"/>
        <v>50000</v>
      </c>
      <c r="J194" s="98" t="s">
        <v>93</v>
      </c>
      <c r="K194" s="116">
        <v>50000.0</v>
      </c>
    </row>
    <row r="195" ht="15.75" customHeight="1">
      <c r="A195" s="243"/>
      <c r="B195" s="115" t="s">
        <v>237</v>
      </c>
      <c r="C195" s="116">
        <v>42000.0</v>
      </c>
      <c r="D195" s="95"/>
      <c r="E195" s="95"/>
      <c r="F195" s="95"/>
      <c r="G195" s="95"/>
      <c r="H195" s="97">
        <f t="shared" si="8"/>
        <v>42000</v>
      </c>
      <c r="J195" s="98" t="s">
        <v>93</v>
      </c>
      <c r="K195" s="116">
        <v>42000.0</v>
      </c>
    </row>
    <row r="196" ht="15.75" customHeight="1">
      <c r="A196" s="243"/>
      <c r="B196" s="115" t="s">
        <v>238</v>
      </c>
      <c r="C196" s="116">
        <v>31000.0</v>
      </c>
      <c r="D196" s="95"/>
      <c r="E196" s="95"/>
      <c r="F196" s="95"/>
      <c r="G196" s="95"/>
      <c r="H196" s="97">
        <f t="shared" si="8"/>
        <v>31000</v>
      </c>
      <c r="J196" s="98" t="s">
        <v>93</v>
      </c>
      <c r="K196" s="116">
        <v>31000.0</v>
      </c>
    </row>
    <row r="197" ht="15.75" customHeight="1">
      <c r="A197" s="171"/>
      <c r="B197" s="251">
        <v>9200.0</v>
      </c>
      <c r="C197" s="322">
        <f>C5+C8+C28+C107+C166+C175+C188+C178+C182+C31</f>
        <v>11735669.26</v>
      </c>
      <c r="D197" s="256">
        <f t="shared" ref="D197:G197" si="9">SUM(D187:D190)</f>
        <v>0</v>
      </c>
      <c r="E197" s="256">
        <f t="shared" si="9"/>
        <v>0</v>
      </c>
      <c r="F197" s="256">
        <f t="shared" si="9"/>
        <v>0</v>
      </c>
      <c r="G197" s="256">
        <f t="shared" si="9"/>
        <v>0</v>
      </c>
      <c r="H197" s="256">
        <f>SUM(H5+H8+H28+H107+H166+H175+H188)</f>
        <v>6986279.26</v>
      </c>
      <c r="K197" s="256">
        <f>K8+K28+K107+K166+K175+K188</f>
        <v>4350743.18</v>
      </c>
    </row>
    <row r="198" ht="15.75" customHeight="1">
      <c r="A198" s="171"/>
      <c r="B198" s="63"/>
      <c r="C198" s="128"/>
      <c r="E198" s="97"/>
      <c r="F198" s="97"/>
      <c r="G198" s="97"/>
      <c r="H198" s="97"/>
    </row>
    <row r="199" ht="15.75" customHeight="1">
      <c r="A199" s="171"/>
      <c r="B199" s="281" t="s">
        <v>335</v>
      </c>
      <c r="C199" s="327" t="str">
        <f t="shared" ref="C199:H199" si="10">#REF!+#REF!+#REF!+#REF!+#REF!+#REF!+#REF!+C197+#REF!+#REF!+#REF!</f>
        <v>#REF!</v>
      </c>
      <c r="D199" s="283" t="str">
        <f t="shared" si="10"/>
        <v>#REF!</v>
      </c>
      <c r="E199" s="283" t="str">
        <f t="shared" si="10"/>
        <v>#REF!</v>
      </c>
      <c r="F199" s="283" t="str">
        <f t="shared" si="10"/>
        <v>#REF!</v>
      </c>
      <c r="G199" s="283" t="str">
        <f t="shared" si="10"/>
        <v>#REF!</v>
      </c>
      <c r="H199" s="283" t="str">
        <f t="shared" si="10"/>
        <v>#REF!</v>
      </c>
    </row>
    <row r="200" ht="15.75" customHeight="1">
      <c r="A200" s="171"/>
      <c r="B200" s="63"/>
      <c r="C200" s="128"/>
      <c r="E200" s="97"/>
      <c r="F200" s="97"/>
      <c r="G200" s="97"/>
      <c r="H200" s="97"/>
    </row>
    <row r="201" ht="15.75" customHeight="1">
      <c r="A201" s="171"/>
      <c r="B201" s="288" t="s">
        <v>512</v>
      </c>
      <c r="C201" s="128"/>
      <c r="D201" s="97"/>
      <c r="E201" s="97"/>
      <c r="H201" s="63"/>
    </row>
    <row r="202" ht="15.75" customHeight="1">
      <c r="A202" s="171"/>
      <c r="B202" s="63"/>
      <c r="C202" s="128"/>
      <c r="D202" s="289" t="s">
        <v>513</v>
      </c>
      <c r="E202" s="290"/>
      <c r="F202" s="290"/>
      <c r="G202" s="290"/>
      <c r="H202" s="291"/>
    </row>
    <row r="203" ht="15.75" customHeight="1">
      <c r="A203" s="328" t="s">
        <v>515</v>
      </c>
      <c r="B203" s="239" t="s">
        <v>516</v>
      </c>
      <c r="C203" s="329" t="s">
        <v>10</v>
      </c>
      <c r="D203" s="293" t="s">
        <v>517</v>
      </c>
      <c r="E203" s="294"/>
      <c r="F203" s="295">
        <v>2024.0</v>
      </c>
      <c r="G203" s="295" t="s">
        <v>518</v>
      </c>
      <c r="H203" s="296" t="s">
        <v>519</v>
      </c>
    </row>
    <row r="204" ht="15.75" customHeight="1">
      <c r="A204" s="328"/>
      <c r="B204" s="239"/>
      <c r="C204" s="329"/>
      <c r="D204" s="297" t="s">
        <v>521</v>
      </c>
      <c r="E204" s="297" t="s">
        <v>523</v>
      </c>
      <c r="F204" s="269"/>
      <c r="G204" s="298"/>
      <c r="H204" s="269"/>
    </row>
    <row r="205" ht="15.75" customHeight="1">
      <c r="A205" s="171" t="s">
        <v>435</v>
      </c>
      <c r="B205" s="63" t="s">
        <v>525</v>
      </c>
      <c r="C205" s="330">
        <f>935436.8+254899.41+521264.09</f>
        <v>1711600.3</v>
      </c>
      <c r="D205" s="95">
        <f>7831.64+203650.34</f>
        <v>211481.98</v>
      </c>
      <c r="E205" s="95">
        <f>721332.96+179713.3</f>
        <v>901046.26</v>
      </c>
      <c r="F205" s="95"/>
      <c r="G205" s="95"/>
      <c r="H205" s="269"/>
    </row>
    <row r="206" ht="15.75" customHeight="1">
      <c r="A206" s="171" t="s">
        <v>375</v>
      </c>
      <c r="B206" s="63" t="s">
        <v>376</v>
      </c>
      <c r="C206" s="330">
        <v>1691705.89</v>
      </c>
      <c r="D206" s="95">
        <v>437531.77</v>
      </c>
      <c r="E206" s="95">
        <v>460876.48</v>
      </c>
      <c r="F206" s="95"/>
      <c r="G206" s="95"/>
      <c r="H206" s="269"/>
    </row>
    <row r="207" ht="15.75" customHeight="1">
      <c r="A207" s="171" t="s">
        <v>439</v>
      </c>
      <c r="B207" s="63" t="s">
        <v>527</v>
      </c>
      <c r="C207" s="330">
        <v>2409265.52</v>
      </c>
      <c r="D207" s="269"/>
      <c r="E207" s="95" t="str">
        <f>#REF!</f>
        <v>#REF!</v>
      </c>
      <c r="F207" s="95" t="str">
        <f>C207-E207</f>
        <v>#REF!</v>
      </c>
      <c r="G207" s="95"/>
      <c r="H207" s="269"/>
    </row>
    <row r="208" ht="15.75" customHeight="1">
      <c r="A208" s="171" t="s">
        <v>67</v>
      </c>
      <c r="B208" s="63" t="s">
        <v>529</v>
      </c>
      <c r="C208" s="330">
        <v>53240.0</v>
      </c>
      <c r="D208" s="269"/>
      <c r="E208" s="95">
        <v>21296.0</v>
      </c>
      <c r="F208" s="95">
        <v>23958.0</v>
      </c>
      <c r="G208" s="95"/>
      <c r="H208" s="299">
        <v>7986.0</v>
      </c>
    </row>
    <row r="209" ht="15.75" customHeight="1">
      <c r="A209" s="171" t="s">
        <v>294</v>
      </c>
      <c r="B209" s="63" t="s">
        <v>295</v>
      </c>
      <c r="C209" s="330">
        <v>2734721.71</v>
      </c>
      <c r="D209" s="95">
        <v>71492.01</v>
      </c>
      <c r="E209" s="95">
        <v>2663229.7</v>
      </c>
      <c r="F209" s="95"/>
      <c r="G209" s="95"/>
      <c r="H209" s="269"/>
    </row>
    <row r="210" ht="15.75" customHeight="1">
      <c r="A210" s="171" t="s">
        <v>498</v>
      </c>
      <c r="B210" s="63" t="s">
        <v>499</v>
      </c>
      <c r="C210" s="330">
        <v>160845.3</v>
      </c>
      <c r="D210" s="95">
        <v>17017.43</v>
      </c>
      <c r="E210" s="95">
        <f>143827.87+16084.53</f>
        <v>159912.4</v>
      </c>
      <c r="F210" s="95"/>
      <c r="G210" s="95"/>
      <c r="H210" s="269"/>
    </row>
    <row r="211" ht="15.75" customHeight="1">
      <c r="A211" s="171" t="s">
        <v>43</v>
      </c>
      <c r="B211" s="63" t="s">
        <v>425</v>
      </c>
      <c r="C211" s="330">
        <v>5669334.0</v>
      </c>
      <c r="D211" s="95"/>
      <c r="E211" s="95">
        <v>1700000.0</v>
      </c>
      <c r="F211" s="95">
        <v>3250000.0</v>
      </c>
      <c r="G211" s="97">
        <f t="shared" ref="G211:G212" si="11">C211-E211-F211</f>
        <v>719334</v>
      </c>
      <c r="H211" s="269"/>
    </row>
    <row r="212" ht="15.75" customHeight="1">
      <c r="A212" s="171" t="s">
        <v>57</v>
      </c>
      <c r="B212" s="63" t="s">
        <v>434</v>
      </c>
      <c r="C212" s="330">
        <v>799526.0</v>
      </c>
      <c r="D212" s="95"/>
      <c r="E212" s="95">
        <v>250000.0</v>
      </c>
      <c r="F212" s="95">
        <v>500000.0</v>
      </c>
      <c r="G212" s="97">
        <f t="shared" si="11"/>
        <v>49526</v>
      </c>
      <c r="H212" s="269"/>
    </row>
    <row r="213" ht="15.75" customHeight="1">
      <c r="A213" s="171"/>
      <c r="B213" s="63"/>
      <c r="C213" s="330"/>
      <c r="D213" s="300"/>
      <c r="E213" s="95"/>
      <c r="F213" s="95"/>
      <c r="G213" s="95"/>
      <c r="H213" s="95"/>
    </row>
    <row r="214" ht="15.75" customHeight="1">
      <c r="A214" s="331" t="s">
        <v>565</v>
      </c>
      <c r="B214" s="63"/>
      <c r="C214" s="128"/>
      <c r="D214" s="63"/>
      <c r="E214" s="63"/>
      <c r="F214" s="63"/>
      <c r="G214" s="63"/>
      <c r="H214" s="63"/>
    </row>
    <row r="215" ht="15.75" customHeight="1">
      <c r="A215" s="331" t="s">
        <v>531</v>
      </c>
      <c r="B215" s="63"/>
      <c r="C215" s="128"/>
      <c r="D215" s="63"/>
      <c r="E215" s="63"/>
      <c r="F215" s="63"/>
      <c r="G215" s="63"/>
      <c r="H215" s="63"/>
    </row>
    <row r="216" ht="15.75" customHeight="1">
      <c r="A216" s="331" t="s">
        <v>533</v>
      </c>
      <c r="B216" s="63"/>
      <c r="C216" s="128"/>
      <c r="D216" s="97"/>
      <c r="E216" s="63"/>
      <c r="F216" s="63"/>
      <c r="G216" s="63"/>
      <c r="H216" s="63"/>
    </row>
  </sheetData>
  <mergeCells count="3">
    <mergeCell ref="B1:G1"/>
    <mergeCell ref="E201:G201"/>
    <mergeCell ref="D202:H202"/>
  </mergeCells>
  <hyperlinks>
    <hyperlink r:id="rId4" ref="I109"/>
  </hyperlinks>
  <printOptions/>
  <pageMargins bottom="0.75" footer="0.0" header="0.0" left="0.7" right="0.7" top="0.75"/>
  <pageSetup orientation="landscape"/>
  <drawing r:id="rId5"/>
  <legacyDrawing r:id="rId6"/>
</worksheet>
</file>