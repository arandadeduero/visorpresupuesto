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3" sheetId="2" r:id="rId6"/>
  </sheets>
  <definedNames/>
  <calcPr/>
</workbook>
</file>

<file path=xl/sharedStrings.xml><?xml version="1.0" encoding="utf-8"?>
<sst xmlns="http://schemas.openxmlformats.org/spreadsheetml/2006/main" count="80" uniqueCount="42">
  <si>
    <t>PREVISIÓN CARGA FINANCIERA 2024</t>
  </si>
  <si>
    <t>Columna1</t>
  </si>
  <si>
    <t>Columna2</t>
  </si>
  <si>
    <t>Columna3</t>
  </si>
  <si>
    <t>Columna4</t>
  </si>
  <si>
    <t>Columna5</t>
  </si>
  <si>
    <t>Columna6</t>
  </si>
  <si>
    <t>PRESTAMO 2017</t>
  </si>
  <si>
    <t>DIFERENCIAL:</t>
  </si>
  <si>
    <t xml:space="preserve">                  AMORTIZ TRIMESTRAL:</t>
  </si>
  <si>
    <t>(EURIBOR TRIM)</t>
  </si>
  <si>
    <t>PRIMER TRIMESTRE:</t>
  </si>
  <si>
    <t>CAPITAL VIVO:</t>
  </si>
  <si>
    <t>TIPO DE INTERES (EURIBOR +0,600)</t>
  </si>
  <si>
    <t>INTERESES PRIMER TRIMESTRE:</t>
  </si>
  <si>
    <t>SEGUNDO TRIMESTRE</t>
  </si>
  <si>
    <t>INTERESES SEGUNDO TRIMESTRE:</t>
  </si>
  <si>
    <t>TERCER TRIMESTRE</t>
  </si>
  <si>
    <t>INTERESES TERCER TRIMESTRE:</t>
  </si>
  <si>
    <t>CUARTO TRIMESTRE</t>
  </si>
  <si>
    <t>INTERESES CUARTO TRIMESTRE:</t>
  </si>
  <si>
    <t>INTERESES PRESTAMO PTO. 2017</t>
  </si>
  <si>
    <t>AMORTIZ. PRESTAMO PTO. 2017</t>
  </si>
  <si>
    <t>PRESTAMO 2018</t>
  </si>
  <si>
    <t>TIPO DE INTERES (EURIBOR +0,35%)</t>
  </si>
  <si>
    <t>INTERESES PRESTAMO PTO. 2018</t>
  </si>
  <si>
    <t>AMORTIZ. PRESTAMO PTO. 2018</t>
  </si>
  <si>
    <t>PRESTAMO 2021</t>
  </si>
  <si>
    <t xml:space="preserve">FIN CARENCIA Y DISPOSICION: </t>
  </si>
  <si>
    <t>(EURIBOR ANUAL)</t>
  </si>
  <si>
    <t>AMORTIZACION ANUAL</t>
  </si>
  <si>
    <t>INTERESES PRESTAMO PTO. 2021</t>
  </si>
  <si>
    <t>AMORTIZ. PRESTAMO PTO. 2021</t>
  </si>
  <si>
    <t>TOTAL INTERESES 2024</t>
  </si>
  <si>
    <t>TOTAL  AMORTIZACIÓN 2024</t>
  </si>
  <si>
    <t>PREVISIÓN EVOLUCIÓN TIPOS DE INTERÉS</t>
  </si>
  <si>
    <t>EURIBOR ANUAL (DIC 2023)</t>
  </si>
  <si>
    <t>EURIBOR TRIMESTRAL</t>
  </si>
  <si>
    <t>1º TRIM</t>
  </si>
  <si>
    <t>2º TRIM</t>
  </si>
  <si>
    <t>3º TRIM</t>
  </si>
  <si>
    <t>4º TRIM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</si>
</sst>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D/M/YYYY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0"/>
      <name val="Arial"/>
    </font>
    <font/>
    <font>
      <sz val="10.0"/>
      <color rgb="FF993300"/>
      <name val="Arial"/>
    </font>
    <font>
      <b/>
      <sz val="9.0"/>
      <color theme="0"/>
      <name val="Arial"/>
    </font>
    <font>
      <b/>
      <sz val="9.0"/>
      <color theme="1"/>
      <name val="Arial"/>
    </font>
    <font>
      <b/>
      <sz val="10.0"/>
      <color theme="1"/>
      <name val="Arial"/>
    </font>
    <font>
      <b/>
      <sz val="10.0"/>
      <color rgb="FF993300"/>
      <name val="Arial"/>
    </font>
    <font>
      <sz val="9.0"/>
      <color theme="1"/>
      <name val="Arial"/>
    </font>
    <font>
      <b/>
      <sz val="5.0"/>
      <color theme="1"/>
      <name val="Arial"/>
    </font>
    <font>
      <b/>
      <sz val="6.0"/>
      <color theme="1"/>
      <name val="Arial"/>
    </font>
    <font>
      <b/>
      <sz val="10.0"/>
      <color rgb="FF548DD4"/>
      <name val="Arial"/>
    </font>
    <font>
      <b/>
      <sz val="7.0"/>
      <color theme="1"/>
      <name val="Arial"/>
    </font>
    <font>
      <sz val="7.0"/>
      <color theme="1"/>
      <name val="Arial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95B3D7"/>
        <bgColor rgb="FF95B3D7"/>
      </patternFill>
    </fill>
    <fill>
      <patternFill patternType="solid">
        <fgColor rgb="FF548DD4"/>
        <bgColor rgb="FF548DD4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4" xfId="0" applyAlignment="1" applyFont="1" applyNumberFormat="1">
      <alignment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5" fillId="3" fontId="5" numFmtId="4" xfId="0" applyAlignment="1" applyBorder="1" applyFill="1" applyFont="1" applyNumberFormat="1">
      <alignment shrinkToFit="0" vertical="bottom" wrapText="0"/>
    </xf>
    <xf borderId="0" fillId="0" fontId="6" numFmtId="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7" numFmtId="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6" fillId="4" fontId="5" numFmtId="0" xfId="0" applyAlignment="1" applyBorder="1" applyFill="1" applyFont="1">
      <alignment shrinkToFit="0" vertical="bottom" wrapText="0"/>
    </xf>
    <xf borderId="7" fillId="4" fontId="5" numFmtId="4" xfId="0" applyAlignment="1" applyBorder="1" applyFill="1" applyFont="1" applyNumberFormat="1">
      <alignment shrinkToFit="0" vertical="bottom" wrapText="0"/>
    </xf>
    <xf borderId="8" fillId="0" fontId="6" numFmtId="4" xfId="0" applyAlignment="1" applyBorder="1" applyFont="1" applyNumberFormat="1">
      <alignment horizontal="center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7" numFmtId="4" xfId="0" applyAlignment="1" applyBorder="1" applyFont="1" applyNumberFormat="1">
      <alignment shrinkToFit="0" vertical="bottom" wrapText="0"/>
    </xf>
    <xf borderId="0" fillId="0" fontId="8" numFmtId="4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4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4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6" numFmtId="4" xfId="0" applyAlignment="1" applyFont="1" applyNumberFormat="1">
      <alignment horizontal="center" shrinkToFit="0" vertical="bottom" wrapText="0"/>
    </xf>
    <xf borderId="0" fillId="0" fontId="9" numFmtId="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7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4" xfId="0" applyAlignment="1" applyFont="1" applyNumberFormat="1">
      <alignment shrinkToFit="0" vertical="bottom" wrapText="0"/>
    </xf>
    <xf borderId="9" fillId="3" fontId="5" numFmtId="0" xfId="0" applyAlignment="1" applyBorder="1" applyFill="1" applyFont="1">
      <alignment shrinkToFit="0" vertical="bottom" wrapText="0"/>
    </xf>
    <xf borderId="9" fillId="3" fontId="5" numFmtId="4" xfId="0" applyAlignment="1" applyBorder="1" applyFill="1" applyFont="1" applyNumberForma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5" fillId="4" fontId="5" numFmtId="4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10" numFmtId="4" xfId="0" applyAlignment="1" applyFont="1" applyNumberFormat="1">
      <alignment horizontal="right" shrinkToFit="0" vertical="bottom" wrapText="0"/>
    </xf>
    <xf borderId="0" fillId="0" fontId="6" numFmtId="165" xfId="0" applyAlignment="1" applyFont="1" applyNumberFormat="1">
      <alignment shrinkToFit="0" vertical="bottom" wrapText="0"/>
    </xf>
    <xf borderId="8" fillId="0" fontId="10" numFmtId="4" xfId="0" applyAlignment="1" applyBorder="1" applyFont="1" applyNumberFormat="1">
      <alignment horizontal="right" shrinkToFit="0" vertical="bottom" wrapText="0"/>
    </xf>
    <xf borderId="8" fillId="0" fontId="6" numFmtId="165" xfId="0" applyAlignment="1" applyBorder="1" applyFont="1" applyNumberFormat="1">
      <alignment shrinkToFit="0" vertical="bottom" wrapText="0"/>
    </xf>
    <xf borderId="0" fillId="0" fontId="11" numFmtId="4" xfId="0" applyAlignment="1" applyFont="1" applyNumberFormat="1">
      <alignment horizontal="right"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10" fillId="4" fontId="5" numFmtId="0" xfId="0" applyAlignment="1" applyBorder="1" applyFill="1" applyFont="1">
      <alignment shrinkToFit="0" vertical="center" wrapText="0"/>
    </xf>
    <xf borderId="6" fillId="4" fontId="5" numFmtId="0" xfId="0" applyAlignment="1" applyBorder="1" applyFill="1" applyFont="1">
      <alignment shrinkToFit="0" vertical="center" wrapText="0"/>
    </xf>
    <xf borderId="10" fillId="4" fontId="5" numFmtId="0" xfId="0" applyAlignment="1" applyBorder="1" applyFill="1" applyFont="1">
      <alignment horizontal="right" shrinkToFit="0" vertical="center" wrapText="0"/>
    </xf>
    <xf borderId="11" fillId="4" fontId="5" numFmtId="4" xfId="0" applyAlignment="1" applyBorder="1" applyFill="1" applyFont="1" applyNumberFormat="1">
      <alignment horizontal="right" shrinkToFit="0" vertical="center" wrapText="0"/>
    </xf>
    <xf borderId="0" fillId="0" fontId="12" numFmtId="0" xfId="0" applyAlignment="1" applyFont="1">
      <alignment shrinkToFit="0" vertical="bottom" wrapText="0"/>
    </xf>
    <xf borderId="12" fillId="0" fontId="13" numFmtId="0" xfId="0" applyAlignment="1" applyBorder="1" applyFont="1">
      <alignment horizontal="center" shrinkToFit="0" vertical="bottom" wrapText="0"/>
    </xf>
    <xf borderId="13" fillId="0" fontId="3" numFmtId="0" xfId="0" applyBorder="1" applyFont="1"/>
    <xf borderId="14" fillId="0" fontId="3" numFmtId="0" xfId="0" applyBorder="1" applyFont="1"/>
    <xf borderId="15" fillId="0" fontId="1" numFmtId="10" xfId="0" applyAlignment="1" applyBorder="1" applyFont="1" applyNumberFormat="1">
      <alignment horizontal="center" shrinkToFit="0" vertical="bottom" wrapText="0"/>
    </xf>
    <xf borderId="16" fillId="0" fontId="3" numFmtId="0" xfId="0" applyBorder="1" applyFont="1"/>
    <xf borderId="17" fillId="0" fontId="14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0" xfId="0" applyAlignment="1" applyFont="1" applyNumberFormat="1">
      <alignment horizontal="center"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15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3">
    <tableStyle count="4" pivot="0" name="Hoja1-style">
      <tableStyleElement dxfId="1" type="headerRow"/>
      <tableStyleElement dxfId="2" type="firstRowStripe"/>
      <tableStyleElement dxfId="2" type="secondRowStripe"/>
      <tableStyleElement dxfId="1" type="totalRow"/>
    </tableStyle>
    <tableStyle count="4" pivot="0" name="Hoja1-style 2">
      <tableStyleElement dxfId="1" type="headerRow"/>
      <tableStyleElement dxfId="2" type="firstRowStripe"/>
      <tableStyleElement dxfId="2" type="secondRowStripe"/>
      <tableStyleElement dxfId="1" type="totalRow"/>
    </tableStyle>
    <tableStyle count="4" pivot="0" name="Hoja1-style 3">
      <tableStyleElement dxfId="1" type="headerRow"/>
      <tableStyleElement dxfId="2" type="firstRowStripe"/>
      <tableStyleElement dxfId="2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3:G32" displayName="Table_1" name="Table_1" id="1">
  <tableColumns count="6">
    <tableColumn name="Columna1" id="1"/>
    <tableColumn name="Columna2" id="2"/>
    <tableColumn name="Columna3" id="3"/>
    <tableColumn name="Columna4" id="4"/>
    <tableColumn totalsRowLabel="AMORTIZ. PRESTAMO PTO. 2017" name="Columna5" id="5"/>
    <tableColumn totalsRowFunction="custom" name="Columna6" id="6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totalsRowCount="1" ref="B35:G64" displayName="Table_2" name="Table_2" id="2">
  <tableColumns count="6">
    <tableColumn name="Columna1" id="1"/>
    <tableColumn name="Columna2" id="2"/>
    <tableColumn name="Columna3" id="3"/>
    <tableColumn name="Columna4" id="4"/>
    <tableColumn totalsRowLabel="AMORTIZ. PRESTAMO PTO. 2018" name="Columna5" id="5"/>
    <tableColumn totalsRowFunction="custom" name="Columna6" id="6"/>
  </tableColumns>
  <tableStyleInfo name="Hoja1-style 2" showColumnStripes="0" showFirstColumn="1" showLastColumn="1" showRowStripes="1"/>
</table>
</file>

<file path=xl/tables/table3.xml><?xml version="1.0" encoding="utf-8"?>
<table xmlns="http://schemas.openxmlformats.org/spreadsheetml/2006/main" totalsRowCount="1" ref="B66:G73" displayName="Table_3" name="Table_3" id="3">
  <tableColumns count="6">
    <tableColumn name="Columna1" id="1"/>
    <tableColumn name="Columna2" id="2"/>
    <tableColumn name="Columna3" id="3"/>
    <tableColumn name="Columna4" id="4"/>
    <tableColumn totalsRowLabel="AMORTIZ. PRESTAMO PTO. 2021" name="Columna5" id="5"/>
    <tableColumn totalsRowFunction="custom" name="Columna6" id="6"/>
  </tableColumns>
  <tableStyleInfo name="Hoja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3" width="11.38"/>
    <col customWidth="1" min="4" max="4" width="17.63"/>
    <col customWidth="1" min="5" max="5" width="10.88"/>
    <col customWidth="1" min="6" max="6" width="9.0"/>
    <col customWidth="1" min="7" max="7" width="12.13"/>
    <col customWidth="1" min="8" max="8" width="11.38"/>
    <col customWidth="1" min="9" max="9" width="20.38"/>
    <col customWidth="1" min="10" max="11" width="13.38"/>
    <col customWidth="1" min="12" max="12" width="1.13"/>
    <col customWidth="1" min="13" max="13" width="7.0"/>
    <col customWidth="1" min="14" max="14" width="8.38"/>
    <col customWidth="1" min="15" max="15" width="11.38"/>
    <col customWidth="1" min="16" max="26" width="10.0"/>
  </cols>
  <sheetData>
    <row r="1" ht="17.25" customHeight="1">
      <c r="A1" s="2"/>
      <c r="B1" s="2"/>
      <c r="C1" s="3" t="s">
        <v>0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/>
      <c r="C2" s="2"/>
      <c r="D2" s="2"/>
      <c r="E2" s="2"/>
      <c r="F2" s="2"/>
      <c r="G2" s="2"/>
      <c r="H2" s="6"/>
      <c r="I2" s="6"/>
      <c r="J2" s="6"/>
      <c r="K2" s="6"/>
      <c r="L2" s="6"/>
      <c r="M2" s="6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hidden="1" customHeight="1">
      <c r="A3" s="2"/>
      <c r="B3" s="7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11" t="s">
        <v>6</v>
      </c>
      <c r="H3" s="6"/>
      <c r="I3" s="6"/>
      <c r="J3" s="6"/>
      <c r="K3" s="12"/>
      <c r="L3" s="6"/>
      <c r="M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13" t="s">
        <v>7</v>
      </c>
      <c r="C4" s="13"/>
      <c r="D4" s="14">
        <v>362528.65</v>
      </c>
      <c r="E4" s="15"/>
      <c r="F4" s="16"/>
      <c r="G4" s="17"/>
      <c r="H4" s="6"/>
      <c r="I4" s="6"/>
      <c r="J4" s="2"/>
      <c r="K4" s="18"/>
      <c r="L4" s="19"/>
      <c r="M4" s="6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0" t="s">
        <v>8</v>
      </c>
      <c r="C5" s="21">
        <v>0.006</v>
      </c>
      <c r="D5" s="22" t="s">
        <v>9</v>
      </c>
      <c r="E5" s="10"/>
      <c r="F5" s="23"/>
      <c r="G5" s="11">
        <v>9063.21</v>
      </c>
      <c r="H5" s="24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0" t="s">
        <v>10</v>
      </c>
      <c r="C6" s="20"/>
      <c r="D6" s="20"/>
      <c r="E6" s="20"/>
      <c r="F6" s="20"/>
      <c r="G6" s="25"/>
      <c r="H6" s="2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0" t="s">
        <v>11</v>
      </c>
      <c r="C7" s="20"/>
      <c r="D7" s="20" t="s">
        <v>12</v>
      </c>
      <c r="E7" s="20"/>
      <c r="F7" s="20"/>
      <c r="G7" s="26">
        <v>135948.27</v>
      </c>
      <c r="H7" s="2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0"/>
      <c r="C8" s="20"/>
      <c r="D8" s="20"/>
      <c r="E8" s="20"/>
      <c r="F8" s="20"/>
      <c r="G8" s="25"/>
      <c r="H8" s="2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0"/>
      <c r="C9" s="20"/>
      <c r="D9" s="20" t="s">
        <v>13</v>
      </c>
      <c r="E9" s="20"/>
      <c r="F9" s="20"/>
      <c r="G9" s="21">
        <f>D83+C5</f>
        <v>0.044</v>
      </c>
      <c r="H9" s="24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0"/>
      <c r="C10" s="20"/>
      <c r="D10" s="20"/>
      <c r="E10" s="20"/>
      <c r="F10" s="20"/>
      <c r="G10" s="25"/>
      <c r="H10" s="24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0"/>
      <c r="C11" s="20"/>
      <c r="D11" s="20" t="s">
        <v>14</v>
      </c>
      <c r="E11" s="20"/>
      <c r="F11" s="20"/>
      <c r="G11" s="25">
        <f>((G7*G9)/365)*90</f>
        <v>1474.945614</v>
      </c>
      <c r="H11" s="24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0"/>
      <c r="C12" s="20"/>
      <c r="D12" s="20"/>
      <c r="E12" s="20"/>
      <c r="F12" s="20"/>
      <c r="G12" s="25"/>
      <c r="H12" s="2"/>
      <c r="I12" s="2"/>
      <c r="J12" s="2"/>
      <c r="K12" s="2"/>
      <c r="L12" s="2"/>
      <c r="M12" s="2"/>
      <c r="N12" s="2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0" t="s">
        <v>15</v>
      </c>
      <c r="C13" s="20"/>
      <c r="D13" s="20" t="s">
        <v>12</v>
      </c>
      <c r="E13" s="20"/>
      <c r="F13" s="20"/>
      <c r="G13" s="25">
        <f>G7-G5</f>
        <v>126885.06</v>
      </c>
      <c r="H13" s="2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0"/>
      <c r="C14" s="20"/>
      <c r="D14" s="20"/>
      <c r="E14" s="20"/>
      <c r="F14" s="20"/>
      <c r="G14" s="25"/>
      <c r="H14" s="2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0"/>
      <c r="C15" s="20"/>
      <c r="D15" s="20" t="s">
        <v>13</v>
      </c>
      <c r="E15" s="20"/>
      <c r="F15" s="20"/>
      <c r="G15" s="21">
        <f>E83+C5</f>
        <v>0.043</v>
      </c>
      <c r="H15" s="2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0"/>
      <c r="C16" s="20"/>
      <c r="D16" s="20"/>
      <c r="E16" s="20"/>
      <c r="F16" s="20"/>
      <c r="G16" s="25"/>
      <c r="H16" s="2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0"/>
      <c r="C17" s="20"/>
      <c r="D17" s="20" t="s">
        <v>16</v>
      </c>
      <c r="E17" s="20"/>
      <c r="F17" s="20"/>
      <c r="G17" s="25">
        <f>((G13*G15)/365)*90</f>
        <v>1345.329266</v>
      </c>
      <c r="H17" s="24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0"/>
      <c r="C18" s="20"/>
      <c r="D18" s="20"/>
      <c r="E18" s="20"/>
      <c r="F18" s="20"/>
      <c r="G18" s="25"/>
      <c r="H18" s="2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0" t="s">
        <v>17</v>
      </c>
      <c r="C19" s="20"/>
      <c r="D19" s="20" t="s">
        <v>12</v>
      </c>
      <c r="E19" s="20"/>
      <c r="F19" s="20"/>
      <c r="G19" s="25">
        <f>G13-G5</f>
        <v>117821.85</v>
      </c>
      <c r="H19" s="2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0"/>
      <c r="C20" s="20"/>
      <c r="D20" s="20"/>
      <c r="E20" s="20"/>
      <c r="F20" s="20"/>
      <c r="G20" s="25"/>
      <c r="H20" s="2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0"/>
      <c r="C21" s="20"/>
      <c r="D21" s="20" t="s">
        <v>13</v>
      </c>
      <c r="E21" s="20"/>
      <c r="F21" s="20"/>
      <c r="G21" s="21">
        <f>C5+F83</f>
        <v>0.04</v>
      </c>
      <c r="H21" s="2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0"/>
      <c r="C22" s="20"/>
      <c r="D22" s="20"/>
      <c r="E22" s="20"/>
      <c r="F22" s="20"/>
      <c r="G22" s="25"/>
      <c r="H22" s="2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0"/>
      <c r="C23" s="20"/>
      <c r="D23" s="20" t="s">
        <v>18</v>
      </c>
      <c r="E23" s="20"/>
      <c r="F23" s="20"/>
      <c r="G23" s="25">
        <f>((G19*G21)/365)*90</f>
        <v>1162.078521</v>
      </c>
      <c r="H23" s="2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0"/>
      <c r="C24" s="20"/>
      <c r="D24" s="20"/>
      <c r="E24" s="20"/>
      <c r="F24" s="20"/>
      <c r="G24" s="25"/>
      <c r="H24" s="2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0" t="s">
        <v>19</v>
      </c>
      <c r="C25" s="20"/>
      <c r="D25" s="20" t="s">
        <v>12</v>
      </c>
      <c r="E25" s="20"/>
      <c r="F25" s="20"/>
      <c r="G25" s="25">
        <f>G19-G5</f>
        <v>108758.64</v>
      </c>
      <c r="H25" s="2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0"/>
      <c r="C26" s="20"/>
      <c r="D26" s="20"/>
      <c r="E26" s="20"/>
      <c r="F26" s="20"/>
      <c r="G26" s="25"/>
      <c r="H26" s="2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0"/>
      <c r="C27" s="20"/>
      <c r="D27" s="20" t="s">
        <v>13</v>
      </c>
      <c r="E27" s="20"/>
      <c r="F27" s="20"/>
      <c r="G27" s="21">
        <f>G83+C5</f>
        <v>0.039</v>
      </c>
      <c r="H27" s="2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0"/>
      <c r="C28" s="20"/>
      <c r="D28" s="20"/>
      <c r="E28" s="20"/>
      <c r="F28" s="20"/>
      <c r="G28" s="25"/>
      <c r="H28" s="2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0"/>
      <c r="C29" s="20"/>
      <c r="D29" s="20" t="s">
        <v>20</v>
      </c>
      <c r="E29" s="20"/>
      <c r="F29" s="20"/>
      <c r="G29" s="25">
        <f>((G25*G27)/365)*90</f>
        <v>1045.870757</v>
      </c>
      <c r="H29" s="2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0"/>
      <c r="C30" s="20"/>
      <c r="D30" s="20"/>
      <c r="E30" s="20"/>
      <c r="F30" s="20"/>
      <c r="G30" s="25"/>
      <c r="H30" s="2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0"/>
      <c r="C31" s="29"/>
      <c r="D31" s="29"/>
      <c r="E31" s="29"/>
      <c r="F31" s="30" t="s">
        <v>21</v>
      </c>
      <c r="G31" s="23">
        <f>G11+G17+G23+G29</f>
        <v>5028.224158</v>
      </c>
      <c r="H31" s="2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0"/>
      <c r="C32" s="29"/>
      <c r="D32" s="29"/>
      <c r="E32" s="29"/>
      <c r="F32" s="30" t="s">
        <v>22</v>
      </c>
      <c r="G32" s="23">
        <f>G5*4</f>
        <v>36252.84</v>
      </c>
      <c r="H32" s="2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31"/>
      <c r="C33" s="32"/>
      <c r="D33" s="32"/>
      <c r="E33" s="32"/>
      <c r="F33" s="32"/>
      <c r="G33" s="33"/>
      <c r="H33" s="2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hidden="1" customHeight="1">
      <c r="A34" s="2"/>
      <c r="B34" s="31"/>
      <c r="C34" s="32"/>
      <c r="D34" s="32"/>
      <c r="E34" s="32"/>
      <c r="F34" s="32"/>
      <c r="G34" s="33"/>
      <c r="H34" s="2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hidden="1" customHeight="1">
      <c r="A35" s="2"/>
      <c r="B35" s="34" t="s">
        <v>1</v>
      </c>
      <c r="C35" s="34" t="s">
        <v>2</v>
      </c>
      <c r="D35" s="35" t="s">
        <v>3</v>
      </c>
      <c r="E35" s="9" t="s">
        <v>4</v>
      </c>
      <c r="F35" s="10" t="s">
        <v>5</v>
      </c>
      <c r="G35" s="11" t="s">
        <v>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36" t="s">
        <v>23</v>
      </c>
      <c r="C36" s="36"/>
      <c r="D36" s="37">
        <v>2051624.51</v>
      </c>
      <c r="E36" s="9"/>
      <c r="F36" s="10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0" t="s">
        <v>8</v>
      </c>
      <c r="C37" s="21">
        <v>0.0035</v>
      </c>
      <c r="D37" s="22" t="s">
        <v>9</v>
      </c>
      <c r="E37" s="10"/>
      <c r="F37" s="23"/>
      <c r="G37" s="11">
        <f>D36/40</f>
        <v>51290.61275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0" t="s">
        <v>10</v>
      </c>
      <c r="C38" s="20"/>
      <c r="D38" s="20"/>
      <c r="E38" s="20"/>
      <c r="F38" s="20"/>
      <c r="G38" s="2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0" t="s">
        <v>11</v>
      </c>
      <c r="C39" s="20"/>
      <c r="D39" s="20" t="s">
        <v>12</v>
      </c>
      <c r="E39" s="20"/>
      <c r="F39" s="20"/>
      <c r="G39" s="26">
        <v>1025812.27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0"/>
      <c r="C40" s="20"/>
      <c r="D40" s="20"/>
      <c r="E40" s="20"/>
      <c r="F40" s="20"/>
      <c r="G40" s="2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0"/>
      <c r="C41" s="20"/>
      <c r="D41" s="20" t="s">
        <v>24</v>
      </c>
      <c r="E41" s="20"/>
      <c r="F41" s="20"/>
      <c r="G41" s="21">
        <f>C37+D83</f>
        <v>0.0415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0"/>
      <c r="C42" s="20"/>
      <c r="D42" s="20"/>
      <c r="E42" s="20"/>
      <c r="F42" s="20"/>
      <c r="G42" s="2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0"/>
      <c r="C43" s="20"/>
      <c r="D43" s="20" t="s">
        <v>14</v>
      </c>
      <c r="E43" s="20"/>
      <c r="F43" s="20"/>
      <c r="G43" s="25">
        <f>G39*G41*90/365</f>
        <v>10497.01049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0"/>
      <c r="C44" s="20"/>
      <c r="D44" s="20"/>
      <c r="E44" s="20"/>
      <c r="F44" s="20"/>
      <c r="G44" s="2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0" t="s">
        <v>15</v>
      </c>
      <c r="C45" s="20"/>
      <c r="D45" s="20" t="s">
        <v>12</v>
      </c>
      <c r="E45" s="20"/>
      <c r="F45" s="20"/>
      <c r="G45" s="26">
        <f>G39-G37</f>
        <v>974521.6573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0"/>
      <c r="C46" s="20"/>
      <c r="D46" s="20"/>
      <c r="E46" s="20"/>
      <c r="F46" s="20"/>
      <c r="G46" s="2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0"/>
      <c r="C47" s="20"/>
      <c r="D47" s="20" t="s">
        <v>24</v>
      </c>
      <c r="E47" s="20"/>
      <c r="F47" s="20"/>
      <c r="G47" s="21">
        <f>C37+E83</f>
        <v>0.0405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0"/>
      <c r="C48" s="20"/>
      <c r="D48" s="20"/>
      <c r="E48" s="20"/>
      <c r="F48" s="20"/>
      <c r="G48" s="2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0"/>
      <c r="C49" s="20"/>
      <c r="D49" s="20" t="s">
        <v>16</v>
      </c>
      <c r="E49" s="20"/>
      <c r="F49" s="20"/>
      <c r="G49" s="25">
        <f>G45*G47*90/365</f>
        <v>9731.866961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0"/>
      <c r="C50" s="20"/>
      <c r="D50" s="20"/>
      <c r="E50" s="20"/>
      <c r="F50" s="20"/>
      <c r="G50" s="2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0" t="s">
        <v>17</v>
      </c>
      <c r="C51" s="20"/>
      <c r="D51" s="20" t="s">
        <v>12</v>
      </c>
      <c r="E51" s="20"/>
      <c r="F51" s="20"/>
      <c r="G51" s="25">
        <f>G45-G37</f>
        <v>923231.0445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0"/>
      <c r="C52" s="20"/>
      <c r="D52" s="20"/>
      <c r="E52" s="20"/>
      <c r="F52" s="20"/>
      <c r="G52" s="2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0"/>
      <c r="C53" s="20"/>
      <c r="D53" s="20" t="s">
        <v>24</v>
      </c>
      <c r="E53" s="20"/>
      <c r="F53" s="20"/>
      <c r="G53" s="21">
        <f>C37+F83</f>
        <v>0.0375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0"/>
      <c r="C54" s="20"/>
      <c r="D54" s="20"/>
      <c r="E54" s="20"/>
      <c r="F54" s="20"/>
      <c r="G54" s="2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0"/>
      <c r="C55" s="20"/>
      <c r="D55" s="20" t="s">
        <v>18</v>
      </c>
      <c r="E55" s="20"/>
      <c r="F55" s="20"/>
      <c r="G55" s="25">
        <f>G51*G53*90/365</f>
        <v>8536.725411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0"/>
      <c r="C56" s="20"/>
      <c r="D56" s="20"/>
      <c r="E56" s="20"/>
      <c r="F56" s="20"/>
      <c r="G56" s="2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0" t="s">
        <v>19</v>
      </c>
      <c r="C57" s="20"/>
      <c r="D57" s="20" t="s">
        <v>12</v>
      </c>
      <c r="E57" s="20"/>
      <c r="F57" s="20"/>
      <c r="G57" s="25">
        <f>G51-G37</f>
        <v>871940.4318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0"/>
      <c r="C58" s="20"/>
      <c r="D58" s="20"/>
      <c r="E58" s="20"/>
      <c r="F58" s="20"/>
      <c r="G58" s="2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0"/>
      <c r="C59" s="20"/>
      <c r="D59" s="20" t="s">
        <v>24</v>
      </c>
      <c r="E59" s="20"/>
      <c r="F59" s="20"/>
      <c r="G59" s="21">
        <f>C37+G83</f>
        <v>0.0365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0"/>
      <c r="C60" s="20"/>
      <c r="D60" s="20"/>
      <c r="E60" s="20"/>
      <c r="F60" s="20"/>
      <c r="G60" s="2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0"/>
      <c r="C61" s="20"/>
      <c r="D61" s="20" t="s">
        <v>20</v>
      </c>
      <c r="E61" s="20"/>
      <c r="F61" s="20"/>
      <c r="G61" s="25">
        <f>G57*G59*90/365</f>
        <v>7847.463886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0"/>
      <c r="C62" s="20"/>
      <c r="D62" s="20"/>
      <c r="E62" s="20"/>
      <c r="F62" s="20"/>
      <c r="G62" s="2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0"/>
      <c r="C63" s="10"/>
      <c r="D63" s="29"/>
      <c r="E63" s="29"/>
      <c r="F63" s="30" t="s">
        <v>25</v>
      </c>
      <c r="G63" s="23">
        <f>G43+G49+G55+G61</f>
        <v>36613.06675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0"/>
      <c r="C64" s="10"/>
      <c r="D64" s="29"/>
      <c r="E64" s="29"/>
      <c r="F64" s="30" t="s">
        <v>26</v>
      </c>
      <c r="G64" s="23">
        <f>G37*4</f>
        <v>205162.451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4"/>
      <c r="C65" s="2"/>
      <c r="D65" s="32"/>
      <c r="E65" s="32"/>
      <c r="F65" s="38"/>
      <c r="G65" s="3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hidden="1" customHeight="1">
      <c r="A66" s="2"/>
      <c r="B66" s="7" t="s">
        <v>1</v>
      </c>
      <c r="C66" s="7" t="s">
        <v>2</v>
      </c>
      <c r="D66" s="8" t="s">
        <v>3</v>
      </c>
      <c r="E66" s="10" t="s">
        <v>4</v>
      </c>
      <c r="F66" s="39" t="s">
        <v>5</v>
      </c>
      <c r="G66" s="40" t="s">
        <v>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13" t="s">
        <v>27</v>
      </c>
      <c r="C67" s="13"/>
      <c r="D67" s="14">
        <v>2906376.85</v>
      </c>
      <c r="E67" s="16"/>
      <c r="F67" s="41" t="s">
        <v>28</v>
      </c>
      <c r="G67" s="42">
        <v>44926.0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0" t="s">
        <v>8</v>
      </c>
      <c r="C68" s="21">
        <v>0.0026</v>
      </c>
      <c r="D68" s="23"/>
      <c r="E68" s="10"/>
      <c r="F68" s="43"/>
      <c r="G68" s="4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0" t="s">
        <v>29</v>
      </c>
      <c r="C69" s="20"/>
      <c r="D69" s="23"/>
      <c r="E69" s="10"/>
      <c r="F69" s="43"/>
      <c r="G69" s="4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45"/>
      <c r="C70" s="20"/>
      <c r="D70" s="20" t="s">
        <v>12</v>
      </c>
      <c r="E70" s="20"/>
      <c r="F70" s="20"/>
      <c r="G70" s="26">
        <v>2615739.17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0"/>
      <c r="C71" s="20"/>
      <c r="D71" s="20" t="s">
        <v>30</v>
      </c>
      <c r="E71" s="20"/>
      <c r="F71" s="20"/>
      <c r="G71" s="25">
        <f>D67/10</f>
        <v>290637.685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0"/>
      <c r="C72" s="10"/>
      <c r="D72" s="29"/>
      <c r="E72" s="29"/>
      <c r="F72" s="30" t="s">
        <v>31</v>
      </c>
      <c r="G72" s="23">
        <f>G70*(B82+C68)</f>
        <v>106199.0103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0"/>
      <c r="C73" s="10"/>
      <c r="D73" s="29"/>
      <c r="E73" s="29"/>
      <c r="F73" s="30" t="s">
        <v>32</v>
      </c>
      <c r="G73" s="23">
        <f>D67/10</f>
        <v>290637.685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46"/>
      <c r="D75" s="47"/>
      <c r="E75" s="47"/>
      <c r="F75" s="48" t="s">
        <v>33</v>
      </c>
      <c r="G75" s="49">
        <f t="shared" ref="G75:G76" si="1">G31+G63+G72</f>
        <v>147840.3012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46"/>
      <c r="D76" s="47"/>
      <c r="E76" s="47"/>
      <c r="F76" s="48" t="s">
        <v>34</v>
      </c>
      <c r="G76" s="49">
        <f t="shared" si="1"/>
        <v>532052.976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50" t="s">
        <v>35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51" t="s">
        <v>36</v>
      </c>
      <c r="C81" s="52"/>
      <c r="D81" s="51" t="s">
        <v>37</v>
      </c>
      <c r="E81" s="52"/>
      <c r="F81" s="52"/>
      <c r="G81" s="5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54">
        <v>0.038</v>
      </c>
      <c r="C82" s="55"/>
      <c r="D82" s="56" t="s">
        <v>38</v>
      </c>
      <c r="E82" s="56" t="s">
        <v>39</v>
      </c>
      <c r="F82" s="56" t="s">
        <v>40</v>
      </c>
      <c r="G82" s="56" t="s">
        <v>41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57"/>
      <c r="B83" s="58"/>
      <c r="D83" s="58">
        <v>0.038</v>
      </c>
      <c r="E83" s="58">
        <v>0.037</v>
      </c>
      <c r="F83" s="58">
        <v>0.034</v>
      </c>
      <c r="G83" s="58">
        <v>0.033</v>
      </c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75" customHeight="1">
      <c r="A84" s="2"/>
      <c r="B84" s="59"/>
      <c r="C84" s="2"/>
      <c r="D84" s="58"/>
      <c r="E84" s="2"/>
      <c r="F84" s="6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C1:F1"/>
    <mergeCell ref="B81:C81"/>
    <mergeCell ref="D81:G81"/>
    <mergeCell ref="B82:C82"/>
    <mergeCell ref="B83:C83"/>
  </mergeCells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>
      <c r="G12" s="1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