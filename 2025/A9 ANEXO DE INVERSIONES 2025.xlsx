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</sheets>
  <definedNames>
    <definedName name="p1320_622">'2025'!$K$6</definedName>
    <definedName name="p3370_619">'2025'!$K$205</definedName>
    <definedName name="p1360_629">'2025'!$K$23</definedName>
    <definedName name="p1640_641">'2025'!$K$127</definedName>
    <definedName name="p4330_609">'2025'!$K$263</definedName>
    <definedName name="p3420_632">'2025'!$K$233</definedName>
    <definedName name="p1650_623">#REF!</definedName>
    <definedName name="p1600_623">'2025'!$K$92</definedName>
    <definedName name="p3200_641">'2025'!$K$168</definedName>
    <definedName name="p1600_619">'2025'!$K$87</definedName>
    <definedName name="p3230_619">'2025'!$K$173</definedName>
    <definedName name="suma_total_rta">'2025'!$H$306</definedName>
    <definedName name="p1530_624">'2025'!$K$73</definedName>
    <definedName name="p3321_623">'2025'!$K$188</definedName>
    <definedName name="p4320_609">'2025'!$K$245</definedName>
    <definedName name="p1530_635">'2025'!$K$80</definedName>
    <definedName name="p1623_619">'2025'!$K$111</definedName>
    <definedName name="suma_cap6_cuentaremunerada">'2025'!$F$310</definedName>
    <definedName name="suma_cap6_subvenciones">'2025'!$I$310</definedName>
    <definedName name="suma_ingresoscorrientes">'2025'!$F$306</definedName>
    <definedName name="p2310_632">'2025'!$K$153</definedName>
    <definedName name="p1640_629">'2025'!$K$125</definedName>
    <definedName name="p1360_635">'2025'!$K$25</definedName>
    <definedName name="p3370_629">'2025'!$K$207</definedName>
    <definedName name="p1350_622">'2025'!$K$18</definedName>
    <definedName name="p4320_689">'2025'!$K$258</definedName>
    <definedName name="p1530_619">'2025'!$K$45</definedName>
    <definedName name="p1640_622">'2025'!$K$121</definedName>
    <definedName name="p1610_619">'2025'!$K$99</definedName>
    <definedName name="p3373_629">'2025'!$K$219</definedName>
    <definedName name="p3330_625">'2025'!$K$193</definedName>
    <definedName name="p1710_650">'2025'!$K$143</definedName>
    <definedName name="p1623_623">'2025'!$K$116</definedName>
    <definedName name="p3340_632">'2025'!$K$200</definedName>
    <definedName name="p4320_625">'2025'!$K$253</definedName>
    <definedName name="p3370_632">'2025'!$K$209</definedName>
    <definedName name="p1330_619">'2025'!$K$11</definedName>
    <definedName name="p4320_624">'2025'!$K$251</definedName>
    <definedName name="p1600_629">'2025'!$K$94</definedName>
    <definedName name="p4320_622">'2025'!$K$249</definedName>
    <definedName name="p1500_636">'2025'!$K$35</definedName>
    <definedName name="p9240_632">'2025'!$K$300</definedName>
    <definedName name="p9200_629">'2025'!$K$288</definedName>
    <definedName name="p3330_650">'2025'!$K$195</definedName>
    <definedName name="p9200_623">'2025'!$K$282</definedName>
    <definedName name="p4320_619">'2025'!$K$247</definedName>
    <definedName name="p9200_641">'2025'!$K$290</definedName>
    <definedName name="p4320_629">'2025'!$K$255</definedName>
    <definedName name="p2310_633">'2025'!$K$156</definedName>
    <definedName name="p1530_633">'2025'!$K$77</definedName>
    <definedName name="p4411_639">'2025'!$K$272</definedName>
    <definedName name="p4540_609">'2025'!$K$277</definedName>
    <definedName name="p9290_619">#REF!</definedName>
    <definedName name="p1350_619">'2025'!$K$16</definedName>
    <definedName name="p3372_629">'2025'!$K$214</definedName>
    <definedName name="p3262_629">'2025'!$K$183</definedName>
    <definedName name="suma_total_prestamo">'2025'!$E$306</definedName>
    <definedName name="p4330_625">'2025'!$K$267</definedName>
    <definedName name="p3380_623">'2025'!$K$224</definedName>
    <definedName name="p1500_619">'2025'!$K$32</definedName>
    <definedName name="p3110_609">'2025'!$K$163</definedName>
    <definedName name="p1710_619">'2025'!$K$138</definedName>
    <definedName name="p9200_625">'2025'!$K$284</definedName>
    <definedName name="p3261_629">'2025'!$K$178</definedName>
    <definedName name="p1360_641">'2025'!$K$27</definedName>
    <definedName name="p2310_635">'2025'!$K$158</definedName>
    <definedName name="p9200_626">'2025'!$K$286</definedName>
    <definedName name="p1610_633">'2025'!$K$105</definedName>
    <definedName name="p1522_650">'2025'!$K$40</definedName>
    <definedName name="p1721_619">'2025'!$K$148</definedName>
    <definedName name="p1650_619">'2025'!$K$132</definedName>
    <definedName name="suma_cap6">'2025'!$D$306</definedName>
    <definedName hidden="1" localSheetId="0" name="_xlnm._FilterDatabase">'2025'!$A$5:$N$311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tc={8b1a36de-dd68-4e8a-bd5e-5f450856c2a4}</author>
    <author>tc={a3db96d8-18c0-4e3b-8cfd-e9cfeae6675c}</author>
  </authors>
  <commentList>
    <comment authorId="0" xr:uid="{8b1a36de-dd68-4e8a-bd5e-5f450856c2a4}" ref="D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@juanma@sentiraranda.es dame un precio
Asignado a juanma@sentiraranda.es
</t>
      </text>
    </comment>
    <comment authorId="1" xr:uid="{a3db96d8-18c0-4e3b-8cfd-e9cfeae6675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Vamos a hacer la recuperación de los ríos. EMS 2024 para hacer en
</t>
      </text>
    </comment>
  </commentList>
</comments>
</file>

<file path=xl/sharedStrings.xml><?xml version="1.0" encoding="utf-8"?>
<sst xmlns="http://schemas.openxmlformats.org/spreadsheetml/2006/main" count="359" uniqueCount="266">
  <si>
    <t>ANEXO INVERSIONES REALES 2025</t>
  </si>
  <si>
    <t>PARTIDA/CÓDIGO</t>
  </si>
  <si>
    <t>PROYECTO</t>
  </si>
  <si>
    <t>IMPORTE</t>
  </si>
  <si>
    <t>PRÉSTAMO</t>
  </si>
  <si>
    <t>INGRESOS CORRIENTES</t>
  </si>
  <si>
    <t>OTROS</t>
  </si>
  <si>
    <t>RTA (CAP 8)</t>
  </si>
  <si>
    <t>SUBVENCIONES</t>
  </si>
  <si>
    <t>TOTAL</t>
  </si>
  <si>
    <t>SEGURIDAD</t>
  </si>
  <si>
    <t>Edificios y otras construcciones</t>
  </si>
  <si>
    <t>Redacción planta baja edificio para sala de tiro</t>
  </si>
  <si>
    <t>ORDENACIÓN DEL TRÁFICO Y ESTACIONAMIENTO</t>
  </si>
  <si>
    <t>Otras inver. de reposición de infraest. y b. destinados uso gral.</t>
  </si>
  <si>
    <t>Mejora de semáforos</t>
  </si>
  <si>
    <t>1330</t>
  </si>
  <si>
    <t>PROTECCIÓN CIVIL</t>
  </si>
  <si>
    <t>Proyecto rehabilitación Protección Civil</t>
  </si>
  <si>
    <t>Redacción futuras instalaciones</t>
  </si>
  <si>
    <t>1350</t>
  </si>
  <si>
    <t>EXTINCIÓN DE INCENDIOS</t>
  </si>
  <si>
    <t>Otras inversiones nuevas asociadas al funcionamiento operativo de los servicios</t>
  </si>
  <si>
    <t>UNESPA</t>
  </si>
  <si>
    <t>Sistema TETRA</t>
  </si>
  <si>
    <t>Mobiliario</t>
  </si>
  <si>
    <t>Colchones, sofás y material</t>
  </si>
  <si>
    <t>Gastos en aplicaciones informáticas</t>
  </si>
  <si>
    <t>Software gestión integral</t>
  </si>
  <si>
    <t>1360</t>
  </si>
  <si>
    <t>ADMON. GRAL. DE URBANISMO</t>
  </si>
  <si>
    <t>Cambio de verja en obras</t>
  </si>
  <si>
    <t>Adecuación de la alarma de obras</t>
  </si>
  <si>
    <t>Equipos para procesos de información</t>
  </si>
  <si>
    <t>Fotocopiadora</t>
  </si>
  <si>
    <t>1500</t>
  </si>
  <si>
    <t>1522</t>
  </si>
  <si>
    <t>VIVIENDA</t>
  </si>
  <si>
    <t>650</t>
  </si>
  <si>
    <t>Inversiones gestionadas para otros entes</t>
  </si>
  <si>
    <t>CUENTA REMUNERADA</t>
  </si>
  <si>
    <t>005/2023</t>
  </si>
  <si>
    <t>Rehabilitación viviendas ERRP Santa Catalina</t>
  </si>
  <si>
    <t>VÍAS PÚBLICAS URBANAS</t>
  </si>
  <si>
    <t>Redacción peatonalización de la calle Soria</t>
  </si>
  <si>
    <t>Redacción avenida de Burgos</t>
  </si>
  <si>
    <t>Redacción calle los Pozos</t>
  </si>
  <si>
    <t>Redacción calle Pedrote</t>
  </si>
  <si>
    <t>Redacción calle Valladolid acceso Juan Carlos Higuero</t>
  </si>
  <si>
    <t>Redacción proyecto urbanización calle Juana de Castilla</t>
  </si>
  <si>
    <t>Redacción proyecto urbanización final calle Pedro Sanz Abad</t>
  </si>
  <si>
    <t>Redacción proyecto urbanización barrio Las Casitas S.U.C.</t>
  </si>
  <si>
    <t>Redacción proyecto urbanización calle Doña Munia, calle Aniceto de la Cruz y calle Margarita de Austria y vial paralelo + tramo independiente (Virgen de las Viñas)</t>
  </si>
  <si>
    <t>Redacción proyecto urbanización calle El Carro</t>
  </si>
  <si>
    <t>Redacción calle Condestables de Castilla</t>
  </si>
  <si>
    <t>Dirección facultativa y coordinación seguridad y salud reurbanización parcial calle Carrequemada</t>
  </si>
  <si>
    <t>Dirección facultativa y coordinación de seguridad y salud reurbanización plaza Príncipe de España Sinovas</t>
  </si>
  <si>
    <t>Dirección facultativa y coordinación seguridad y salud reurbanización calle Padre Janariz</t>
  </si>
  <si>
    <t>Dirección facultativa y coordinación seguridad y salud reurbanización parcial San Gregorio</t>
  </si>
  <si>
    <t>Dirección facultativa y coordinación seguridad y salud reurbanización calle El Carro</t>
  </si>
  <si>
    <t>Obras reurbanización calle El Carro</t>
  </si>
  <si>
    <t>Obras reurbanización parcial calle San Gregorio</t>
  </si>
  <si>
    <t>Obras reurbanización parcial calle Carrequemada</t>
  </si>
  <si>
    <t>Obras reurbanización plaza Príncipe de España Sinovas</t>
  </si>
  <si>
    <t>Obras reurbanización ensanche aceras calle Padre Janariz</t>
  </si>
  <si>
    <t>Inversión en elementos vegetales y de ornamentación</t>
  </si>
  <si>
    <t>Pintado de viales</t>
  </si>
  <si>
    <t>Vehículo brigada de obras</t>
  </si>
  <si>
    <t>Estudio viales campaña de asfaltado obras</t>
  </si>
  <si>
    <t>006/2023</t>
  </si>
  <si>
    <t>Reurbanización ARU Santa Catalina</t>
  </si>
  <si>
    <t>Elementos de transporte</t>
  </si>
  <si>
    <t>Camion 3500kg plataforma</t>
  </si>
  <si>
    <t>Adquisición de camión para brigada de obras</t>
  </si>
  <si>
    <t>Miniexcavadora</t>
  </si>
  <si>
    <t>Maquinaria, instalaciones técnicas y utillaje</t>
  </si>
  <si>
    <t>Herramientas eléctricas</t>
  </si>
  <si>
    <t>Suministro de botellas y gas para soldar</t>
  </si>
  <si>
    <t>Señales</t>
  </si>
  <si>
    <t>Mobiliario urbano</t>
  </si>
  <si>
    <t>Baldosas y rejillas</t>
  </si>
  <si>
    <t>1530</t>
  </si>
  <si>
    <t>ALCANTARILLADO</t>
  </si>
  <si>
    <t>Arreglo aliviadero del Bañuelos</t>
  </si>
  <si>
    <t>Arreglo aliviadero plaza de toros</t>
  </si>
  <si>
    <t>Cerramientos Cerro de los Perros</t>
  </si>
  <si>
    <t>Saneamiento Costaján</t>
  </si>
  <si>
    <t>Ruedas cámara de saneamiento</t>
  </si>
  <si>
    <t>Plan de gestión de saneamiento</t>
  </si>
  <si>
    <t>1600</t>
  </si>
  <si>
    <t>ABASTECIMIENTO Y DISTRIBUCIÓN DE AGUA</t>
  </si>
  <si>
    <t>Gestión de residuos</t>
  </si>
  <si>
    <t>Sustitución condensadores bombas</t>
  </si>
  <si>
    <t>Última fase redacción proyecto Tubilla</t>
  </si>
  <si>
    <t>Construcción tubería Tubilla</t>
  </si>
  <si>
    <t>Inversiones PERTE (contadores, estudios…)</t>
  </si>
  <si>
    <t>Repuesto cloradores</t>
  </si>
  <si>
    <t>Herramientas (radial)</t>
  </si>
  <si>
    <t>1610</t>
  </si>
  <si>
    <t>TRATAMIENTO DE RESIDUOS</t>
  </si>
  <si>
    <t>Arquetas y acceso tubería de Tubilla</t>
  </si>
  <si>
    <t>Tolva de lodos</t>
  </si>
  <si>
    <t xml:space="preserve">Analizadores salida de la EDAR </t>
  </si>
  <si>
    <t>Alarma cerro de los perros</t>
  </si>
  <si>
    <t>Excavadora y pick-up</t>
  </si>
  <si>
    <t>1623</t>
  </si>
  <si>
    <t>CEMENTERIO</t>
  </si>
  <si>
    <t>Construcción sepulturas</t>
  </si>
  <si>
    <t>Seguridad y salud construcción sepulturas</t>
  </si>
  <si>
    <t>Vestuario y baño</t>
  </si>
  <si>
    <t>Lavadora y otros electrodomésticos de higiene</t>
  </si>
  <si>
    <t>Software de gestión</t>
  </si>
  <si>
    <t>1640</t>
  </si>
  <si>
    <t>ALUMBRADO PÚBLICO</t>
  </si>
  <si>
    <t>LED vías públicas</t>
  </si>
  <si>
    <t>Iluminación puente GR14 Barriles - estación de bombeo</t>
  </si>
  <si>
    <t>1650</t>
  </si>
  <si>
    <t>PARQUES Y JARDINES</t>
  </si>
  <si>
    <t>619</t>
  </si>
  <si>
    <t>Otras inversiones de reposición en infraestructuras y bienes destinados al uso general</t>
  </si>
  <si>
    <t>Mejoras de zonas verdes y General Gutiérrez</t>
  </si>
  <si>
    <t>Renovación y mejora de parques caninos</t>
  </si>
  <si>
    <t>Mantenimiento y adecuación del puente GR14 Barriles</t>
  </si>
  <si>
    <t>Rehabilitación y certificación parques infantiles</t>
  </si>
  <si>
    <t>Gastos en inversiones gestionadas para otros entes públicos</t>
  </si>
  <si>
    <t>Material para EMS</t>
  </si>
  <si>
    <t>1710</t>
  </si>
  <si>
    <t>PROTECCIÓN CONTAMINAC. ACÚSTICA Y ATM.</t>
  </si>
  <si>
    <t>Instalación de energía solar Fotovoltaica y alumbrado LED en edificios municipales</t>
  </si>
  <si>
    <t>ADMON. GRAL. ASISTENCIA SOCIAL PRIMARIA</t>
  </si>
  <si>
    <t>Instalación de persianas térmicas</t>
  </si>
  <si>
    <t xml:space="preserve">Otras inversiones varias en </t>
  </si>
  <si>
    <t>Electrodomésticos centro del menor</t>
  </si>
  <si>
    <t>Mobiliario, estores y otro material</t>
  </si>
  <si>
    <t>2310</t>
  </si>
  <si>
    <t>PROTECCIÓN SALUBRIDAD PÚBLICA</t>
  </si>
  <si>
    <t>Otras inversiones nuevas en infraestructuras y bienes destinados al uso general</t>
  </si>
  <si>
    <t>Redacción de proeycto de baños públicos</t>
  </si>
  <si>
    <t>3110</t>
  </si>
  <si>
    <t>ADMON. GRAL. DE LA EDUCACIÓN</t>
  </si>
  <si>
    <t>Software gestión de matrículas alumnos</t>
  </si>
  <si>
    <t>3200</t>
  </si>
  <si>
    <t>FUNCIONAMIENTO CENTROS DOCENTES</t>
  </si>
  <si>
    <t>Electrodomésticos escuelas infantiles</t>
  </si>
  <si>
    <t>3230</t>
  </si>
  <si>
    <t>3261</t>
  </si>
  <si>
    <t>ESCUELA DE MÚSICA Y DANZA</t>
  </si>
  <si>
    <t>Otras inv. nuevas asociadas al fcto. operativo de los servicios</t>
  </si>
  <si>
    <t>Adquisición instrumentos musicales, imagen y sonido</t>
  </si>
  <si>
    <t>3262</t>
  </si>
  <si>
    <t>ESCUELA DE FOLCLORE</t>
  </si>
  <si>
    <t>BIBLIOTECA</t>
  </si>
  <si>
    <t>Aire acondicionado</t>
  </si>
  <si>
    <t>3321</t>
  </si>
  <si>
    <t>3330</t>
  </si>
  <si>
    <t>MUSEOS</t>
  </si>
  <si>
    <t>Estanterías Museo de juegos tradicionales</t>
  </si>
  <si>
    <t>copia de 023/2024</t>
  </si>
  <si>
    <t>Arreglo cubierta "Museo del Tren" (estación Chelva)</t>
  </si>
  <si>
    <t>PROMOCIÓN CULTURAL</t>
  </si>
  <si>
    <t>632</t>
  </si>
  <si>
    <t>Proyecto Auditorio Fase II</t>
  </si>
  <si>
    <t>3340</t>
  </si>
  <si>
    <t>CENTROS CÍVICOS</t>
  </si>
  <si>
    <t xml:space="preserve">Las Francesas. Reparación de aleros </t>
  </si>
  <si>
    <t>Las Francesas. Calefacción en el ático y salas de estudio</t>
  </si>
  <si>
    <t>026/2024</t>
  </si>
  <si>
    <t>Rehabilitación Centro Cívico Virgen de las Viñas</t>
  </si>
  <si>
    <t>3370</t>
  </si>
  <si>
    <t>3372</t>
  </si>
  <si>
    <t>BANDA DE MÚSICA</t>
  </si>
  <si>
    <t>CASA DE LA JUVENTUD Y CENTRO ARTE JOVEN</t>
  </si>
  <si>
    <t xml:space="preserve"> copia de 027/2024</t>
  </si>
  <si>
    <t>Obras Centro de Arte Joven (CAJ)</t>
  </si>
  <si>
    <t>3373</t>
  </si>
  <si>
    <t>FESTEJOS</t>
  </si>
  <si>
    <t>Sistema de sonido para eventos</t>
  </si>
  <si>
    <t>Vallas altas y sistema de agrupación</t>
  </si>
  <si>
    <t>Adquisición de dos módulos de tres gradas, de cuatro alturas para 192 personas (y movilidad reducida)</t>
  </si>
  <si>
    <t>Mesas y sillas plegables</t>
  </si>
  <si>
    <t>Vallas bajas y antiavalancha</t>
  </si>
  <si>
    <t>3380</t>
  </si>
  <si>
    <t>3420</t>
  </si>
  <si>
    <t>INSTALACIONES DEPORTIVAS</t>
  </si>
  <si>
    <t>Redacción de pistas deportivas en barrios</t>
  </si>
  <si>
    <t>Proyecto rehabilitación Polideportivo Chelva e inversiones varias</t>
  </si>
  <si>
    <t>copia de 031/2024</t>
  </si>
  <si>
    <t>Redacción rehabilitación Juan Carlos Higuero e inversiones varias</t>
  </si>
  <si>
    <t>Redacción rehabilitación Santiago Manguán e inversiones varias</t>
  </si>
  <si>
    <t>Construcción dependencias campo de Rugby Virgen de las Viñas</t>
  </si>
  <si>
    <t>Frontón Sinovas</t>
  </si>
  <si>
    <t>Redacción proyecto remodelación piscinas de verano</t>
  </si>
  <si>
    <t>copia de 032/2024</t>
  </si>
  <si>
    <t>Cámaras de seguridad</t>
  </si>
  <si>
    <t>TURISMO</t>
  </si>
  <si>
    <t>033/2024</t>
  </si>
  <si>
    <t>Diseño y adecuación de senderos locales "Ribera, monte y viñedo"</t>
  </si>
  <si>
    <t>034/2024</t>
  </si>
  <si>
    <t>Recuperación de los ríos como corredores ambientales y turísticos</t>
  </si>
  <si>
    <t>035/2024</t>
  </si>
  <si>
    <t>Construcción Centro de recepción de visitantes</t>
  </si>
  <si>
    <t>624</t>
  </si>
  <si>
    <t>036/2024</t>
  </si>
  <si>
    <t>Lanzadera con bus eléctrico a bodegas elaboradoras</t>
  </si>
  <si>
    <t>Mobiliario Centro de recepción de visitantes (PSTD)</t>
  </si>
  <si>
    <t>037/2024</t>
  </si>
  <si>
    <t>Proyecto "Aranda Patrimonio Digital"</t>
  </si>
  <si>
    <t>038/2024</t>
  </si>
  <si>
    <t>Creación del equipo de gestión turística</t>
  </si>
  <si>
    <t>Otros gastos en inversiones de bienes patrimoniales</t>
  </si>
  <si>
    <t>039/2024</t>
  </si>
  <si>
    <t>Mobiliario artístico de arraigo y topofilia</t>
  </si>
  <si>
    <t>4320</t>
  </si>
  <si>
    <t>DESARROLLO ECONÓMICO</t>
  </si>
  <si>
    <t>609</t>
  </si>
  <si>
    <t>copia de 040/2024</t>
  </si>
  <si>
    <t>Ampliación polígono Prado Marina</t>
  </si>
  <si>
    <t>Desarrollo puerto seco</t>
  </si>
  <si>
    <t>Material para eventos</t>
  </si>
  <si>
    <t>Mobiliario oficina</t>
  </si>
  <si>
    <t>4330</t>
  </si>
  <si>
    <t>4411</t>
  </si>
  <si>
    <t>TRANSPORTE URBANO DE VIAJEROS</t>
  </si>
  <si>
    <t>639</t>
  </si>
  <si>
    <t>Otras inversiones de reposición asociadas al funcionamiento operativo de los servicios</t>
  </si>
  <si>
    <t>Estudio líneas, viabilidad y redacción de pliego</t>
  </si>
  <si>
    <t>4540</t>
  </si>
  <si>
    <t>CAMINOS</t>
  </si>
  <si>
    <t>copia de 041/2024</t>
  </si>
  <si>
    <t>Arreglo de caminos</t>
  </si>
  <si>
    <t>ADMINISTRACIÓN GENERAL</t>
  </si>
  <si>
    <t>Inversión instalaciones térmicas y de refrigeración</t>
  </si>
  <si>
    <t>Sillas y mesas para los servicios</t>
  </si>
  <si>
    <t>626</t>
  </si>
  <si>
    <t>Equipos procesos información</t>
  </si>
  <si>
    <t>Material informático</t>
  </si>
  <si>
    <t>629</t>
  </si>
  <si>
    <t>Otras inversiones nuevas asociadas al funcionamiento operativo de los servicios.</t>
  </si>
  <si>
    <t>Redacción de proyectos municipales estratégicos y europeos</t>
  </si>
  <si>
    <t>SmartCity y GIS</t>
  </si>
  <si>
    <t>9200</t>
  </si>
  <si>
    <t>9240</t>
  </si>
  <si>
    <t>PARTICIPACIÓN CIUDADANA</t>
  </si>
  <si>
    <t>Termostatos asuntos económicos</t>
  </si>
  <si>
    <t>Ventanas Teleclub Sinovas</t>
  </si>
  <si>
    <t>copia de 044/2024</t>
  </si>
  <si>
    <t>Adquisición y rehabilitación de bajo en Santa Catalina</t>
  </si>
  <si>
    <t xml:space="preserve">TOTAL CAPÍTULO VI </t>
  </si>
  <si>
    <t>PROYECTOS CON FONDOS NextGenerationEU</t>
  </si>
  <si>
    <t>PROYECTOS PLURIANUALES</t>
  </si>
  <si>
    <t>REAJUSTE ANUALIDADES</t>
  </si>
  <si>
    <t>2023</t>
  </si>
  <si>
    <t>2024</t>
  </si>
  <si>
    <t>2025</t>
  </si>
  <si>
    <t>2026</t>
  </si>
  <si>
    <t>2027</t>
  </si>
  <si>
    <t>2029</t>
  </si>
  <si>
    <t>INCORPORACIÓN</t>
  </si>
  <si>
    <t>PRESUPUESTO</t>
  </si>
  <si>
    <t>003-2/2022</t>
  </si>
  <si>
    <t>Dirección de obra Jardines de Don Diego</t>
  </si>
  <si>
    <t>026/2024 *</t>
  </si>
  <si>
    <t>035/2024 **</t>
  </si>
  <si>
    <t>040/2023</t>
  </si>
  <si>
    <t>Oficina gestión ARU Santa Catalina</t>
  </si>
  <si>
    <t>Inversiones PERTE agua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</si>
</sst>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#,##0.00&quot;€&quot;"/>
  </numFmts>
  <fonts count="11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u/>
      <sz val="11.0"/>
      <color rgb="FF000000"/>
      <name val="Calibri"/>
    </font>
    <font>
      <sz val="11.0"/>
      <color rgb="FF000000"/>
      <name val="Calibri"/>
    </font>
    <font>
      <b/>
      <sz val="8.0"/>
      <color theme="1"/>
      <name val="Calibri"/>
    </font>
    <font>
      <b/>
      <color theme="1"/>
      <name val="Calibri"/>
    </font>
    <font>
      <color theme="1"/>
      <name val="Calibri"/>
    </font>
    <font>
      <b/>
      <sz val="11.0"/>
      <color theme="1"/>
      <name val="Arial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rgb="FFFDE9D9"/>
        <bgColor rgb="FFFDE9D9"/>
      </patternFill>
    </fill>
  </fills>
  <borders count="1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righ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horizontal="right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4" fillId="3" fontId="1" numFmtId="164" xfId="0" applyAlignment="1" applyBorder="1" applyFill="1" applyFont="1" applyNumberFormat="1">
      <alignment horizontal="center" shrinkToFit="0" vertical="center" wrapText="1"/>
    </xf>
    <xf borderId="4" fillId="3" fontId="1" numFmtId="164" xfId="0" applyAlignment="1" applyBorder="1" applyFill="1" applyFont="1" applyNumberFormat="1">
      <alignment horizontal="center" shrinkToFit="0" vertical="center" wrapText="1"/>
    </xf>
    <xf borderId="4" fillId="3" fontId="1" numFmtId="164" xfId="0" applyAlignment="1" applyBorder="1" applyFill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right" readingOrder="0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1" numFmtId="0" xfId="0" applyAlignment="1" applyFont="1">
      <alignment horizontal="right"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horizontal="right" readingOrder="0" shrinkToFit="0" vertical="center" wrapText="1"/>
    </xf>
    <xf borderId="0" fillId="0" fontId="2" numFmtId="164" xfId="0" applyAlignment="1" applyFont="1" applyNumberFormat="1">
      <alignment horizontal="right" shrinkToFit="0" vertical="center" wrapText="1"/>
    </xf>
    <xf borderId="0" fillId="0" fontId="2" numFmtId="164" xfId="0" applyAlignment="1" applyFont="1" applyNumberFormat="1">
      <alignment horizontal="right" shrinkToFit="0" wrapText="1"/>
    </xf>
    <xf borderId="0" fillId="0" fontId="1" numFmtId="49" xfId="0" applyAlignment="1" applyFont="1" applyNumberFormat="1">
      <alignment shrinkToFit="0" vertical="center" wrapText="1"/>
    </xf>
    <xf borderId="0" fillId="0" fontId="2" numFmtId="164" xfId="0" applyAlignment="1" applyFont="1" applyNumberFormat="1">
      <alignment horizontal="right" readingOrder="0" shrinkToFit="0" vertical="center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5" fillId="4" fontId="1" numFmtId="164" xfId="0" applyAlignment="1" applyBorder="1" applyFill="1" applyFont="1" applyNumberFormat="1">
      <alignment horizontal="right" shrinkToFit="0" vertical="center" wrapText="1"/>
    </xf>
    <xf borderId="0" fillId="0" fontId="2" numFmtId="164" xfId="0" applyAlignment="1" applyFont="1" applyNumberFormat="1">
      <alignment horizontal="right"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1" numFmtId="49" xfId="0" applyAlignment="1" applyFont="1" applyNumberFormat="1">
      <alignment horizontal="right" readingOrder="0" shrinkToFit="0" vertical="center" wrapText="1"/>
    </xf>
    <xf borderId="0" fillId="5" fontId="5" numFmtId="164" xfId="0" applyAlignment="1" applyFill="1" applyFont="1" applyNumberFormat="1">
      <alignment horizontal="right"/>
    </xf>
    <xf borderId="0" fillId="0" fontId="2" numFmtId="0" xfId="0" applyFont="1"/>
    <xf borderId="0" fillId="0" fontId="1" numFmtId="49" xfId="0" applyAlignment="1" applyFont="1" applyNumberFormat="1">
      <alignment horizontal="right" shrinkToFit="0" vertical="bottom" wrapText="1"/>
    </xf>
    <xf borderId="0" fillId="0" fontId="1" numFmtId="49" xfId="0" applyAlignment="1" applyFont="1" applyNumberFormat="1">
      <alignment shrinkToFit="0" vertical="bottom" wrapText="1"/>
    </xf>
    <xf borderId="0" fillId="5" fontId="5" numFmtId="164" xfId="0" applyAlignment="1" applyFill="1" applyFont="1" applyNumberFormat="1">
      <alignment horizontal="right" readingOrder="0"/>
    </xf>
    <xf borderId="0" fillId="0" fontId="1" numFmtId="0" xfId="0" applyAlignment="1" applyFont="1">
      <alignment shrinkToFit="0" vertical="bottom" wrapText="1"/>
    </xf>
    <xf borderId="0" fillId="0" fontId="2" numFmtId="164" xfId="0" applyAlignment="1" applyFont="1" applyNumberFormat="1">
      <alignment horizontal="right" shrinkToFit="0" vertical="bottom" wrapText="1"/>
    </xf>
    <xf borderId="0" fillId="0" fontId="2" numFmtId="164" xfId="0" applyAlignment="1" applyFont="1" applyNumberFormat="1">
      <alignment shrinkToFit="0" wrapText="1"/>
    </xf>
    <xf borderId="4" fillId="3" fontId="6" numFmtId="164" xfId="0" applyAlignment="1" applyBorder="1" applyFill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right" shrinkToFit="0" vertical="bottom" wrapText="1"/>
    </xf>
    <xf borderId="0" fillId="6" fontId="2" numFmtId="49" xfId="0" applyAlignment="1" applyFill="1" applyFont="1" applyNumberFormat="1">
      <alignment horizontal="right" shrinkToFit="0" vertical="bottom" wrapText="1"/>
    </xf>
    <xf borderId="0" fillId="6" fontId="2" numFmtId="0" xfId="0" applyAlignment="1" applyFill="1" applyFont="1">
      <alignment readingOrder="0" shrinkToFit="0" vertical="center" wrapText="1"/>
    </xf>
    <xf borderId="0" fillId="6" fontId="2" numFmtId="164" xfId="0" applyAlignment="1" applyFill="1" applyFont="1" applyNumberFormat="1">
      <alignment horizontal="right" readingOrder="0" shrinkToFit="0" vertical="center" wrapText="1"/>
    </xf>
    <xf borderId="0" fillId="6" fontId="2" numFmtId="164" xfId="0" applyAlignment="1" applyFill="1" applyFont="1" applyNumberFormat="1">
      <alignment horizontal="right" readingOrder="0" shrinkToFit="0" vertical="center" wrapText="1"/>
    </xf>
    <xf borderId="0" fillId="6" fontId="2" numFmtId="164" xfId="0" applyAlignment="1" applyFill="1" applyFont="1" applyNumberFormat="1">
      <alignment horizontal="right" shrinkToFit="0" vertical="center" wrapText="1"/>
    </xf>
    <xf borderId="0" fillId="5" fontId="2" numFmtId="164" xfId="0" applyAlignment="1" applyFill="1" applyFont="1" applyNumberFormat="1">
      <alignment horizontal="right" shrinkToFit="0" vertical="center" wrapText="1"/>
    </xf>
    <xf borderId="0" fillId="5" fontId="2" numFmtId="165" xfId="0" applyAlignment="1" applyFill="1" applyFont="1" applyNumberFormat="1">
      <alignment readingOrder="0" shrinkToFit="0" wrapText="1"/>
    </xf>
    <xf borderId="6" fillId="0" fontId="1" numFmtId="0" xfId="0" applyAlignment="1" applyBorder="1" applyFont="1">
      <alignment horizontal="right" shrinkToFit="0" wrapText="1"/>
    </xf>
    <xf borderId="5" fillId="4" fontId="1" numFmtId="164" xfId="0" applyAlignment="1" applyBorder="1" applyFill="1" applyFont="1" applyNumberFormat="1">
      <alignment horizontal="right" shrinkToFit="0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right" shrinkToFit="0" vertical="bottom" wrapText="1"/>
    </xf>
    <xf borderId="0" fillId="6" fontId="2" numFmtId="0" xfId="0" applyAlignment="1" applyFill="1" applyFont="1">
      <alignment horizontal="right" shrinkToFit="0" vertical="center" wrapText="1"/>
    </xf>
    <xf borderId="0" fillId="6" fontId="2" numFmtId="0" xfId="0" applyAlignment="1" applyFill="1" applyFont="1">
      <alignment shrinkToFit="0" wrapText="1"/>
    </xf>
    <xf borderId="0" fillId="6" fontId="2" numFmtId="164" xfId="0" applyAlignment="1" applyFill="1" applyFont="1" applyNumberFormat="1">
      <alignment horizontal="right" readingOrder="0" shrinkToFit="0" vertical="bottom" wrapText="1"/>
    </xf>
    <xf borderId="0" fillId="0" fontId="2" numFmtId="0" xfId="0" applyAlignment="1" applyFont="1">
      <alignment horizontal="right" shrinkToFit="0" wrapText="1"/>
    </xf>
    <xf borderId="0" fillId="0" fontId="2" numFmtId="0" xfId="0" applyAlignment="1" applyFont="1">
      <alignment shrinkToFit="0" vertical="bottom" wrapText="1"/>
    </xf>
    <xf borderId="0" fillId="0" fontId="1" numFmtId="49" xfId="0" applyAlignment="1" applyFont="1" applyNumberFormat="1">
      <alignment horizontal="right" shrinkToFit="0" wrapText="1"/>
    </xf>
    <xf borderId="0" fillId="0" fontId="1" numFmtId="0" xfId="0" applyAlignment="1" applyFont="1">
      <alignment horizontal="right" shrinkToFit="0" wrapText="1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wrapText="1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right"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right" shrinkToFit="0" wrapText="1"/>
    </xf>
    <xf borderId="0" fillId="0" fontId="1" numFmtId="0" xfId="0" applyAlignment="1" applyFont="1">
      <alignment horizontal="right" readingOrder="0" shrinkToFit="0" vertical="bottom" wrapText="1"/>
    </xf>
    <xf borderId="0" fillId="0" fontId="2" numFmtId="164" xfId="0" applyAlignment="1" applyFont="1" applyNumberFormat="1">
      <alignment vertical="bottom"/>
    </xf>
    <xf borderId="0" fillId="0" fontId="2" numFmtId="164" xfId="0" applyFont="1" applyNumberFormat="1"/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horizontal="right" shrinkToFit="0" wrapText="1"/>
    </xf>
    <xf borderId="0" fillId="0" fontId="2" numFmtId="164" xfId="0" applyFont="1" applyNumberFormat="1"/>
    <xf borderId="0" fillId="0" fontId="1" numFmtId="0" xfId="0" applyAlignment="1" applyFont="1">
      <alignment shrinkToFit="0" wrapText="1"/>
    </xf>
    <xf borderId="0" fillId="0" fontId="1" numFmtId="49" xfId="0" applyAlignment="1" applyFont="1" applyNumberFormat="1">
      <alignment horizontal="right" readingOrder="0" shrinkToFit="0" wrapText="1"/>
    </xf>
    <xf borderId="0" fillId="5" fontId="2" numFmtId="164" xfId="0" applyAlignment="1" applyFill="1" applyFont="1" applyNumberFormat="1">
      <alignment vertical="bottom"/>
    </xf>
    <xf borderId="0" fillId="0" fontId="7" numFmtId="49" xfId="0" applyAlignment="1" applyFont="1" applyNumberFormat="1">
      <alignment horizontal="right" shrinkToFit="0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right" shrinkToFit="0" wrapText="1"/>
    </xf>
    <xf borderId="0" fillId="0" fontId="8" numFmtId="0" xfId="0" applyAlignment="1" applyFont="1">
      <alignment horizontal="right" shrinkToFit="0" vertical="bottom" wrapText="1"/>
    </xf>
    <xf borderId="0" fillId="0" fontId="8" numFmtId="1" xfId="0" applyAlignment="1" applyFont="1" applyNumberFormat="1">
      <alignment shrinkToFit="0" wrapText="1"/>
    </xf>
    <xf borderId="0" fillId="0" fontId="8" numFmtId="164" xfId="0" applyAlignment="1" applyFont="1" applyNumberFormat="1">
      <alignment horizontal="right" shrinkToFit="0" wrapText="1"/>
    </xf>
    <xf borderId="0" fillId="0" fontId="2" numFmtId="164" xfId="0" applyAlignment="1" applyFont="1" applyNumberFormat="1">
      <alignment vertical="bottom"/>
    </xf>
    <xf borderId="0" fillId="5" fontId="8" numFmtId="164" xfId="0" applyAlignment="1" applyFill="1" applyFont="1" applyNumberFormat="1">
      <alignment horizontal="right" shrinkToFit="0" wrapText="1"/>
    </xf>
    <xf borderId="5" fillId="4" fontId="7" numFmtId="164" xfId="0" applyAlignment="1" applyBorder="1" applyFill="1" applyFont="1" applyNumberFormat="1">
      <alignment horizontal="right" shrinkToFit="0" wrapText="1"/>
    </xf>
    <xf borderId="0" fillId="0" fontId="2" numFmtId="49" xfId="0" applyAlignment="1" applyFont="1" applyNumberFormat="1">
      <alignment vertical="bottom"/>
    </xf>
    <xf borderId="0" fillId="0" fontId="7" numFmtId="0" xfId="0" applyAlignment="1" applyFont="1">
      <alignment horizontal="right" readingOrder="0"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0" fontId="8" numFmtId="0" xfId="0" applyAlignment="1" applyFont="1">
      <alignment horizontal="right" readingOrder="0" shrinkToFit="0" vertical="bottom" wrapText="1"/>
    </xf>
    <xf borderId="0" fillId="0" fontId="8" numFmtId="0" xfId="0" applyAlignment="1" applyFont="1">
      <alignment shrinkToFit="0" wrapText="1"/>
    </xf>
    <xf borderId="0" fillId="0" fontId="2" numFmtId="49" xfId="0" applyFont="1" applyNumberFormat="1"/>
    <xf borderId="0" fillId="6" fontId="2" numFmtId="0" xfId="0" applyAlignment="1" applyFill="1" applyFont="1">
      <alignment horizontal="right" readingOrder="0" shrinkToFit="0" wrapText="1"/>
    </xf>
    <xf borderId="0" fillId="6" fontId="2" numFmtId="0" xfId="0" applyAlignment="1" applyFill="1" applyFont="1">
      <alignment shrinkToFit="0" vertical="bottom" wrapText="1"/>
    </xf>
    <xf borderId="0" fillId="6" fontId="2" numFmtId="164" xfId="0" applyAlignment="1" applyFill="1" applyFont="1" applyNumberFormat="1">
      <alignment horizontal="right" readingOrder="0" vertical="bottom"/>
    </xf>
    <xf borderId="0" fillId="6" fontId="2" numFmtId="164" xfId="0" applyAlignment="1" applyFill="1" applyFont="1" applyNumberFormat="1">
      <alignment horizontal="right"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7" numFmtId="49" xfId="0" applyAlignment="1" applyFont="1" applyNumberFormat="1">
      <alignment horizontal="right" shrinkToFit="0" vertical="bottom" wrapText="1"/>
    </xf>
    <xf borderId="0" fillId="0" fontId="7" numFmtId="0" xfId="0" applyAlignment="1" applyFont="1">
      <alignment shrinkToFit="0" vertical="bottom" wrapText="1"/>
    </xf>
    <xf borderId="0" fillId="0" fontId="2" numFmtId="49" xfId="0" applyAlignment="1" applyFont="1" applyNumberFormat="1">
      <alignment horizontal="right" readingOrder="0" shrinkToFit="0" vertical="bottom" wrapText="1"/>
    </xf>
    <xf borderId="0" fillId="0" fontId="2" numFmtId="1" xfId="0" applyAlignment="1" applyFont="1" applyNumberFormat="1">
      <alignment horizontal="left" readingOrder="0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5" fontId="2" numFmtId="164" xfId="0" applyAlignment="1" applyFill="1" applyFont="1" applyNumberFormat="1">
      <alignment horizontal="right" shrinkToFit="0" vertical="center" wrapText="1"/>
    </xf>
    <xf borderId="0" fillId="0" fontId="2" numFmtId="1" xfId="0" applyAlignment="1" applyFont="1" applyNumberFormat="1">
      <alignment readingOrder="0" shrinkToFit="0" vertical="center" wrapText="1"/>
    </xf>
    <xf borderId="0" fillId="0" fontId="2" numFmtId="0" xfId="0" applyFont="1"/>
    <xf borderId="0" fillId="0" fontId="2" numFmtId="164" xfId="0" applyAlignment="1" applyFont="1" applyNumberFormat="1">
      <alignment horizontal="right"/>
    </xf>
    <xf borderId="0" fillId="0" fontId="2" numFmtId="49" xfId="0" applyAlignment="1" applyFont="1" applyNumberFormat="1">
      <alignment horizontal="right" vertical="bottom"/>
    </xf>
    <xf borderId="0" fillId="6" fontId="2" numFmtId="49" xfId="0" applyAlignment="1" applyFill="1" applyFont="1" applyNumberFormat="1">
      <alignment horizontal="right" vertical="bottom"/>
    </xf>
    <xf borderId="0" fillId="6" fontId="2" numFmtId="164" xfId="0" applyAlignment="1" applyFill="1" applyFont="1" applyNumberFormat="1">
      <alignment horizontal="right" readingOrder="0" shrinkToFit="0" wrapText="1"/>
    </xf>
    <xf borderId="0" fillId="6" fontId="2" numFmtId="164" xfId="0" applyAlignment="1" applyFill="1" applyFont="1" applyNumberFormat="1">
      <alignment readingOrder="0"/>
    </xf>
    <xf borderId="0" fillId="6" fontId="2" numFmtId="164" xfId="0" applyFill="1" applyFont="1" applyNumberFormat="1"/>
    <xf borderId="0" fillId="6" fontId="2" numFmtId="164" xfId="0" applyAlignment="1" applyFill="1" applyFont="1" applyNumberFormat="1">
      <alignment horizontal="right" shrinkToFit="0" wrapText="1"/>
    </xf>
    <xf borderId="0" fillId="0" fontId="1" numFmtId="49" xfId="0" applyAlignment="1" applyFont="1" applyNumberFormat="1">
      <alignment readingOrder="0" shrinkToFit="0" wrapText="1"/>
    </xf>
    <xf borderId="0" fillId="6" fontId="2" numFmtId="1" xfId="0" applyAlignment="1" applyFill="1" applyFont="1" applyNumberFormat="1">
      <alignment shrinkToFit="0" wrapText="1"/>
    </xf>
    <xf borderId="0" fillId="6" fontId="2" numFmtId="164" xfId="0" applyAlignment="1" applyFill="1" applyFont="1" applyNumberFormat="1">
      <alignment horizontal="right" readingOrder="0" shrinkToFit="0" wrapText="1"/>
    </xf>
    <xf borderId="0" fillId="6" fontId="2" numFmtId="164" xfId="0" applyAlignment="1" applyFill="1" applyFont="1" applyNumberFormat="1">
      <alignment readingOrder="0"/>
    </xf>
    <xf borderId="0" fillId="0" fontId="2" numFmtId="49" xfId="0" applyAlignment="1" applyFont="1" applyNumberFormat="1">
      <alignment horizontal="right" readingOrder="0" vertical="bottom"/>
    </xf>
    <xf borderId="0" fillId="6" fontId="2" numFmtId="49" xfId="0" applyAlignment="1" applyFill="1" applyFont="1" applyNumberFormat="1">
      <alignment horizontal="right" readingOrder="0" vertical="bottom"/>
    </xf>
    <xf borderId="7" fillId="6" fontId="2" numFmtId="164" xfId="0" applyAlignment="1" applyBorder="1" applyFill="1" applyFont="1" applyNumberFormat="1">
      <alignment horizontal="right" readingOrder="0" shrinkToFit="0" wrapText="1"/>
    </xf>
    <xf borderId="7" fillId="6" fontId="2" numFmtId="164" xfId="0" applyAlignment="1" applyBorder="1" applyFill="1" applyFont="1" applyNumberFormat="1">
      <alignment readingOrder="0"/>
    </xf>
    <xf borderId="7" fillId="6" fontId="2" numFmtId="164" xfId="0" applyBorder="1" applyFill="1" applyFont="1" applyNumberFormat="1"/>
    <xf borderId="7" fillId="6" fontId="2" numFmtId="164" xfId="0" applyAlignment="1" applyBorder="1" applyFill="1" applyFont="1" applyNumberFormat="1">
      <alignment horizontal="right" shrinkToFit="0" wrapText="1"/>
    </xf>
    <xf borderId="6" fillId="0" fontId="1" numFmtId="49" xfId="0" applyAlignment="1" applyBorder="1" applyFont="1" applyNumberFormat="1">
      <alignment horizontal="right" shrinkToFit="0" vertical="bottom" wrapText="1"/>
    </xf>
    <xf borderId="8" fillId="4" fontId="1" numFmtId="164" xfId="0" applyAlignment="1" applyBorder="1" applyFill="1" applyFont="1" applyNumberFormat="1">
      <alignment horizontal="right" shrinkToFit="0" vertical="bottom" wrapText="1"/>
    </xf>
    <xf borderId="0" fillId="5" fontId="1" numFmtId="49" xfId="0" applyAlignment="1" applyFill="1" applyFont="1" applyNumberFormat="1">
      <alignment horizontal="right" shrinkToFit="0" wrapText="1"/>
    </xf>
    <xf borderId="0" fillId="5" fontId="1" numFmtId="0" xfId="0" applyAlignment="1" applyFill="1" applyFont="1">
      <alignment shrinkToFit="0" wrapText="1"/>
    </xf>
    <xf borderId="0" fillId="5" fontId="2" numFmtId="164" xfId="0" applyAlignment="1" applyFill="1" applyFont="1" applyNumberFormat="1">
      <alignment shrinkToFit="0" vertical="bottom" wrapText="1"/>
    </xf>
    <xf borderId="0" fillId="5" fontId="2" numFmtId="0" xfId="0" applyAlignment="1" applyFill="1" applyFont="1">
      <alignment readingOrder="0" shrinkToFit="0" wrapText="1"/>
    </xf>
    <xf borderId="0" fillId="5" fontId="2" numFmtId="164" xfId="0" applyAlignment="1" applyFill="1" applyFont="1" applyNumberFormat="1">
      <alignment horizontal="right" shrinkToFit="0" wrapText="1"/>
    </xf>
    <xf borderId="0" fillId="5" fontId="2" numFmtId="49" xfId="0" applyAlignment="1" applyFill="1" applyFont="1" applyNumberFormat="1">
      <alignment horizontal="right" readingOrder="0" shrinkToFit="0" vertical="bottom" wrapText="1"/>
    </xf>
    <xf borderId="0" fillId="5" fontId="1" numFmtId="49" xfId="0" applyAlignment="1" applyFill="1" applyFont="1" applyNumberFormat="1">
      <alignment horizontal="right" readingOrder="0" shrinkToFit="0" wrapText="1"/>
    </xf>
    <xf borderId="0" fillId="5" fontId="1" numFmtId="0" xfId="0" applyAlignment="1" applyFill="1" applyFont="1">
      <alignment readingOrder="0" shrinkToFit="0" wrapText="1"/>
    </xf>
    <xf borderId="0" fillId="5" fontId="2" numFmtId="164" xfId="0" applyAlignment="1" applyFill="1" applyFont="1" applyNumberFormat="1">
      <alignment shrinkToFit="0" wrapText="1"/>
    </xf>
    <xf borderId="7" fillId="5" fontId="2" numFmtId="164" xfId="0" applyAlignment="1" applyBorder="1" applyFill="1" applyFont="1" applyNumberFormat="1">
      <alignment horizontal="right" readingOrder="0" shrinkToFit="0" wrapText="1"/>
    </xf>
    <xf borderId="0" fillId="0" fontId="2" numFmtId="49" xfId="0" applyAlignment="1" applyFont="1" applyNumberFormat="1">
      <alignment horizontal="right" shrinkToFit="0" wrapText="1"/>
    </xf>
    <xf borderId="0" fillId="5" fontId="2" numFmtId="49" xfId="0" applyAlignment="1" applyFill="1" applyFont="1" applyNumberFormat="1">
      <alignment horizontal="right" shrinkToFit="0" wrapText="1"/>
    </xf>
    <xf borderId="6" fillId="5" fontId="1" numFmtId="49" xfId="0" applyAlignment="1" applyBorder="1" applyFill="1" applyFont="1" applyNumberFormat="1">
      <alignment horizontal="right" readingOrder="0" shrinkToFit="0" wrapText="1"/>
    </xf>
    <xf borderId="0" fillId="5" fontId="2" numFmtId="0" xfId="0" applyAlignment="1" applyFill="1" applyFont="1">
      <alignment shrinkToFit="0" wrapText="1"/>
    </xf>
    <xf borderId="6" fillId="5" fontId="1" numFmtId="49" xfId="0" applyAlignment="1" applyBorder="1" applyFill="1" applyFont="1" applyNumberFormat="1">
      <alignment horizontal="right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shrinkToFit="0" wrapText="1"/>
    </xf>
    <xf borderId="0" fillId="0" fontId="2" numFmtId="0" xfId="0" applyAlignment="1" applyFont="1">
      <alignment horizontal="right" readingOrder="0" shrinkToFit="0" vertical="center" wrapText="1"/>
    </xf>
    <xf borderId="0" fillId="7" fontId="7" numFmtId="49" xfId="0" applyAlignment="1" applyFill="1" applyFont="1" applyNumberFormat="1">
      <alignment horizontal="right" readingOrder="0" shrinkToFit="0" vertical="bottom" wrapText="1"/>
    </xf>
    <xf borderId="0" fillId="7" fontId="7" numFmtId="0" xfId="0" applyAlignment="1" applyFill="1" applyFont="1">
      <alignment readingOrder="0" shrinkToFit="0" vertical="bottom" wrapText="1"/>
    </xf>
    <xf borderId="0" fillId="7" fontId="2" numFmtId="164" xfId="0" applyAlignment="1" applyFill="1" applyFont="1" applyNumberFormat="1">
      <alignment vertical="bottom"/>
    </xf>
    <xf borderId="0" fillId="7" fontId="2" numFmtId="164" xfId="0" applyAlignment="1" applyFill="1" applyFont="1" applyNumberFormat="1">
      <alignment vertical="bottom"/>
    </xf>
    <xf borderId="0" fillId="7" fontId="7" numFmtId="49" xfId="0" applyAlignment="1" applyFill="1" applyFont="1" applyNumberFormat="1">
      <alignment horizontal="right" shrinkToFit="0" vertical="bottom" wrapText="1"/>
    </xf>
    <xf borderId="0" fillId="7" fontId="7" numFmtId="0" xfId="0" applyAlignment="1" applyFill="1" applyFont="1">
      <alignment shrinkToFit="0" vertical="bottom" wrapText="1"/>
    </xf>
    <xf borderId="0" fillId="7" fontId="2" numFmtId="164" xfId="0" applyAlignment="1" applyFill="1" applyFont="1" applyNumberFormat="1">
      <alignment horizontal="right"/>
    </xf>
    <xf borderId="0" fillId="7" fontId="2" numFmtId="0" xfId="0" applyAlignment="1" applyFill="1" applyFont="1">
      <alignment horizontal="right" readingOrder="0" shrinkToFit="0" wrapText="1"/>
    </xf>
    <xf borderId="0" fillId="7" fontId="2" numFmtId="0" xfId="0" applyAlignment="1" applyFill="1" applyFont="1">
      <alignment readingOrder="0" shrinkToFit="0" vertical="center" wrapText="1"/>
    </xf>
    <xf borderId="0" fillId="7" fontId="2" numFmtId="164" xfId="0" applyAlignment="1" applyFill="1" applyFont="1" applyNumberFormat="1">
      <alignment horizontal="right" readingOrder="0" shrinkToFit="0" vertical="center" wrapText="1"/>
    </xf>
    <xf borderId="0" fillId="7" fontId="2" numFmtId="164" xfId="0" applyAlignment="1" applyFill="1" applyFont="1" applyNumberFormat="1">
      <alignment horizontal="right" shrinkToFit="0" vertical="center" wrapText="1"/>
    </xf>
    <xf borderId="0" fillId="7" fontId="2" numFmtId="164" xfId="0" applyAlignment="1" applyFill="1" applyFont="1" applyNumberFormat="1">
      <alignment horizontal="right" shrinkToFit="0" wrapText="1"/>
    </xf>
    <xf borderId="0" fillId="7" fontId="2" numFmtId="49" xfId="0" applyAlignment="1" applyFill="1" applyFont="1" applyNumberFormat="1">
      <alignment vertical="bottom"/>
    </xf>
    <xf borderId="6" fillId="7" fontId="7" numFmtId="0" xfId="0" applyAlignment="1" applyBorder="1" applyFill="1" applyFont="1">
      <alignment horizontal="right" readingOrder="0" shrinkToFit="0" vertical="bottom" wrapText="1"/>
    </xf>
    <xf borderId="9" fillId="7" fontId="7" numFmtId="164" xfId="0" applyAlignment="1" applyBorder="1" applyFill="1" applyFont="1" applyNumberFormat="1">
      <alignment horizontal="right" shrinkToFit="0" vertical="bottom" wrapText="1"/>
    </xf>
    <xf borderId="0" fillId="0" fontId="7" numFmtId="49" xfId="0" applyAlignment="1" applyFont="1" applyNumberFormat="1">
      <alignment horizontal="right" readingOrder="0"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0" fontId="8" numFmtId="49" xfId="0" applyAlignment="1" applyFont="1" applyNumberFormat="1">
      <alignment horizontal="right" readingOrder="0" vertical="bottom"/>
    </xf>
    <xf borderId="0" fillId="0" fontId="8" numFmtId="0" xfId="0" applyAlignment="1" applyFont="1">
      <alignment shrinkToFit="0" vertical="bottom" wrapText="1"/>
    </xf>
    <xf borderId="7" fillId="0" fontId="8" numFmtId="164" xfId="0" applyAlignment="1" applyBorder="1" applyFont="1" applyNumberFormat="1">
      <alignment horizontal="right" shrinkToFit="0" vertical="bottom" wrapText="1"/>
    </xf>
    <xf borderId="7" fillId="0" fontId="8" numFmtId="164" xfId="0" applyAlignment="1" applyBorder="1" applyFont="1" applyNumberFormat="1">
      <alignment horizontal="right" vertical="bottom"/>
    </xf>
    <xf borderId="7" fillId="0" fontId="2" numFmtId="164" xfId="0" applyAlignment="1" applyBorder="1" applyFont="1" applyNumberFormat="1">
      <alignment vertical="bottom"/>
    </xf>
    <xf borderId="6" fillId="0" fontId="7" numFmtId="0" xfId="0" applyAlignment="1" applyBorder="1" applyFont="1">
      <alignment horizontal="right" readingOrder="0" shrinkToFit="0" vertical="bottom" wrapText="1"/>
    </xf>
    <xf borderId="9" fillId="4" fontId="7" numFmtId="164" xfId="0" applyAlignment="1" applyBorder="1" applyFill="1" applyFont="1" applyNumberFormat="1">
      <alignment horizontal="right" shrinkToFit="0" vertical="bottom" wrapText="1"/>
    </xf>
    <xf borderId="4" fillId="3" fontId="9" numFmtId="0" xfId="0" applyAlignment="1" applyBorder="1" applyFill="1" applyFont="1">
      <alignment horizontal="right" readingOrder="0" shrinkToFit="0" vertical="center" wrapText="1"/>
    </xf>
    <xf borderId="4" fillId="3" fontId="9" numFmtId="164" xfId="0" applyAlignment="1" applyBorder="1" applyFill="1" applyFont="1" applyNumberFormat="1">
      <alignment horizontal="right" shrinkToFit="0" vertical="center" wrapText="1"/>
    </xf>
    <xf borderId="4" fillId="6" fontId="1" numFmtId="0" xfId="0" applyAlignment="1" applyBorder="1" applyFill="1" applyFont="1">
      <alignment horizontal="center" readingOrder="0" shrinkToFit="0" vertical="center" wrapText="1"/>
    </xf>
    <xf borderId="4" fillId="6" fontId="1" numFmtId="164" xfId="0" applyAlignment="1" applyBorder="1" applyFill="1" applyFont="1" applyNumberFormat="1">
      <alignment horizontal="center" shrinkToFit="0" vertical="center" wrapText="1"/>
    </xf>
    <xf borderId="4" fillId="6" fontId="1" numFmtId="164" xfId="0" applyAlignment="1" applyBorder="1" applyFill="1" applyFont="1" applyNumberFormat="1">
      <alignment horizontal="center" shrinkToFit="0" vertical="center" wrapText="1"/>
    </xf>
    <xf borderId="4" fillId="6" fontId="1" numFmtId="164" xfId="0" applyAlignment="1" applyBorder="1" applyFill="1" applyFont="1" applyNumberFormat="1">
      <alignment horizontal="center" readingOrder="0" shrinkToFit="0" vertical="center" wrapText="1"/>
    </xf>
    <xf borderId="4" fillId="6" fontId="9" numFmtId="164" xfId="0" applyAlignment="1" applyBorder="1" applyFill="1" applyFont="1" applyNumberFormat="1">
      <alignment horizontal="right" shrinkToFit="0" vertical="center" wrapText="1"/>
    </xf>
    <xf borderId="4" fillId="2" fontId="1" numFmtId="0" xfId="0" applyAlignment="1" applyBorder="1" applyFill="1" applyFont="1">
      <alignment horizontal="center" shrinkToFit="0" vertical="bottom" wrapText="1"/>
    </xf>
    <xf borderId="3" fillId="2" fontId="1" numFmtId="164" xfId="0" applyAlignment="1" applyBorder="1" applyFill="1" applyFont="1" applyNumberFormat="1">
      <alignment horizontal="center" shrinkToFit="0" vertical="bottom" wrapText="1"/>
    </xf>
    <xf borderId="1" fillId="2" fontId="1" numFmtId="164" xfId="0" applyAlignment="1" applyBorder="1" applyFill="1" applyFont="1" applyNumberFormat="1">
      <alignment horizontal="center" shrinkToFit="0" vertical="bottom" wrapText="1"/>
    </xf>
    <xf borderId="10" fillId="0" fontId="2" numFmtId="164" xfId="0" applyAlignment="1" applyBorder="1" applyFont="1" applyNumberFormat="1">
      <alignment vertical="bottom"/>
    </xf>
    <xf borderId="4" fillId="3" fontId="1" numFmtId="49" xfId="0" applyAlignment="1" applyBorder="1" applyFill="1" applyFont="1" applyNumberFormat="1">
      <alignment horizontal="center" readingOrder="0" vertical="bottom"/>
    </xf>
    <xf borderId="1" fillId="3" fontId="1" numFmtId="49" xfId="0" applyAlignment="1" applyBorder="1" applyFill="1" applyFont="1" applyNumberFormat="1">
      <alignment horizontal="center" readingOrder="0" vertical="bottom"/>
    </xf>
    <xf borderId="4" fillId="3" fontId="1" numFmtId="49" xfId="0" applyAlignment="1" applyBorder="1" applyFill="1" applyFont="1" applyNumberFormat="1">
      <alignment horizontal="center" vertical="bottom"/>
    </xf>
    <xf borderId="11" fillId="0" fontId="2" numFmtId="164" xfId="0" applyAlignment="1" applyBorder="1" applyFont="1" applyNumberFormat="1">
      <alignment vertical="bottom"/>
    </xf>
    <xf borderId="12" fillId="8" fontId="1" numFmtId="164" xfId="0" applyAlignment="1" applyBorder="1" applyFill="1" applyFont="1" applyNumberFormat="1">
      <alignment horizontal="center" readingOrder="0" vertical="bottom"/>
    </xf>
    <xf borderId="12" fillId="8" fontId="1" numFmtId="164" xfId="0" applyAlignment="1" applyBorder="1" applyFill="1" applyFont="1" applyNumberFormat="1">
      <alignment horizontal="center" vertical="bottom"/>
    </xf>
    <xf borderId="0" fillId="0" fontId="2" numFmtId="49" xfId="0" applyAlignment="1" applyFont="1" applyNumberFormat="1">
      <alignment horizontal="center" shrinkToFit="0" vertical="bottom" wrapText="1"/>
    </xf>
    <xf borderId="0" fillId="5" fontId="2" numFmtId="164" xfId="0" applyAlignment="1" applyFill="1" applyFont="1" applyNumberFormat="1">
      <alignment horizontal="right" readingOrder="0" shrinkToFit="0" vertical="bottom" wrapText="1"/>
    </xf>
    <xf borderId="0" fillId="0" fontId="10" numFmtId="164" xfId="0" applyFont="1" applyNumberFormat="1"/>
    <xf borderId="0" fillId="5" fontId="10" numFmtId="164" xfId="0" applyFill="1" applyFont="1" applyNumberFormat="1"/>
    <xf borderId="0" fillId="5" fontId="2" numFmtId="164" xfId="0" applyAlignment="1" applyFill="1" applyFont="1" applyNumberFormat="1">
      <alignment readingOrder="0" vertical="bottom"/>
    </xf>
    <xf borderId="0" fillId="5" fontId="2" numFmtId="164" xfId="0" applyAlignment="1" applyFill="1" applyFont="1" applyNumberFormat="1">
      <alignment horizontal="right" shrinkToFit="0" vertical="bottom" wrapText="1"/>
    </xf>
    <xf borderId="0" fillId="5" fontId="10" numFmtId="164" xfId="0" applyAlignment="1" applyFill="1" applyFont="1" applyNumberFormat="1">
      <alignment readingOrder="0"/>
    </xf>
    <xf borderId="0" fillId="0" fontId="2" numFmtId="49" xfId="0" applyAlignment="1" applyFont="1" applyNumberFormat="1">
      <alignment horizontal="center" readingOrder="0" shrinkToFit="0" vertical="bottom" wrapText="1"/>
    </xf>
    <xf borderId="0" fillId="0" fontId="2" numFmtId="49" xfId="0" applyAlignment="1" applyFont="1" applyNumberFormat="1">
      <alignment horizontal="center" vertical="bottom"/>
    </xf>
    <xf borderId="0" fillId="5" fontId="0" numFmtId="164" xfId="0" applyAlignment="1" applyFill="1" applyFont="1" applyNumberFormat="1">
      <alignment readingOrder="0"/>
    </xf>
    <xf borderId="0" fillId="0" fontId="2" numFmtId="1" xfId="0" applyAlignment="1" applyFont="1" applyNumberFormat="1">
      <alignment shrinkToFit="0" vertical="bottom" wrapText="1"/>
    </xf>
    <xf borderId="0" fillId="0" fontId="10" numFmtId="164" xfId="0" applyAlignment="1" applyFont="1" applyNumberFormat="1">
      <alignment readingOrder="0"/>
    </xf>
    <xf borderId="0" fillId="0" fontId="2" numFmtId="49" xfId="0" applyAlignment="1" applyFont="1" applyNumberFormat="1">
      <alignment horizontal="center" readingOrder="0" vertical="bottom"/>
    </xf>
    <xf borderId="0" fillId="0" fontId="10" numFmtId="164" xfId="0" applyAlignment="1" applyFont="1" applyNumberFormat="1">
      <alignment vertical="top"/>
    </xf>
    <xf borderId="0" fillId="0" fontId="10" numFmtId="164" xfId="0" applyAlignment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21d963d5-d1e9-4477-abea-6d2f2cf5ce02}">
    <Anchor>
      <Comment id="{8b1a36de-dd68-4e8a-bd5e-5f450856c2a4}"/>
    </Anchor>
    <History>
      <Event time="2024-10-15T22:49:23.00" id="{73396286-f61f-4535-a6dd-8fe3aebdc303}">
        <Attribution userId="placeholder@email.com" userName="Guillermo López" userProvider="google-sheets"/>
        <Anchor>
          <Comment id="{8b1a36de-dd68-4e8a-bd5e-5f450856c2a4}"/>
        </Anchor>
        <Create/>
      </Event>
      <Event time="2024-10-15T22:49:23.00" id="{e9ac8d4d-ed25-4b03-a568-e318685f5b7d}">
        <Attribution userId="placeholder@email.com" userName="Guillermo López" userProvider="google-sheets"/>
        <Anchor>
          <Comment id="{8b1a36de-dd68-4e8a-bd5e-5f450856c2a4}"/>
        </Anchor>
        <Assign userId="juanma@sentiraranda.es" userName="juanma@sentiraranda.es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uillermo López" id="{1111b029-3d70-408a-ad77-c31dd6c4d076}" providerId="google-sheets"/>
  <x18tc:person displayName="juanma@sentiraranda.es" id="{a341fcef-bfb4-49e9-b26e-94d45db2cb16}" userId="juanma@sentiraranda.es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7" dT="2024-10-15T22:49:23.00" personId="{1111b029-3d70-408a-ad77-c31dd6c4d076}" id="{8b1a36de-dd68-4e8a-bd5e-5f450856c2a4}" done="1">
    <x18tc:text xml:space="preserve">@juanma@sentiraranda.es dame un precio
Asignado a juanma@sentiraranda.es</x18tc:text>
    <x18tc:mentions>
      <x18tc:mention mentionpersonId="{a341fcef-bfb4-49e9-b26e-94d45db2cb16}" mentionId="{fcd53f98-d026-4670-804f-d1ea29c1324f}" startIndex="0" length="23"/>
    </x18tc:mentions>
  </x18tc:threadedComment>
  <x18tc:threadedComment ref="A1" dT="2024-10-23T11:50:21.00" personId="{1111b029-3d70-408a-ad77-c31dd6c4d076}" id="{a3db96d8-18c0-4e3b-8cfd-e9cfeae6675c}" done="0">
    <x18tc:text xml:space="preserve">Vamos a hacer la recuperación de los ríos. EMS 2024 para hacer en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43"/>
    <col customWidth="1" min="2" max="2" width="18.14"/>
    <col customWidth="1" min="3" max="3" width="100.0"/>
    <col customWidth="1" min="4" max="10" width="16.43"/>
    <col customWidth="1" min="11" max="11" width="15.43"/>
    <col customWidth="1" min="12" max="12" width="10.0"/>
    <col customWidth="1" min="13" max="13" width="15.14"/>
    <col customWidth="1" min="14" max="14" width="10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3"/>
    </row>
    <row r="2" ht="15.75" customHeight="1">
      <c r="A2" s="1"/>
      <c r="B2" s="4" t="s">
        <v>0</v>
      </c>
      <c r="C2" s="5"/>
      <c r="D2" s="5"/>
      <c r="E2" s="5"/>
      <c r="F2" s="5"/>
      <c r="G2" s="5"/>
      <c r="H2" s="5"/>
      <c r="I2" s="5"/>
      <c r="J2" s="6"/>
      <c r="K2" s="2"/>
      <c r="L2" s="3"/>
      <c r="M2" s="3"/>
      <c r="N2" s="3"/>
    </row>
    <row r="3" ht="15.75" customHeight="1">
      <c r="A3" s="7"/>
      <c r="B3" s="7"/>
      <c r="C3" s="8"/>
      <c r="D3" s="9"/>
      <c r="E3" s="10"/>
      <c r="F3" s="10"/>
      <c r="G3" s="10"/>
      <c r="H3" s="10"/>
      <c r="I3" s="10"/>
      <c r="J3" s="10"/>
      <c r="K3" s="2"/>
      <c r="L3" s="3"/>
      <c r="M3" s="3"/>
      <c r="N3" s="3"/>
    </row>
    <row r="4">
      <c r="A4" s="11"/>
      <c r="B4" s="12" t="s">
        <v>1</v>
      </c>
      <c r="C4" s="13" t="s">
        <v>2</v>
      </c>
      <c r="D4" s="14" t="s">
        <v>3</v>
      </c>
      <c r="E4" s="15" t="s">
        <v>4</v>
      </c>
      <c r="F4" s="15" t="s">
        <v>5</v>
      </c>
      <c r="G4" s="15" t="s">
        <v>6</v>
      </c>
      <c r="H4" s="16" t="s">
        <v>7</v>
      </c>
      <c r="I4" s="16" t="s">
        <v>8</v>
      </c>
      <c r="J4" s="15" t="s">
        <v>9</v>
      </c>
      <c r="K4" s="17"/>
      <c r="L4" s="18"/>
      <c r="M4" s="18"/>
      <c r="N4" s="18"/>
    </row>
    <row r="5" ht="15.75" customHeight="1">
      <c r="A5" s="19"/>
      <c r="B5" s="19">
        <v>1320.0</v>
      </c>
      <c r="C5" s="20" t="s">
        <v>10</v>
      </c>
      <c r="D5" s="21"/>
      <c r="E5" s="22"/>
      <c r="F5" s="22"/>
      <c r="G5" s="22"/>
      <c r="H5" s="22"/>
      <c r="I5" s="22"/>
      <c r="J5" s="22"/>
      <c r="K5" s="23"/>
      <c r="L5" s="3"/>
      <c r="M5" s="3"/>
      <c r="N5" s="3"/>
    </row>
    <row r="6" ht="15.75" customHeight="1">
      <c r="A6" s="19"/>
      <c r="B6" s="19">
        <v>622.0</v>
      </c>
      <c r="C6" s="24" t="s">
        <v>11</v>
      </c>
      <c r="D6" s="21"/>
      <c r="E6" s="25"/>
      <c r="F6" s="22"/>
      <c r="G6" s="22"/>
      <c r="H6" s="22"/>
      <c r="I6" s="22"/>
      <c r="J6" s="22"/>
      <c r="K6" s="23">
        <f>SUM(J7)</f>
        <v>20000</v>
      </c>
      <c r="L6" s="3"/>
      <c r="M6" s="3"/>
      <c r="N6" s="3"/>
    </row>
    <row r="7" ht="15.75" customHeight="1">
      <c r="A7" s="26"/>
      <c r="B7" s="26"/>
      <c r="C7" s="27" t="s">
        <v>12</v>
      </c>
      <c r="D7" s="21">
        <v>20000.0</v>
      </c>
      <c r="E7" s="25">
        <v>20000.0</v>
      </c>
      <c r="F7" s="22"/>
      <c r="G7" s="22"/>
      <c r="H7" s="22"/>
      <c r="I7" s="22"/>
      <c r="J7" s="22">
        <f>SUM(E7:H7)</f>
        <v>20000</v>
      </c>
      <c r="K7" s="23"/>
      <c r="L7" s="3"/>
      <c r="M7" s="3"/>
      <c r="N7" s="3"/>
    </row>
    <row r="8" ht="15.75" customHeight="1">
      <c r="A8" s="28"/>
      <c r="B8" s="28"/>
      <c r="C8" s="29">
        <v>1320.0</v>
      </c>
      <c r="D8" s="30">
        <f t="shared" ref="D8:J8" si="1">SUM(D7)</f>
        <v>20000</v>
      </c>
      <c r="E8" s="30">
        <f t="shared" si="1"/>
        <v>20000</v>
      </c>
      <c r="F8" s="30">
        <f t="shared" si="1"/>
        <v>0</v>
      </c>
      <c r="G8" s="30">
        <f t="shared" si="1"/>
        <v>0</v>
      </c>
      <c r="H8" s="30">
        <f t="shared" si="1"/>
        <v>0</v>
      </c>
      <c r="I8" s="30">
        <f t="shared" si="1"/>
        <v>0</v>
      </c>
      <c r="J8" s="30">
        <f t="shared" si="1"/>
        <v>20000</v>
      </c>
      <c r="K8" s="23"/>
      <c r="L8" s="3"/>
      <c r="M8" s="3"/>
      <c r="N8" s="3"/>
    </row>
    <row r="9" ht="15.75" customHeight="1">
      <c r="A9" s="26"/>
      <c r="B9" s="26"/>
      <c r="C9" s="27"/>
      <c r="D9" s="21"/>
      <c r="E9" s="25"/>
      <c r="F9" s="22"/>
      <c r="G9" s="22"/>
      <c r="H9" s="22"/>
      <c r="I9" s="22"/>
      <c r="J9" s="22"/>
      <c r="K9" s="23"/>
      <c r="L9" s="3"/>
      <c r="M9" s="3"/>
      <c r="N9" s="3"/>
    </row>
    <row r="10" ht="15.75" customHeight="1">
      <c r="A10" s="19"/>
      <c r="B10" s="19">
        <v>1330.0</v>
      </c>
      <c r="C10" s="20" t="s">
        <v>13</v>
      </c>
      <c r="D10" s="21"/>
      <c r="E10" s="25"/>
      <c r="F10" s="22"/>
      <c r="G10" s="22"/>
      <c r="H10" s="22"/>
      <c r="I10" s="22"/>
      <c r="J10" s="22"/>
      <c r="K10" s="23"/>
      <c r="L10" s="3"/>
      <c r="M10" s="3"/>
      <c r="N10" s="3"/>
    </row>
    <row r="11" ht="15.75" customHeight="1">
      <c r="A11" s="19"/>
      <c r="B11" s="19">
        <v>619.0</v>
      </c>
      <c r="C11" s="20" t="s">
        <v>14</v>
      </c>
      <c r="D11" s="31"/>
      <c r="E11" s="25"/>
      <c r="F11" s="22"/>
      <c r="G11" s="22"/>
      <c r="H11" s="22"/>
      <c r="I11" s="22"/>
      <c r="J11" s="22"/>
      <c r="K11" s="23">
        <f>SUM(J12)</f>
        <v>25000</v>
      </c>
      <c r="L11" s="3"/>
      <c r="M11" s="3"/>
      <c r="N11" s="3"/>
    </row>
    <row r="12" ht="15.75" customHeight="1">
      <c r="A12" s="26"/>
      <c r="B12" s="26"/>
      <c r="C12" s="32" t="s">
        <v>15</v>
      </c>
      <c r="D12" s="31">
        <v>25000.0</v>
      </c>
      <c r="E12" s="25">
        <v>25000.0</v>
      </c>
      <c r="F12" s="22"/>
      <c r="G12" s="22"/>
      <c r="H12" s="22"/>
      <c r="I12" s="22"/>
      <c r="J12" s="22">
        <f>SUM(E12:H12)</f>
        <v>25000</v>
      </c>
      <c r="K12" s="23"/>
      <c r="L12" s="3"/>
      <c r="M12" s="3"/>
      <c r="N12" s="3"/>
    </row>
    <row r="13" ht="15.75" customHeight="1">
      <c r="A13" s="28"/>
      <c r="B13" s="28"/>
      <c r="C13" s="33" t="s">
        <v>16</v>
      </c>
      <c r="D13" s="30">
        <f t="shared" ref="D13:J13" si="2">SUM(D11:D12)</f>
        <v>25000</v>
      </c>
      <c r="E13" s="30">
        <f t="shared" si="2"/>
        <v>25000</v>
      </c>
      <c r="F13" s="30">
        <f t="shared" si="2"/>
        <v>0</v>
      </c>
      <c r="G13" s="30">
        <f t="shared" si="2"/>
        <v>0</v>
      </c>
      <c r="H13" s="30">
        <f t="shared" si="2"/>
        <v>0</v>
      </c>
      <c r="I13" s="30">
        <f t="shared" si="2"/>
        <v>0</v>
      </c>
      <c r="J13" s="30">
        <f t="shared" si="2"/>
        <v>25000</v>
      </c>
      <c r="K13" s="23"/>
      <c r="L13" s="3"/>
      <c r="M13" s="3"/>
      <c r="N13" s="3"/>
    </row>
    <row r="14" ht="15.75" customHeight="1">
      <c r="A14" s="26"/>
      <c r="B14" s="26"/>
      <c r="C14" s="27"/>
      <c r="D14" s="21"/>
      <c r="E14" s="22"/>
      <c r="F14" s="22"/>
      <c r="G14" s="22"/>
      <c r="H14" s="22"/>
      <c r="I14" s="22"/>
      <c r="J14" s="22"/>
      <c r="K14" s="23"/>
      <c r="L14" s="3"/>
      <c r="M14" s="3"/>
      <c r="N14" s="3"/>
    </row>
    <row r="15" ht="15.75" customHeight="1">
      <c r="A15" s="19"/>
      <c r="B15" s="19">
        <v>1350.0</v>
      </c>
      <c r="C15" s="20" t="s">
        <v>17</v>
      </c>
      <c r="D15" s="21"/>
      <c r="E15" s="22"/>
      <c r="F15" s="22"/>
      <c r="G15" s="22"/>
      <c r="H15" s="22"/>
      <c r="I15" s="22"/>
      <c r="J15" s="22"/>
      <c r="K15" s="23"/>
      <c r="L15" s="3"/>
      <c r="M15" s="3"/>
      <c r="N15" s="3"/>
    </row>
    <row r="16" ht="15.75" customHeight="1">
      <c r="A16" s="19"/>
      <c r="B16" s="19">
        <v>619.0</v>
      </c>
      <c r="C16" s="20" t="s">
        <v>14</v>
      </c>
      <c r="D16" s="21"/>
      <c r="E16" s="22"/>
      <c r="F16" s="22"/>
      <c r="G16" s="22"/>
      <c r="H16" s="22"/>
      <c r="I16" s="22"/>
      <c r="J16" s="22"/>
      <c r="K16" s="34">
        <f>SUM(J17)</f>
        <v>30000</v>
      </c>
      <c r="L16" s="3"/>
      <c r="M16" s="3"/>
      <c r="N16" s="3"/>
    </row>
    <row r="17" ht="15.75" customHeight="1">
      <c r="A17" s="26"/>
      <c r="B17" s="26"/>
      <c r="C17" s="27" t="s">
        <v>18</v>
      </c>
      <c r="D17" s="21">
        <v>30000.0</v>
      </c>
      <c r="E17" s="21">
        <v>30000.0</v>
      </c>
      <c r="F17" s="22"/>
      <c r="G17" s="22"/>
      <c r="H17" s="22"/>
      <c r="I17" s="22"/>
      <c r="J17" s="22">
        <f>SUM(E17:H17)</f>
        <v>30000</v>
      </c>
      <c r="K17" s="23"/>
      <c r="L17" s="3"/>
      <c r="M17" s="3"/>
      <c r="N17" s="3"/>
    </row>
    <row r="18" ht="15.75" customHeight="1">
      <c r="A18" s="19"/>
      <c r="B18" s="19">
        <v>622.0</v>
      </c>
      <c r="C18" s="24" t="s">
        <v>11</v>
      </c>
      <c r="D18" s="21"/>
      <c r="E18" s="25"/>
      <c r="F18" s="22"/>
      <c r="G18" s="22"/>
      <c r="H18" s="22"/>
      <c r="I18" s="22"/>
      <c r="J18" s="22"/>
      <c r="K18" s="23">
        <f>SUM(J19)</f>
        <v>25000</v>
      </c>
      <c r="L18" s="3"/>
      <c r="M18" s="3"/>
      <c r="N18" s="3"/>
    </row>
    <row r="19" ht="15.75" customHeight="1">
      <c r="A19" s="26"/>
      <c r="B19" s="26"/>
      <c r="C19" s="27" t="s">
        <v>19</v>
      </c>
      <c r="D19" s="21">
        <v>25000.0</v>
      </c>
      <c r="E19" s="25">
        <v>25000.0</v>
      </c>
      <c r="F19" s="22"/>
      <c r="G19" s="22"/>
      <c r="H19" s="22"/>
      <c r="I19" s="22"/>
      <c r="J19" s="22">
        <f>SUM(E19:H19)</f>
        <v>25000</v>
      </c>
      <c r="K19" s="23"/>
      <c r="L19" s="3"/>
      <c r="M19" s="3"/>
      <c r="N19" s="3"/>
    </row>
    <row r="20" ht="15.75" customHeight="1">
      <c r="A20" s="28"/>
      <c r="B20" s="28"/>
      <c r="C20" s="33" t="s">
        <v>20</v>
      </c>
      <c r="D20" s="30">
        <f t="shared" ref="D20:J20" si="3">SUM(D17:D19)</f>
        <v>55000</v>
      </c>
      <c r="E20" s="30">
        <f t="shared" si="3"/>
        <v>55000</v>
      </c>
      <c r="F20" s="30">
        <f t="shared" si="3"/>
        <v>0</v>
      </c>
      <c r="G20" s="30">
        <f t="shared" si="3"/>
        <v>0</v>
      </c>
      <c r="H20" s="30">
        <f t="shared" si="3"/>
        <v>0</v>
      </c>
      <c r="I20" s="30">
        <f t="shared" si="3"/>
        <v>0</v>
      </c>
      <c r="J20" s="30">
        <f t="shared" si="3"/>
        <v>55000</v>
      </c>
      <c r="K20" s="23"/>
      <c r="L20" s="3"/>
      <c r="M20" s="3"/>
      <c r="N20" s="3"/>
    </row>
    <row r="21" ht="15.75" customHeight="1">
      <c r="A21" s="26"/>
      <c r="B21" s="26"/>
      <c r="C21" s="27"/>
      <c r="D21" s="21"/>
      <c r="E21" s="22"/>
      <c r="F21" s="22"/>
      <c r="G21" s="22"/>
      <c r="H21" s="22"/>
      <c r="I21" s="22"/>
      <c r="J21" s="22"/>
      <c r="K21" s="23"/>
      <c r="L21" s="3"/>
      <c r="M21" s="3"/>
      <c r="N21" s="3"/>
    </row>
    <row r="22" ht="15.75" customHeight="1">
      <c r="A22" s="19"/>
      <c r="B22" s="19">
        <v>1360.0</v>
      </c>
      <c r="C22" s="20" t="s">
        <v>21</v>
      </c>
      <c r="D22" s="21"/>
      <c r="E22" s="22"/>
      <c r="F22" s="35"/>
      <c r="G22" s="35"/>
      <c r="H22" s="22"/>
      <c r="I22" s="22"/>
      <c r="J22" s="22"/>
      <c r="K22" s="23"/>
      <c r="L22" s="3"/>
      <c r="M22" s="3"/>
      <c r="N22" s="3"/>
    </row>
    <row r="23" ht="15.75" customHeight="1">
      <c r="A23" s="19"/>
      <c r="B23" s="36">
        <v>629.0</v>
      </c>
      <c r="C23" s="37" t="s">
        <v>22</v>
      </c>
      <c r="D23" s="21"/>
      <c r="E23" s="21"/>
      <c r="F23" s="16" t="s">
        <v>23</v>
      </c>
      <c r="G23" s="22"/>
      <c r="H23" s="22"/>
      <c r="I23" s="22"/>
      <c r="J23" s="22"/>
      <c r="K23" s="23">
        <f>SUM(J24)</f>
        <v>300000</v>
      </c>
      <c r="L23" s="3"/>
      <c r="M23" s="3"/>
      <c r="N23" s="3"/>
    </row>
    <row r="24" ht="15.75" customHeight="1">
      <c r="A24" s="26"/>
      <c r="B24" s="26"/>
      <c r="C24" s="27" t="s">
        <v>24</v>
      </c>
      <c r="D24" s="21">
        <v>300000.0</v>
      </c>
      <c r="E24" s="21">
        <v>90000.0</v>
      </c>
      <c r="F24" s="25">
        <v>210000.0</v>
      </c>
      <c r="G24" s="22"/>
      <c r="H24" s="22"/>
      <c r="I24" s="22"/>
      <c r="J24" s="22">
        <f>SUM(E24:H24)</f>
        <v>300000</v>
      </c>
      <c r="K24" s="23"/>
      <c r="L24" s="3"/>
      <c r="M24" s="3"/>
      <c r="N24" s="3"/>
    </row>
    <row r="25" ht="15.75" customHeight="1">
      <c r="A25" s="19"/>
      <c r="B25" s="19">
        <v>635.0</v>
      </c>
      <c r="C25" s="20" t="s">
        <v>25</v>
      </c>
      <c r="D25" s="21"/>
      <c r="E25" s="21"/>
      <c r="F25" s="22"/>
      <c r="G25" s="22"/>
      <c r="H25" s="22"/>
      <c r="I25" s="22"/>
      <c r="J25" s="22"/>
      <c r="K25" s="23">
        <f>SUM(J26)</f>
        <v>10000</v>
      </c>
      <c r="L25" s="3"/>
      <c r="M25" s="3"/>
      <c r="N25" s="3"/>
    </row>
    <row r="26" ht="15.75" customHeight="1">
      <c r="A26" s="26"/>
      <c r="B26" s="26"/>
      <c r="C26" s="27" t="s">
        <v>26</v>
      </c>
      <c r="D26" s="21">
        <v>10000.0</v>
      </c>
      <c r="E26" s="21">
        <v>10000.0</v>
      </c>
      <c r="F26" s="25"/>
      <c r="G26" s="22"/>
      <c r="H26" s="22"/>
      <c r="I26" s="22"/>
      <c r="J26" s="22">
        <f>SUM(E26:H26)</f>
        <v>10000</v>
      </c>
      <c r="K26" s="23"/>
      <c r="L26" s="3"/>
      <c r="M26" s="3"/>
      <c r="N26" s="3"/>
    </row>
    <row r="27" ht="15.75" customHeight="1">
      <c r="A27" s="19"/>
      <c r="B27" s="19">
        <v>641.0</v>
      </c>
      <c r="C27" s="20" t="s">
        <v>27</v>
      </c>
      <c r="D27" s="21"/>
      <c r="E27" s="25"/>
      <c r="F27" s="25"/>
      <c r="G27" s="35"/>
      <c r="H27" s="22"/>
      <c r="I27" s="22"/>
      <c r="J27" s="22"/>
      <c r="K27" s="23">
        <f>SUM(J28)</f>
        <v>30000</v>
      </c>
      <c r="L27" s="3"/>
      <c r="M27" s="3"/>
      <c r="N27" s="3"/>
    </row>
    <row r="28" ht="15.75" customHeight="1">
      <c r="A28" s="26"/>
      <c r="B28" s="26"/>
      <c r="C28" s="27" t="s">
        <v>28</v>
      </c>
      <c r="D28" s="21">
        <v>30000.0</v>
      </c>
      <c r="E28" s="21">
        <v>30000.0</v>
      </c>
      <c r="F28" s="25"/>
      <c r="G28" s="22"/>
      <c r="H28" s="22"/>
      <c r="I28" s="22"/>
      <c r="J28" s="22">
        <f>SUM(E28:H28)</f>
        <v>30000</v>
      </c>
      <c r="K28" s="23"/>
      <c r="L28" s="3"/>
      <c r="M28" s="3"/>
      <c r="N28" s="3"/>
    </row>
    <row r="29" ht="15.75" customHeight="1">
      <c r="A29" s="28"/>
      <c r="B29" s="28"/>
      <c r="C29" s="33" t="s">
        <v>29</v>
      </c>
      <c r="D29" s="30">
        <f t="shared" ref="D29:J29" si="4">SUM(D23:D28)</f>
        <v>340000</v>
      </c>
      <c r="E29" s="30">
        <f t="shared" si="4"/>
        <v>130000</v>
      </c>
      <c r="F29" s="30">
        <f t="shared" si="4"/>
        <v>210000</v>
      </c>
      <c r="G29" s="30">
        <f t="shared" si="4"/>
        <v>0</v>
      </c>
      <c r="H29" s="30">
        <f t="shared" si="4"/>
        <v>0</v>
      </c>
      <c r="I29" s="30">
        <f t="shared" si="4"/>
        <v>0</v>
      </c>
      <c r="J29" s="30">
        <f t="shared" si="4"/>
        <v>340000</v>
      </c>
      <c r="K29" s="23"/>
      <c r="L29" s="3"/>
      <c r="M29" s="3"/>
      <c r="N29" s="3"/>
    </row>
    <row r="30" ht="15.75" customHeight="1">
      <c r="A30" s="26"/>
      <c r="B30" s="26"/>
      <c r="C30" s="27"/>
      <c r="D30" s="38"/>
      <c r="E30" s="22"/>
      <c r="F30" s="22"/>
      <c r="G30" s="22"/>
      <c r="H30" s="22"/>
      <c r="I30" s="22"/>
      <c r="J30" s="22"/>
      <c r="K30" s="23"/>
      <c r="L30" s="3"/>
      <c r="M30" s="3"/>
      <c r="N30" s="3"/>
    </row>
    <row r="31" ht="15.75" customHeight="1">
      <c r="A31" s="19"/>
      <c r="B31" s="19">
        <v>1500.0</v>
      </c>
      <c r="C31" s="20" t="s">
        <v>30</v>
      </c>
      <c r="D31" s="38"/>
      <c r="E31" s="22"/>
      <c r="F31" s="22"/>
      <c r="G31" s="22"/>
      <c r="H31" s="22"/>
      <c r="I31" s="22"/>
      <c r="J31" s="22"/>
      <c r="K31" s="23"/>
      <c r="L31" s="3"/>
      <c r="M31" s="3"/>
      <c r="N31" s="3"/>
    </row>
    <row r="32" ht="15.75" customHeight="1">
      <c r="A32" s="19"/>
      <c r="B32" s="19">
        <v>619.0</v>
      </c>
      <c r="C32" s="20" t="s">
        <v>14</v>
      </c>
      <c r="D32" s="38"/>
      <c r="E32" s="38"/>
      <c r="F32" s="22"/>
      <c r="G32" s="22"/>
      <c r="H32" s="22"/>
      <c r="I32" s="22"/>
      <c r="J32" s="22"/>
      <c r="K32" s="23">
        <f>SUM(J33:J34)</f>
        <v>6000</v>
      </c>
      <c r="L32" s="3"/>
      <c r="M32" s="3"/>
      <c r="N32" s="3"/>
    </row>
    <row r="33" ht="15.75" customHeight="1">
      <c r="A33" s="26"/>
      <c r="B33" s="26"/>
      <c r="C33" s="27" t="s">
        <v>31</v>
      </c>
      <c r="D33" s="38">
        <v>3500.0</v>
      </c>
      <c r="E33" s="38">
        <v>3500.0</v>
      </c>
      <c r="F33" s="22"/>
      <c r="G33" s="22"/>
      <c r="H33" s="22"/>
      <c r="I33" s="22"/>
      <c r="J33" s="22">
        <f t="shared" ref="J33:J34" si="5">SUM(E33:H33)</f>
        <v>3500</v>
      </c>
      <c r="K33" s="23"/>
      <c r="L33" s="3"/>
      <c r="M33" s="3"/>
      <c r="N33" s="3"/>
    </row>
    <row r="34" ht="15.75" customHeight="1">
      <c r="A34" s="26"/>
      <c r="B34" s="26"/>
      <c r="C34" s="27" t="s">
        <v>32</v>
      </c>
      <c r="D34" s="38">
        <v>2500.0</v>
      </c>
      <c r="E34" s="38">
        <v>2500.0</v>
      </c>
      <c r="F34" s="22"/>
      <c r="G34" s="22"/>
      <c r="H34" s="22"/>
      <c r="I34" s="22"/>
      <c r="J34" s="22">
        <f t="shared" si="5"/>
        <v>2500</v>
      </c>
      <c r="K34" s="23"/>
      <c r="L34" s="3"/>
      <c r="M34" s="3"/>
      <c r="N34" s="3"/>
    </row>
    <row r="35" ht="15.75" customHeight="1">
      <c r="A35" s="19"/>
      <c r="B35" s="19">
        <v>636.0</v>
      </c>
      <c r="C35" s="20" t="s">
        <v>33</v>
      </c>
      <c r="D35" s="21"/>
      <c r="E35" s="21"/>
      <c r="F35" s="22"/>
      <c r="G35" s="22"/>
      <c r="H35" s="22"/>
      <c r="I35" s="22"/>
      <c r="J35" s="22"/>
      <c r="K35" s="23">
        <f>SUM(J36)</f>
        <v>12000</v>
      </c>
      <c r="L35" s="3"/>
      <c r="M35" s="3"/>
      <c r="N35" s="3"/>
    </row>
    <row r="36" ht="15.75" customHeight="1">
      <c r="A36" s="26"/>
      <c r="B36" s="26"/>
      <c r="C36" s="27" t="s">
        <v>34</v>
      </c>
      <c r="D36" s="21">
        <v>12000.0</v>
      </c>
      <c r="E36" s="21">
        <v>12000.0</v>
      </c>
      <c r="F36" s="22"/>
      <c r="G36" s="22"/>
      <c r="H36" s="22"/>
      <c r="I36" s="22"/>
      <c r="J36" s="22">
        <f>SUM(E36:H36)</f>
        <v>12000</v>
      </c>
      <c r="K36" s="23"/>
      <c r="L36" s="3"/>
      <c r="M36" s="3"/>
      <c r="N36" s="3"/>
    </row>
    <row r="37" ht="15.75" customHeight="1">
      <c r="A37" s="28"/>
      <c r="B37" s="28"/>
      <c r="C37" s="33" t="s">
        <v>35</v>
      </c>
      <c r="D37" s="30">
        <f t="shared" ref="D37:J37" si="6">SUM(D33:D36)</f>
        <v>18000</v>
      </c>
      <c r="E37" s="30">
        <f t="shared" si="6"/>
        <v>18000</v>
      </c>
      <c r="F37" s="30">
        <f t="shared" si="6"/>
        <v>0</v>
      </c>
      <c r="G37" s="30">
        <f t="shared" si="6"/>
        <v>0</v>
      </c>
      <c r="H37" s="30">
        <f t="shared" si="6"/>
        <v>0</v>
      </c>
      <c r="I37" s="30">
        <f t="shared" si="6"/>
        <v>0</v>
      </c>
      <c r="J37" s="30">
        <f t="shared" si="6"/>
        <v>18000</v>
      </c>
      <c r="K37" s="23"/>
      <c r="L37" s="3"/>
      <c r="M37" s="3"/>
      <c r="N37" s="3"/>
    </row>
    <row r="38" ht="15.75" customHeight="1">
      <c r="A38" s="32"/>
      <c r="B38" s="32"/>
      <c r="C38" s="8"/>
      <c r="D38" s="21"/>
      <c r="E38" s="22"/>
      <c r="F38" s="22"/>
      <c r="G38" s="22"/>
      <c r="H38" s="22"/>
      <c r="I38" s="22"/>
      <c r="J38" s="22"/>
      <c r="K38" s="23"/>
      <c r="L38" s="3"/>
      <c r="M38" s="3"/>
      <c r="N38" s="3"/>
    </row>
    <row r="39" ht="15.75" customHeight="1">
      <c r="A39" s="36"/>
      <c r="B39" s="36" t="s">
        <v>36</v>
      </c>
      <c r="C39" s="39" t="s">
        <v>37</v>
      </c>
      <c r="D39" s="40"/>
      <c r="E39" s="22"/>
      <c r="F39" s="41"/>
      <c r="G39" s="22"/>
      <c r="H39" s="22"/>
      <c r="I39" s="22"/>
      <c r="J39" s="22"/>
      <c r="K39" s="9"/>
      <c r="L39" s="3"/>
      <c r="M39" s="3"/>
      <c r="N39" s="3"/>
    </row>
    <row r="40">
      <c r="A40" s="36"/>
      <c r="B40" s="36" t="s">
        <v>38</v>
      </c>
      <c r="C40" s="39" t="s">
        <v>39</v>
      </c>
      <c r="D40" s="40"/>
      <c r="E40" s="22"/>
      <c r="F40" s="42" t="s">
        <v>40</v>
      </c>
      <c r="H40" s="22"/>
      <c r="I40" s="22"/>
      <c r="J40" s="22"/>
      <c r="K40" s="34">
        <f>SUM(J41)</f>
        <v>3521054.54</v>
      </c>
      <c r="L40" s="3"/>
      <c r="M40" s="3"/>
      <c r="N40" s="3"/>
    </row>
    <row r="41" ht="15.75" customHeight="1">
      <c r="A41" s="43"/>
      <c r="B41" s="44" t="s">
        <v>41</v>
      </c>
      <c r="C41" s="45" t="s">
        <v>42</v>
      </c>
      <c r="D41" s="46">
        <v>3521054.54</v>
      </c>
      <c r="E41" s="47">
        <v>2334542.63</v>
      </c>
      <c r="F41" s="47">
        <v>37926.84</v>
      </c>
      <c r="G41" s="47"/>
      <c r="H41" s="47"/>
      <c r="I41" s="47">
        <v>1148585.07</v>
      </c>
      <c r="J41" s="48">
        <f>SUM(E41:I41)</f>
        <v>3521054.54</v>
      </c>
      <c r="K41" s="49"/>
      <c r="L41" s="50"/>
      <c r="M41" s="50">
        <f>I41/J41</f>
        <v>0.3262048506</v>
      </c>
      <c r="N41" s="50"/>
    </row>
    <row r="42" ht="15.75" customHeight="1">
      <c r="A42" s="43"/>
      <c r="B42" s="43"/>
      <c r="C42" s="51">
        <v>1522.0</v>
      </c>
      <c r="D42" s="52">
        <f t="shared" ref="D42:J42" si="7">SUM(D41)</f>
        <v>3521054.54</v>
      </c>
      <c r="E42" s="52">
        <f t="shared" si="7"/>
        <v>2334542.63</v>
      </c>
      <c r="F42" s="52">
        <f t="shared" si="7"/>
        <v>37926.84</v>
      </c>
      <c r="G42" s="52">
        <f t="shared" si="7"/>
        <v>0</v>
      </c>
      <c r="H42" s="52">
        <f t="shared" si="7"/>
        <v>0</v>
      </c>
      <c r="I42" s="52">
        <f t="shared" si="7"/>
        <v>1148585.07</v>
      </c>
      <c r="J42" s="52">
        <f t="shared" si="7"/>
        <v>3521054.54</v>
      </c>
      <c r="K42" s="23"/>
      <c r="L42" s="3"/>
      <c r="M42" s="3"/>
      <c r="N42" s="3"/>
    </row>
    <row r="43" ht="15.75" customHeight="1">
      <c r="A43" s="32"/>
      <c r="B43" s="32"/>
      <c r="C43" s="8"/>
      <c r="D43" s="21"/>
      <c r="E43" s="22"/>
      <c r="F43" s="22"/>
      <c r="G43" s="22"/>
      <c r="H43" s="22"/>
      <c r="I43" s="22"/>
      <c r="J43" s="22"/>
      <c r="K43" s="23"/>
      <c r="L43" s="3"/>
      <c r="M43" s="3"/>
      <c r="N43" s="3"/>
    </row>
    <row r="44" ht="15.75" customHeight="1">
      <c r="A44" s="53"/>
      <c r="B44" s="53">
        <v>1530.0</v>
      </c>
      <c r="C44" s="20" t="s">
        <v>43</v>
      </c>
      <c r="D44" s="21"/>
      <c r="E44" s="22"/>
      <c r="F44" s="22"/>
      <c r="G44" s="22"/>
      <c r="H44" s="22"/>
      <c r="I44" s="22"/>
      <c r="J44" s="22"/>
      <c r="K44" s="23"/>
      <c r="L44" s="3"/>
      <c r="M44" s="3"/>
      <c r="N44" s="3"/>
    </row>
    <row r="45" ht="15.75" customHeight="1">
      <c r="A45" s="54"/>
      <c r="B45" s="54">
        <v>619.0</v>
      </c>
      <c r="C45" s="20" t="s">
        <v>14</v>
      </c>
      <c r="D45" s="21"/>
      <c r="E45" s="22"/>
      <c r="F45" s="22"/>
      <c r="G45" s="22"/>
      <c r="H45" s="22"/>
      <c r="I45" s="22"/>
      <c r="J45" s="22"/>
      <c r="K45" s="23">
        <f>SUM(J46:J72)</f>
        <v>2931250.15</v>
      </c>
      <c r="L45" s="3"/>
      <c r="M45" s="3"/>
      <c r="N45" s="3"/>
    </row>
    <row r="46" ht="15.75" customHeight="1">
      <c r="A46" s="26"/>
      <c r="B46" s="26"/>
      <c r="C46" s="27" t="s">
        <v>44</v>
      </c>
      <c r="D46" s="21">
        <v>18000.0</v>
      </c>
      <c r="E46" s="21">
        <v>18000.0</v>
      </c>
      <c r="F46" s="22"/>
      <c r="G46" s="22"/>
      <c r="H46" s="22"/>
      <c r="I46" s="22"/>
      <c r="J46" s="22">
        <f t="shared" ref="J46:J70" si="8">SUM(E46:H46)</f>
        <v>18000</v>
      </c>
      <c r="K46" s="23"/>
      <c r="L46" s="3"/>
      <c r="M46" s="3"/>
      <c r="N46" s="3"/>
    </row>
    <row r="47" ht="15.75" customHeight="1">
      <c r="A47" s="26"/>
      <c r="B47" s="26"/>
      <c r="C47" s="27" t="s">
        <v>45</v>
      </c>
      <c r="D47" s="21">
        <v>40000.0</v>
      </c>
      <c r="E47" s="21">
        <v>40000.0</v>
      </c>
      <c r="F47" s="22"/>
      <c r="G47" s="22"/>
      <c r="H47" s="22"/>
      <c r="I47" s="22"/>
      <c r="J47" s="22">
        <f t="shared" si="8"/>
        <v>40000</v>
      </c>
      <c r="K47" s="23"/>
      <c r="L47" s="3"/>
      <c r="M47" s="3"/>
      <c r="N47" s="3"/>
    </row>
    <row r="48" ht="15.75" customHeight="1">
      <c r="A48" s="26"/>
      <c r="B48" s="26"/>
      <c r="C48" s="27" t="s">
        <v>46</v>
      </c>
      <c r="D48" s="21">
        <v>18000.0</v>
      </c>
      <c r="E48" s="21">
        <v>18000.0</v>
      </c>
      <c r="F48" s="22"/>
      <c r="G48" s="22"/>
      <c r="H48" s="22"/>
      <c r="I48" s="22"/>
      <c r="J48" s="22">
        <f t="shared" si="8"/>
        <v>18000</v>
      </c>
      <c r="K48" s="23"/>
      <c r="L48" s="3"/>
      <c r="M48" s="3"/>
      <c r="N48" s="3"/>
    </row>
    <row r="49" ht="15.75" customHeight="1">
      <c r="A49" s="26"/>
      <c r="B49" s="26"/>
      <c r="C49" s="27" t="s">
        <v>47</v>
      </c>
      <c r="D49" s="21">
        <v>18000.0</v>
      </c>
      <c r="E49" s="21">
        <v>18000.0</v>
      </c>
      <c r="F49" s="22"/>
      <c r="G49" s="22"/>
      <c r="H49" s="22"/>
      <c r="I49" s="22"/>
      <c r="J49" s="22">
        <f t="shared" si="8"/>
        <v>18000</v>
      </c>
      <c r="K49" s="23"/>
      <c r="L49" s="3"/>
      <c r="M49" s="3"/>
      <c r="N49" s="3"/>
    </row>
    <row r="50" ht="15.75" customHeight="1">
      <c r="A50" s="26"/>
      <c r="B50" s="26"/>
      <c r="C50" s="27" t="s">
        <v>48</v>
      </c>
      <c r="D50" s="21">
        <v>18000.0</v>
      </c>
      <c r="E50" s="21">
        <v>18000.0</v>
      </c>
      <c r="F50" s="22"/>
      <c r="G50" s="22"/>
      <c r="H50" s="22"/>
      <c r="I50" s="22"/>
      <c r="J50" s="22">
        <f t="shared" si="8"/>
        <v>18000</v>
      </c>
      <c r="K50" s="23"/>
      <c r="L50" s="3"/>
      <c r="M50" s="3"/>
      <c r="N50" s="3"/>
    </row>
    <row r="51" ht="15.75" customHeight="1">
      <c r="A51" s="26"/>
      <c r="B51" s="26"/>
      <c r="C51" s="27" t="s">
        <v>49</v>
      </c>
      <c r="D51" s="21">
        <v>7500.0</v>
      </c>
      <c r="E51" s="21">
        <v>7500.0</v>
      </c>
      <c r="F51" s="22"/>
      <c r="G51" s="22"/>
      <c r="H51" s="22"/>
      <c r="I51" s="22"/>
      <c r="J51" s="22">
        <f t="shared" si="8"/>
        <v>7500</v>
      </c>
      <c r="K51" s="23"/>
      <c r="L51" s="3"/>
      <c r="M51" s="3"/>
      <c r="N51" s="3"/>
    </row>
    <row r="52" ht="15.75" customHeight="1">
      <c r="A52" s="26"/>
      <c r="B52" s="26"/>
      <c r="C52" s="27" t="s">
        <v>50</v>
      </c>
      <c r="D52" s="21">
        <v>21500.0</v>
      </c>
      <c r="E52" s="21">
        <v>21500.0</v>
      </c>
      <c r="F52" s="22"/>
      <c r="G52" s="22"/>
      <c r="H52" s="22"/>
      <c r="I52" s="22"/>
      <c r="J52" s="22">
        <f t="shared" si="8"/>
        <v>21500</v>
      </c>
      <c r="K52" s="23"/>
      <c r="L52" s="3"/>
      <c r="M52" s="3"/>
      <c r="N52" s="3"/>
    </row>
    <row r="53" ht="15.75" customHeight="1">
      <c r="A53" s="26"/>
      <c r="B53" s="26"/>
      <c r="C53" s="27" t="s">
        <v>51</v>
      </c>
      <c r="D53" s="21">
        <v>45000.0</v>
      </c>
      <c r="E53" s="21">
        <v>45000.0</v>
      </c>
      <c r="F53" s="22"/>
      <c r="G53" s="22"/>
      <c r="H53" s="22"/>
      <c r="I53" s="22"/>
      <c r="J53" s="22">
        <f t="shared" si="8"/>
        <v>45000</v>
      </c>
      <c r="K53" s="23"/>
      <c r="L53" s="3"/>
      <c r="M53" s="3"/>
      <c r="N53" s="3"/>
    </row>
    <row r="54" ht="15.75" customHeight="1">
      <c r="A54" s="26"/>
      <c r="B54" s="26"/>
      <c r="C54" s="27" t="s">
        <v>52</v>
      </c>
      <c r="D54" s="21">
        <v>43500.0</v>
      </c>
      <c r="E54" s="21">
        <v>43500.0</v>
      </c>
      <c r="F54" s="22"/>
      <c r="G54" s="22"/>
      <c r="H54" s="22"/>
      <c r="I54" s="22"/>
      <c r="J54" s="22">
        <f t="shared" si="8"/>
        <v>43500</v>
      </c>
      <c r="K54" s="23"/>
      <c r="L54" s="3"/>
      <c r="M54" s="3"/>
      <c r="N54" s="3"/>
    </row>
    <row r="55" ht="15.75" customHeight="1">
      <c r="A55" s="26"/>
      <c r="B55" s="26"/>
      <c r="C55" s="55" t="s">
        <v>53</v>
      </c>
      <c r="D55" s="56">
        <v>14000.0</v>
      </c>
      <c r="E55" s="56">
        <v>14000.0</v>
      </c>
      <c r="F55" s="22"/>
      <c r="G55" s="22"/>
      <c r="H55" s="22"/>
      <c r="I55" s="22"/>
      <c r="J55" s="22">
        <f t="shared" si="8"/>
        <v>14000</v>
      </c>
      <c r="K55" s="23"/>
      <c r="L55" s="3"/>
      <c r="M55" s="3"/>
      <c r="N55" s="3"/>
    </row>
    <row r="56" ht="15.75" customHeight="1">
      <c r="A56" s="26"/>
      <c r="B56" s="26"/>
      <c r="C56" s="27" t="s">
        <v>54</v>
      </c>
      <c r="D56" s="57">
        <v>20000.0</v>
      </c>
      <c r="E56" s="57">
        <v>20000.0</v>
      </c>
      <c r="F56" s="9"/>
      <c r="G56" s="9"/>
      <c r="H56" s="9"/>
      <c r="I56" s="9"/>
      <c r="J56" s="9">
        <f t="shared" si="8"/>
        <v>20000</v>
      </c>
      <c r="K56" s="23"/>
      <c r="L56" s="3"/>
      <c r="M56" s="3"/>
      <c r="N56" s="3"/>
    </row>
    <row r="57" ht="15.75" customHeight="1">
      <c r="A57" s="26"/>
      <c r="B57" s="26"/>
      <c r="C57" s="27" t="s">
        <v>55</v>
      </c>
      <c r="D57" s="21">
        <v>5000.0</v>
      </c>
      <c r="E57" s="21">
        <v>5000.0</v>
      </c>
      <c r="F57" s="22"/>
      <c r="G57" s="22"/>
      <c r="H57" s="22"/>
      <c r="I57" s="22"/>
      <c r="J57" s="22">
        <f t="shared" si="8"/>
        <v>5000</v>
      </c>
      <c r="K57" s="23"/>
      <c r="L57" s="3"/>
      <c r="M57" s="3"/>
      <c r="N57" s="3"/>
    </row>
    <row r="58" ht="15.75" customHeight="1">
      <c r="A58" s="26"/>
      <c r="B58" s="26"/>
      <c r="C58" s="27" t="s">
        <v>56</v>
      </c>
      <c r="D58" s="21">
        <v>35000.0</v>
      </c>
      <c r="E58" s="21">
        <v>35000.0</v>
      </c>
      <c r="F58" s="22"/>
      <c r="G58" s="22"/>
      <c r="H58" s="22"/>
      <c r="I58" s="22"/>
      <c r="J58" s="22">
        <f t="shared" si="8"/>
        <v>35000</v>
      </c>
      <c r="K58" s="23"/>
      <c r="L58" s="3"/>
      <c r="M58" s="3"/>
      <c r="N58" s="3"/>
    </row>
    <row r="59" ht="15.75" customHeight="1">
      <c r="A59" s="26"/>
      <c r="B59" s="26"/>
      <c r="C59" s="27" t="s">
        <v>57</v>
      </c>
      <c r="D59" s="21">
        <v>2500.0</v>
      </c>
      <c r="E59" s="21">
        <v>2500.0</v>
      </c>
      <c r="F59" s="22"/>
      <c r="G59" s="22"/>
      <c r="H59" s="22"/>
      <c r="I59" s="22"/>
      <c r="J59" s="22">
        <f t="shared" si="8"/>
        <v>2500</v>
      </c>
      <c r="K59" s="23"/>
      <c r="L59" s="3"/>
      <c r="M59" s="3"/>
      <c r="N59" s="3"/>
    </row>
    <row r="60" ht="15.75" customHeight="1">
      <c r="A60" s="26"/>
      <c r="B60" s="26"/>
      <c r="C60" s="55" t="s">
        <v>58</v>
      </c>
      <c r="D60" s="23">
        <v>14767.22</v>
      </c>
      <c r="E60" s="23">
        <v>14767.22</v>
      </c>
      <c r="F60" s="22"/>
      <c r="G60" s="22"/>
      <c r="H60" s="22"/>
      <c r="I60" s="22"/>
      <c r="J60" s="22">
        <f t="shared" si="8"/>
        <v>14767.22</v>
      </c>
      <c r="K60" s="23"/>
      <c r="L60" s="3"/>
      <c r="M60" s="3"/>
      <c r="N60" s="3"/>
    </row>
    <row r="61" ht="15.75" customHeight="1">
      <c r="A61" s="26"/>
      <c r="B61" s="26"/>
      <c r="C61" s="55" t="s">
        <v>59</v>
      </c>
      <c r="D61" s="23">
        <v>8238.19</v>
      </c>
      <c r="E61" s="23">
        <v>8238.19</v>
      </c>
      <c r="F61" s="22"/>
      <c r="G61" s="22"/>
      <c r="H61" s="22"/>
      <c r="I61" s="22"/>
      <c r="J61" s="22">
        <f t="shared" si="8"/>
        <v>8238.19</v>
      </c>
      <c r="K61" s="23"/>
      <c r="L61" s="3"/>
      <c r="M61" s="3"/>
      <c r="N61" s="3"/>
    </row>
    <row r="62" ht="15.75" customHeight="1">
      <c r="A62" s="26"/>
      <c r="B62" s="26"/>
      <c r="C62" s="55" t="s">
        <v>60</v>
      </c>
      <c r="D62" s="23">
        <v>237000.0</v>
      </c>
      <c r="E62" s="23">
        <v>237000.0</v>
      </c>
      <c r="F62" s="22"/>
      <c r="G62" s="22"/>
      <c r="H62" s="22"/>
      <c r="I62" s="22"/>
      <c r="J62" s="22">
        <f t="shared" si="8"/>
        <v>237000</v>
      </c>
      <c r="K62" s="23"/>
      <c r="L62" s="3"/>
      <c r="M62" s="3"/>
      <c r="N62" s="3"/>
    </row>
    <row r="63" ht="15.75" customHeight="1">
      <c r="A63" s="26"/>
      <c r="B63" s="26"/>
      <c r="C63" s="55" t="s">
        <v>61</v>
      </c>
      <c r="D63" s="23">
        <v>431400.0</v>
      </c>
      <c r="E63" s="23">
        <v>431400.0</v>
      </c>
      <c r="F63" s="22"/>
      <c r="G63" s="22"/>
      <c r="H63" s="22"/>
      <c r="I63" s="22"/>
      <c r="J63" s="22">
        <f t="shared" si="8"/>
        <v>431400</v>
      </c>
      <c r="K63" s="23"/>
      <c r="L63" s="3"/>
      <c r="M63" s="3"/>
      <c r="N63" s="3"/>
    </row>
    <row r="64" ht="15.75" customHeight="1">
      <c r="A64" s="26"/>
      <c r="B64" s="26"/>
      <c r="C64" s="27" t="s">
        <v>62</v>
      </c>
      <c r="D64" s="21">
        <v>121000.0</v>
      </c>
      <c r="E64" s="21">
        <v>121000.0</v>
      </c>
      <c r="F64" s="22"/>
      <c r="G64" s="22"/>
      <c r="H64" s="22"/>
      <c r="I64" s="22"/>
      <c r="J64" s="22">
        <f t="shared" si="8"/>
        <v>121000</v>
      </c>
      <c r="K64" s="23"/>
      <c r="L64" s="3"/>
      <c r="M64" s="3"/>
      <c r="N64" s="3"/>
    </row>
    <row r="65" ht="15.75" customHeight="1">
      <c r="A65" s="26"/>
      <c r="B65" s="26"/>
      <c r="C65" s="27" t="s">
        <v>63</v>
      </c>
      <c r="D65" s="21">
        <v>990000.0</v>
      </c>
      <c r="E65" s="21">
        <v>990000.0</v>
      </c>
      <c r="F65" s="22"/>
      <c r="G65" s="22"/>
      <c r="H65" s="22"/>
      <c r="I65" s="22"/>
      <c r="J65" s="22">
        <f t="shared" si="8"/>
        <v>990000</v>
      </c>
      <c r="K65" s="23"/>
      <c r="L65" s="3"/>
      <c r="M65" s="3"/>
      <c r="N65" s="3"/>
    </row>
    <row r="66" ht="15.75" customHeight="1">
      <c r="A66" s="26"/>
      <c r="B66" s="26"/>
      <c r="C66" s="27" t="s">
        <v>64</v>
      </c>
      <c r="D66" s="21">
        <v>75000.0</v>
      </c>
      <c r="E66" s="21">
        <v>75000.0</v>
      </c>
      <c r="F66" s="22"/>
      <c r="G66" s="22"/>
      <c r="H66" s="22"/>
      <c r="I66" s="22"/>
      <c r="J66" s="22">
        <f t="shared" si="8"/>
        <v>75000</v>
      </c>
      <c r="K66" s="23"/>
      <c r="L66" s="3"/>
      <c r="M66" s="3"/>
      <c r="N66" s="3"/>
    </row>
    <row r="67" ht="15.75" customHeight="1">
      <c r="A67" s="32"/>
      <c r="B67" s="32"/>
      <c r="C67" s="8" t="s">
        <v>65</v>
      </c>
      <c r="D67" s="21">
        <v>40000.0</v>
      </c>
      <c r="E67" s="21">
        <v>40000.0</v>
      </c>
      <c r="F67" s="22"/>
      <c r="G67" s="22"/>
      <c r="H67" s="22"/>
      <c r="I67" s="22"/>
      <c r="J67" s="22">
        <f t="shared" si="8"/>
        <v>40000</v>
      </c>
      <c r="K67" s="23"/>
      <c r="L67" s="3"/>
      <c r="M67" s="3"/>
      <c r="N67" s="3"/>
    </row>
    <row r="68" ht="15.75" customHeight="1">
      <c r="A68" s="26"/>
      <c r="B68" s="26"/>
      <c r="C68" s="27" t="s">
        <v>66</v>
      </c>
      <c r="D68" s="21">
        <v>60000.0</v>
      </c>
      <c r="E68" s="21">
        <v>60000.0</v>
      </c>
      <c r="F68" s="22"/>
      <c r="G68" s="22"/>
      <c r="H68" s="22"/>
      <c r="I68" s="22"/>
      <c r="J68" s="22">
        <f t="shared" si="8"/>
        <v>60000</v>
      </c>
      <c r="K68" s="23"/>
      <c r="L68" s="3"/>
      <c r="M68" s="3"/>
      <c r="N68" s="3"/>
    </row>
    <row r="69" ht="15.75" customHeight="1">
      <c r="A69" s="26"/>
      <c r="B69" s="26"/>
      <c r="C69" s="27" t="s">
        <v>67</v>
      </c>
      <c r="D69" s="21">
        <v>40000.0</v>
      </c>
      <c r="E69" s="21">
        <v>40000.0</v>
      </c>
      <c r="F69" s="22"/>
      <c r="G69" s="22"/>
      <c r="H69" s="22"/>
      <c r="I69" s="22"/>
      <c r="J69" s="22">
        <f t="shared" si="8"/>
        <v>40000</v>
      </c>
      <c r="K69" s="23"/>
      <c r="L69" s="3"/>
      <c r="M69" s="3"/>
      <c r="N69" s="3"/>
    </row>
    <row r="70" ht="15.75" customHeight="1">
      <c r="A70" s="26"/>
      <c r="B70" s="26"/>
      <c r="C70" s="27" t="s">
        <v>68</v>
      </c>
      <c r="D70" s="38">
        <v>30000.0</v>
      </c>
      <c r="E70" s="38">
        <v>30000.0</v>
      </c>
      <c r="F70" s="22"/>
      <c r="G70" s="22"/>
      <c r="H70" s="22"/>
      <c r="I70" s="22"/>
      <c r="J70" s="22">
        <f t="shared" si="8"/>
        <v>30000</v>
      </c>
      <c r="K70" s="23"/>
      <c r="L70" s="3"/>
      <c r="M70" s="3"/>
      <c r="N70" s="3"/>
    </row>
    <row r="71">
      <c r="A71" s="28"/>
      <c r="B71" s="28"/>
      <c r="C71" s="3"/>
      <c r="D71" s="58"/>
      <c r="E71" s="21"/>
      <c r="F71" s="42" t="s">
        <v>40</v>
      </c>
      <c r="H71" s="21"/>
      <c r="I71" s="21"/>
      <c r="J71" s="21"/>
      <c r="K71" s="23"/>
      <c r="L71" s="3"/>
      <c r="M71" s="3"/>
      <c r="N71" s="3"/>
    </row>
    <row r="72" ht="15.75" customHeight="1">
      <c r="A72" s="28"/>
      <c r="B72" s="59" t="s">
        <v>69</v>
      </c>
      <c r="C72" s="60" t="s">
        <v>70</v>
      </c>
      <c r="D72" s="61">
        <v>577844.74</v>
      </c>
      <c r="E72" s="46">
        <v>399922.53</v>
      </c>
      <c r="F72" s="46">
        <v>5687.28</v>
      </c>
      <c r="G72" s="46"/>
      <c r="H72" s="46"/>
      <c r="I72" s="46">
        <v>172234.93</v>
      </c>
      <c r="J72" s="48">
        <f>SUM(E72:I72)</f>
        <v>577844.74</v>
      </c>
      <c r="K72" s="23"/>
      <c r="L72" s="3"/>
      <c r="M72" s="50">
        <f>I72/J72</f>
        <v>0.2980643728</v>
      </c>
      <c r="N72" s="3"/>
    </row>
    <row r="73" ht="15.75" customHeight="1">
      <c r="A73" s="19"/>
      <c r="B73" s="19">
        <v>624.0</v>
      </c>
      <c r="C73" s="20" t="s">
        <v>71</v>
      </c>
      <c r="D73" s="21"/>
      <c r="E73" s="21"/>
      <c r="F73" s="22"/>
      <c r="G73" s="22"/>
      <c r="H73" s="22"/>
      <c r="I73" s="22"/>
      <c r="J73" s="22"/>
      <c r="K73" s="23">
        <f>SUM(J74:J76)</f>
        <v>134000</v>
      </c>
      <c r="L73" s="3"/>
      <c r="M73" s="3"/>
      <c r="N73" s="3"/>
    </row>
    <row r="74" ht="15.75" customHeight="1">
      <c r="A74" s="26"/>
      <c r="B74" s="26"/>
      <c r="C74" s="27" t="s">
        <v>72</v>
      </c>
      <c r="D74" s="21">
        <v>29000.0</v>
      </c>
      <c r="E74" s="21">
        <v>29000.0</v>
      </c>
      <c r="F74" s="22"/>
      <c r="G74" s="22"/>
      <c r="H74" s="22"/>
      <c r="I74" s="22"/>
      <c r="J74" s="22">
        <f t="shared" ref="J74:J76" si="9">SUM(E74:H74)</f>
        <v>29000</v>
      </c>
      <c r="K74" s="23"/>
      <c r="L74" s="3"/>
      <c r="M74" s="3"/>
      <c r="N74" s="3"/>
    </row>
    <row r="75" ht="15.75" customHeight="1">
      <c r="A75" s="26"/>
      <c r="B75" s="26"/>
      <c r="C75" s="27" t="s">
        <v>73</v>
      </c>
      <c r="D75" s="21">
        <v>80000.0</v>
      </c>
      <c r="E75" s="21">
        <v>80000.0</v>
      </c>
      <c r="F75" s="22"/>
      <c r="G75" s="22"/>
      <c r="H75" s="22"/>
      <c r="I75" s="22"/>
      <c r="J75" s="22">
        <f t="shared" si="9"/>
        <v>80000</v>
      </c>
      <c r="K75" s="23"/>
      <c r="L75" s="3"/>
      <c r="M75" s="3"/>
      <c r="N75" s="3"/>
    </row>
    <row r="76" ht="15.75" customHeight="1">
      <c r="A76" s="26"/>
      <c r="B76" s="26"/>
      <c r="C76" s="27" t="s">
        <v>74</v>
      </c>
      <c r="D76" s="21">
        <v>25000.0</v>
      </c>
      <c r="E76" s="21">
        <v>25000.0</v>
      </c>
      <c r="F76" s="22"/>
      <c r="G76" s="22"/>
      <c r="H76" s="22"/>
      <c r="I76" s="22"/>
      <c r="J76" s="22">
        <f t="shared" si="9"/>
        <v>25000</v>
      </c>
      <c r="K76" s="23"/>
      <c r="L76" s="3"/>
      <c r="M76" s="3"/>
      <c r="N76" s="3"/>
    </row>
    <row r="77" ht="15.75" customHeight="1">
      <c r="A77" s="19"/>
      <c r="B77" s="19">
        <v>633.0</v>
      </c>
      <c r="C77" s="20" t="s">
        <v>75</v>
      </c>
      <c r="D77" s="21"/>
      <c r="E77" s="21"/>
      <c r="F77" s="22"/>
      <c r="G77" s="22"/>
      <c r="H77" s="22"/>
      <c r="I77" s="22"/>
      <c r="J77" s="22"/>
      <c r="K77" s="23">
        <f>SUM(J78:J79)</f>
        <v>5000</v>
      </c>
      <c r="L77" s="3"/>
      <c r="M77" s="3"/>
      <c r="N77" s="3"/>
    </row>
    <row r="78" ht="15.75" customHeight="1">
      <c r="A78" s="26"/>
      <c r="B78" s="26"/>
      <c r="C78" s="27" t="s">
        <v>76</v>
      </c>
      <c r="D78" s="21">
        <v>2000.0</v>
      </c>
      <c r="E78" s="21">
        <v>2000.0</v>
      </c>
      <c r="F78" s="22"/>
      <c r="G78" s="22"/>
      <c r="H78" s="22"/>
      <c r="I78" s="22"/>
      <c r="J78" s="22">
        <f t="shared" ref="J78:J79" si="10">SUM(E78:H78)</f>
        <v>2000</v>
      </c>
      <c r="K78" s="23"/>
      <c r="L78" s="3"/>
      <c r="M78" s="3"/>
      <c r="N78" s="3"/>
    </row>
    <row r="79" ht="15.75" customHeight="1">
      <c r="A79" s="26"/>
      <c r="B79" s="26"/>
      <c r="C79" s="27" t="s">
        <v>77</v>
      </c>
      <c r="D79" s="38">
        <v>3000.0</v>
      </c>
      <c r="E79" s="38">
        <v>3000.0</v>
      </c>
      <c r="F79" s="22"/>
      <c r="G79" s="22"/>
      <c r="H79" s="22"/>
      <c r="I79" s="22"/>
      <c r="J79" s="22">
        <f t="shared" si="10"/>
        <v>3000</v>
      </c>
      <c r="K79" s="23"/>
      <c r="L79" s="3"/>
      <c r="M79" s="3"/>
      <c r="N79" s="3"/>
    </row>
    <row r="80" ht="15.75" customHeight="1">
      <c r="A80" s="19"/>
      <c r="B80" s="19">
        <v>635.0</v>
      </c>
      <c r="C80" s="20" t="s">
        <v>25</v>
      </c>
      <c r="D80" s="21"/>
      <c r="E80" s="21"/>
      <c r="F80" s="22"/>
      <c r="G80" s="22"/>
      <c r="H80" s="22"/>
      <c r="I80" s="22"/>
      <c r="J80" s="22"/>
      <c r="K80" s="23">
        <f>SUM(J81:J83)</f>
        <v>190000</v>
      </c>
      <c r="L80" s="3"/>
      <c r="M80" s="3"/>
      <c r="N80" s="3"/>
    </row>
    <row r="81" ht="15.75" customHeight="1">
      <c r="A81" s="26"/>
      <c r="B81" s="26"/>
      <c r="C81" s="27" t="s">
        <v>78</v>
      </c>
      <c r="D81" s="21">
        <v>40000.0</v>
      </c>
      <c r="E81" s="21">
        <v>40000.0</v>
      </c>
      <c r="F81" s="22"/>
      <c r="G81" s="22"/>
      <c r="H81" s="22"/>
      <c r="I81" s="22"/>
      <c r="J81" s="22">
        <f t="shared" ref="J81:J83" si="11">SUM(E81:H81)</f>
        <v>40000</v>
      </c>
      <c r="K81" s="23"/>
      <c r="L81" s="3"/>
      <c r="M81" s="3"/>
      <c r="N81" s="3"/>
    </row>
    <row r="82" ht="15.75" customHeight="1">
      <c r="A82" s="26"/>
      <c r="B82" s="26"/>
      <c r="C82" s="27" t="s">
        <v>79</v>
      </c>
      <c r="D82" s="21">
        <v>110000.0</v>
      </c>
      <c r="E82" s="21">
        <v>110000.0</v>
      </c>
      <c r="F82" s="22"/>
      <c r="G82" s="22"/>
      <c r="H82" s="22"/>
      <c r="I82" s="22"/>
      <c r="J82" s="22">
        <f t="shared" si="11"/>
        <v>110000</v>
      </c>
      <c r="K82" s="23"/>
      <c r="L82" s="3"/>
      <c r="M82" s="3"/>
      <c r="N82" s="3"/>
    </row>
    <row r="83" ht="15.75" customHeight="1">
      <c r="A83" s="26"/>
      <c r="B83" s="26"/>
      <c r="C83" s="27" t="s">
        <v>80</v>
      </c>
      <c r="D83" s="21">
        <v>40000.0</v>
      </c>
      <c r="E83" s="21">
        <v>40000.0</v>
      </c>
      <c r="F83" s="22"/>
      <c r="G83" s="22"/>
      <c r="H83" s="22"/>
      <c r="I83" s="22"/>
      <c r="J83" s="22">
        <f t="shared" si="11"/>
        <v>40000</v>
      </c>
      <c r="K83" s="23"/>
      <c r="L83" s="3"/>
      <c r="M83" s="3"/>
      <c r="N83" s="3"/>
    </row>
    <row r="84" ht="15.75" customHeight="1">
      <c r="A84" s="28"/>
      <c r="B84" s="28"/>
      <c r="C84" s="33" t="s">
        <v>81</v>
      </c>
      <c r="D84" s="30">
        <f t="shared" ref="D84:J84" si="12">SUM(D46:D83)</f>
        <v>3260250.15</v>
      </c>
      <c r="E84" s="30">
        <f t="shared" si="12"/>
        <v>3082327.94</v>
      </c>
      <c r="F84" s="30">
        <f t="shared" si="12"/>
        <v>5687.28</v>
      </c>
      <c r="G84" s="30">
        <f t="shared" si="12"/>
        <v>0</v>
      </c>
      <c r="H84" s="30">
        <f t="shared" si="12"/>
        <v>0</v>
      </c>
      <c r="I84" s="30">
        <f t="shared" si="12"/>
        <v>172234.93</v>
      </c>
      <c r="J84" s="30">
        <f t="shared" si="12"/>
        <v>3260250.15</v>
      </c>
      <c r="K84" s="23"/>
      <c r="L84" s="3"/>
      <c r="M84" s="3"/>
      <c r="N84" s="3"/>
    </row>
    <row r="85" ht="15.75" customHeight="1">
      <c r="A85" s="62"/>
      <c r="B85" s="62"/>
      <c r="C85" s="63"/>
      <c r="D85" s="58"/>
      <c r="E85" s="25"/>
      <c r="F85" s="22"/>
      <c r="G85" s="22"/>
      <c r="H85" s="22"/>
      <c r="I85" s="22"/>
      <c r="J85" s="22"/>
      <c r="K85" s="23"/>
      <c r="L85" s="3"/>
      <c r="M85" s="3"/>
      <c r="N85" s="3"/>
    </row>
    <row r="86" ht="15.75" customHeight="1">
      <c r="A86" s="19"/>
      <c r="B86" s="19">
        <v>1600.0</v>
      </c>
      <c r="C86" s="53" t="s">
        <v>82</v>
      </c>
      <c r="D86" s="58"/>
      <c r="E86" s="25"/>
      <c r="F86" s="22"/>
      <c r="G86" s="22"/>
      <c r="H86" s="22"/>
      <c r="I86" s="22"/>
      <c r="J86" s="22"/>
      <c r="K86" s="23"/>
      <c r="L86" s="3"/>
      <c r="M86" s="3"/>
      <c r="N86" s="3"/>
    </row>
    <row r="87" ht="15.75" customHeight="1">
      <c r="A87" s="19"/>
      <c r="B87" s="19">
        <v>619.0</v>
      </c>
      <c r="C87" s="53" t="s">
        <v>14</v>
      </c>
      <c r="D87" s="58"/>
      <c r="E87" s="58"/>
      <c r="F87" s="22"/>
      <c r="G87" s="22"/>
      <c r="H87" s="22"/>
      <c r="I87" s="22"/>
      <c r="J87" s="22"/>
      <c r="K87" s="23">
        <f>SUM(J88:J91)</f>
        <v>180000</v>
      </c>
      <c r="L87" s="3"/>
      <c r="M87" s="3"/>
      <c r="N87" s="3"/>
    </row>
    <row r="88" ht="15.75" customHeight="1">
      <c r="A88" s="62"/>
      <c r="B88" s="62"/>
      <c r="C88" s="63" t="s">
        <v>83</v>
      </c>
      <c r="D88" s="58">
        <v>60000.0</v>
      </c>
      <c r="E88" s="58">
        <v>60000.0</v>
      </c>
      <c r="F88" s="22"/>
      <c r="G88" s="22"/>
      <c r="H88" s="22"/>
      <c r="I88" s="22"/>
      <c r="J88" s="22">
        <f t="shared" ref="J88:J91" si="13">SUM(E88:H88)</f>
        <v>60000</v>
      </c>
      <c r="K88" s="23"/>
      <c r="L88" s="3"/>
      <c r="M88" s="3"/>
      <c r="N88" s="3"/>
    </row>
    <row r="89" ht="15.75" customHeight="1">
      <c r="A89" s="62"/>
      <c r="B89" s="62"/>
      <c r="C89" s="32" t="s">
        <v>84</v>
      </c>
      <c r="D89" s="58">
        <v>40000.0</v>
      </c>
      <c r="E89" s="58">
        <v>40000.0</v>
      </c>
      <c r="F89" s="22"/>
      <c r="G89" s="22"/>
      <c r="H89" s="22"/>
      <c r="I89" s="22"/>
      <c r="J89" s="22">
        <f t="shared" si="13"/>
        <v>40000</v>
      </c>
      <c r="K89" s="23"/>
      <c r="L89" s="3"/>
      <c r="M89" s="3"/>
      <c r="N89" s="3"/>
    </row>
    <row r="90" ht="15.75" customHeight="1">
      <c r="A90" s="62"/>
      <c r="B90" s="62"/>
      <c r="C90" s="32" t="s">
        <v>85</v>
      </c>
      <c r="D90" s="56">
        <v>40000.0</v>
      </c>
      <c r="E90" s="56">
        <v>40000.0</v>
      </c>
      <c r="F90" s="22"/>
      <c r="G90" s="22"/>
      <c r="H90" s="22"/>
      <c r="I90" s="22"/>
      <c r="J90" s="22">
        <f t="shared" si="13"/>
        <v>40000</v>
      </c>
      <c r="K90" s="23"/>
      <c r="L90" s="3"/>
      <c r="M90" s="3"/>
      <c r="N90" s="3"/>
    </row>
    <row r="91" ht="15.75" customHeight="1">
      <c r="A91" s="62"/>
      <c r="B91" s="62"/>
      <c r="C91" s="32" t="s">
        <v>86</v>
      </c>
      <c r="D91" s="56">
        <v>40000.0</v>
      </c>
      <c r="E91" s="56">
        <v>40000.0</v>
      </c>
      <c r="F91" s="22"/>
      <c r="G91" s="22"/>
      <c r="H91" s="22"/>
      <c r="I91" s="22"/>
      <c r="J91" s="22">
        <f t="shared" si="13"/>
        <v>40000</v>
      </c>
      <c r="K91" s="23"/>
      <c r="L91" s="3"/>
      <c r="M91" s="3"/>
      <c r="N91" s="3"/>
    </row>
    <row r="92" ht="15.75" customHeight="1">
      <c r="A92" s="19"/>
      <c r="B92" s="19">
        <v>623.0</v>
      </c>
      <c r="C92" s="53" t="s">
        <v>75</v>
      </c>
      <c r="D92" s="31"/>
      <c r="E92" s="31"/>
      <c r="F92" s="22"/>
      <c r="G92" s="22"/>
      <c r="H92" s="22"/>
      <c r="I92" s="22"/>
      <c r="J92" s="22"/>
      <c r="K92" s="23">
        <f>SUM(J93)</f>
        <v>2000</v>
      </c>
      <c r="L92" s="3"/>
      <c r="M92" s="3"/>
      <c r="N92" s="3"/>
    </row>
    <row r="93" ht="15.75" customHeight="1">
      <c r="A93" s="62"/>
      <c r="B93" s="62"/>
      <c r="C93" s="63" t="s">
        <v>87</v>
      </c>
      <c r="D93" s="31">
        <v>2000.0</v>
      </c>
      <c r="E93" s="31">
        <v>2000.0</v>
      </c>
      <c r="F93" s="22"/>
      <c r="G93" s="22"/>
      <c r="H93" s="22"/>
      <c r="I93" s="22"/>
      <c r="J93" s="22">
        <f>SUM(E93:H93)</f>
        <v>2000</v>
      </c>
      <c r="K93" s="23"/>
      <c r="L93" s="3"/>
      <c r="M93" s="3"/>
      <c r="N93" s="3"/>
    </row>
    <row r="94" ht="15.75" customHeight="1">
      <c r="A94" s="64"/>
      <c r="B94" s="64">
        <v>629.0</v>
      </c>
      <c r="C94" s="37" t="s">
        <v>22</v>
      </c>
      <c r="D94" s="56"/>
      <c r="E94" s="56"/>
      <c r="F94" s="22"/>
      <c r="G94" s="22"/>
      <c r="H94" s="22"/>
      <c r="I94" s="22"/>
      <c r="J94" s="22"/>
      <c r="K94" s="23">
        <f>SUM(J95)</f>
        <v>15000</v>
      </c>
      <c r="L94" s="3"/>
      <c r="M94" s="3"/>
      <c r="N94" s="3"/>
    </row>
    <row r="95" ht="15.75" customHeight="1">
      <c r="A95" s="62"/>
      <c r="B95" s="62"/>
      <c r="C95" s="63" t="s">
        <v>88</v>
      </c>
      <c r="D95" s="56">
        <v>15000.0</v>
      </c>
      <c r="E95" s="56">
        <v>15000.0</v>
      </c>
      <c r="F95" s="22"/>
      <c r="G95" s="22"/>
      <c r="H95" s="22"/>
      <c r="I95" s="22"/>
      <c r="J95" s="22">
        <f>SUM(E95:H95)</f>
        <v>15000</v>
      </c>
      <c r="K95" s="23"/>
      <c r="L95" s="3"/>
      <c r="M95" s="3"/>
      <c r="N95" s="3"/>
    </row>
    <row r="96" ht="15.75" customHeight="1">
      <c r="A96" s="28"/>
      <c r="B96" s="28"/>
      <c r="C96" s="33" t="s">
        <v>89</v>
      </c>
      <c r="D96" s="30">
        <f t="shared" ref="D96:J96" si="14">SUM(D88:D95)</f>
        <v>197000</v>
      </c>
      <c r="E96" s="30">
        <f t="shared" si="14"/>
        <v>197000</v>
      </c>
      <c r="F96" s="30">
        <f t="shared" si="14"/>
        <v>0</v>
      </c>
      <c r="G96" s="30">
        <f t="shared" si="14"/>
        <v>0</v>
      </c>
      <c r="H96" s="30">
        <f t="shared" si="14"/>
        <v>0</v>
      </c>
      <c r="I96" s="30">
        <f t="shared" si="14"/>
        <v>0</v>
      </c>
      <c r="J96" s="30">
        <f t="shared" si="14"/>
        <v>197000</v>
      </c>
      <c r="K96" s="23"/>
      <c r="L96" s="3"/>
      <c r="M96" s="3"/>
      <c r="N96" s="3"/>
    </row>
    <row r="97" ht="15.75" customHeight="1">
      <c r="A97" s="26"/>
      <c r="B97" s="26"/>
      <c r="C97" s="63"/>
      <c r="D97" s="58"/>
      <c r="E97" s="25"/>
      <c r="F97" s="22"/>
      <c r="G97" s="22"/>
      <c r="H97" s="22"/>
      <c r="I97" s="22"/>
      <c r="J97" s="22"/>
      <c r="K97" s="23"/>
      <c r="L97" s="3"/>
      <c r="M97" s="3"/>
      <c r="N97" s="3"/>
    </row>
    <row r="98" ht="15.75" customHeight="1">
      <c r="A98" s="19"/>
      <c r="B98" s="19">
        <v>1610.0</v>
      </c>
      <c r="C98" s="53" t="s">
        <v>90</v>
      </c>
      <c r="D98" s="58"/>
      <c r="E98" s="25"/>
      <c r="F98" s="22"/>
      <c r="G98" s="22"/>
      <c r="H98" s="22"/>
      <c r="I98" s="22"/>
      <c r="J98" s="22"/>
      <c r="K98" s="23"/>
      <c r="L98" s="3"/>
      <c r="M98" s="3"/>
      <c r="N98" s="3"/>
    </row>
    <row r="99" ht="15.75" customHeight="1">
      <c r="A99" s="19"/>
      <c r="B99" s="19">
        <v>619.0</v>
      </c>
      <c r="C99" s="53" t="s">
        <v>14</v>
      </c>
      <c r="D99" s="58"/>
      <c r="E99" s="58"/>
      <c r="F99" s="22"/>
      <c r="G99" s="22"/>
      <c r="H99" s="22"/>
      <c r="I99" s="22"/>
      <c r="J99" s="22"/>
      <c r="K99" s="23">
        <f>SUM(J100:J104)</f>
        <v>618000</v>
      </c>
      <c r="L99" s="3"/>
      <c r="M99" s="3"/>
      <c r="N99" s="3"/>
    </row>
    <row r="100" ht="15.75" customHeight="1">
      <c r="A100" s="26"/>
      <c r="B100" s="26"/>
      <c r="C100" s="63" t="s">
        <v>91</v>
      </c>
      <c r="D100" s="58">
        <v>100000.0</v>
      </c>
      <c r="E100" s="58">
        <v>100000.0</v>
      </c>
      <c r="F100" s="22"/>
      <c r="G100" s="22"/>
      <c r="H100" s="22"/>
      <c r="I100" s="22"/>
      <c r="J100" s="22">
        <f t="shared" ref="J100:J104" si="15">SUM(E100:H100)</f>
        <v>100000</v>
      </c>
      <c r="K100" s="23"/>
      <c r="L100" s="3"/>
      <c r="M100" s="3"/>
      <c r="N100" s="3"/>
    </row>
    <row r="101" ht="15.75" customHeight="1">
      <c r="A101" s="26"/>
      <c r="B101" s="26"/>
      <c r="C101" s="32" t="s">
        <v>92</v>
      </c>
      <c r="D101" s="31">
        <v>18000.0</v>
      </c>
      <c r="E101" s="31">
        <v>18000.0</v>
      </c>
      <c r="F101" s="22"/>
      <c r="G101" s="22"/>
      <c r="H101" s="22"/>
      <c r="I101" s="22"/>
      <c r="J101" s="22">
        <f t="shared" si="15"/>
        <v>18000</v>
      </c>
      <c r="K101" s="23"/>
      <c r="L101" s="3"/>
      <c r="M101" s="3"/>
      <c r="N101" s="3"/>
    </row>
    <row r="102" ht="15.75" customHeight="1">
      <c r="A102" s="26"/>
      <c r="B102" s="26"/>
      <c r="C102" s="32" t="s">
        <v>93</v>
      </c>
      <c r="D102" s="31">
        <v>30000.0</v>
      </c>
      <c r="E102" s="31">
        <v>30000.0</v>
      </c>
      <c r="F102" s="22"/>
      <c r="G102" s="22"/>
      <c r="H102" s="22"/>
      <c r="I102" s="22"/>
      <c r="J102" s="22">
        <f t="shared" si="15"/>
        <v>30000</v>
      </c>
      <c r="K102" s="23"/>
      <c r="L102" s="3"/>
      <c r="M102" s="3"/>
      <c r="N102" s="3"/>
    </row>
    <row r="103" ht="15.75" customHeight="1">
      <c r="A103" s="26"/>
      <c r="B103" s="26"/>
      <c r="C103" s="32" t="s">
        <v>94</v>
      </c>
      <c r="D103" s="31">
        <v>120000.0</v>
      </c>
      <c r="E103" s="31">
        <v>120000.0</v>
      </c>
      <c r="F103" s="22"/>
      <c r="G103" s="22"/>
      <c r="H103" s="22"/>
      <c r="I103" s="22"/>
      <c r="J103" s="22">
        <f t="shared" si="15"/>
        <v>120000</v>
      </c>
      <c r="K103" s="23"/>
      <c r="L103" s="3"/>
      <c r="M103" s="3"/>
      <c r="N103" s="3"/>
    </row>
    <row r="104" ht="15.75" customHeight="1">
      <c r="A104" s="26"/>
      <c r="B104" s="26"/>
      <c r="C104" s="32" t="s">
        <v>95</v>
      </c>
      <c r="D104" s="31">
        <v>350000.0</v>
      </c>
      <c r="E104" s="31">
        <v>350000.0</v>
      </c>
      <c r="F104" s="22"/>
      <c r="G104" s="22"/>
      <c r="H104" s="22"/>
      <c r="I104" s="22"/>
      <c r="J104" s="22">
        <f t="shared" si="15"/>
        <v>350000</v>
      </c>
      <c r="K104" s="23"/>
      <c r="L104" s="3"/>
      <c r="M104" s="3"/>
      <c r="N104" s="3"/>
    </row>
    <row r="105" ht="15.75" customHeight="1">
      <c r="A105" s="19"/>
      <c r="B105" s="19">
        <v>633.0</v>
      </c>
      <c r="C105" s="53" t="s">
        <v>75</v>
      </c>
      <c r="D105" s="58"/>
      <c r="E105" s="58"/>
      <c r="F105" s="22"/>
      <c r="G105" s="22"/>
      <c r="H105" s="22"/>
      <c r="I105" s="22"/>
      <c r="J105" s="22"/>
      <c r="K105" s="23">
        <f>SUM(J106:J107)</f>
        <v>12600</v>
      </c>
      <c r="L105" s="3"/>
      <c r="M105" s="3"/>
      <c r="N105" s="3"/>
    </row>
    <row r="106" ht="15.75" customHeight="1">
      <c r="A106" s="26"/>
      <c r="B106" s="26"/>
      <c r="C106" s="32" t="s">
        <v>96</v>
      </c>
      <c r="D106" s="31">
        <v>12000.0</v>
      </c>
      <c r="E106" s="31">
        <v>12000.0</v>
      </c>
      <c r="F106" s="22"/>
      <c r="G106" s="22"/>
      <c r="H106" s="22"/>
      <c r="I106" s="22"/>
      <c r="J106" s="22">
        <f t="shared" ref="J106:J107" si="16">SUM(E106:H106)</f>
        <v>12000</v>
      </c>
      <c r="K106" s="23"/>
      <c r="L106" s="3"/>
      <c r="M106" s="3"/>
      <c r="N106" s="3"/>
    </row>
    <row r="107" ht="15.75" customHeight="1">
      <c r="A107" s="26"/>
      <c r="B107" s="26"/>
      <c r="C107" s="32" t="s">
        <v>97</v>
      </c>
      <c r="D107" s="58">
        <v>600.0</v>
      </c>
      <c r="E107" s="58">
        <v>600.0</v>
      </c>
      <c r="F107" s="22"/>
      <c r="G107" s="22"/>
      <c r="H107" s="22"/>
      <c r="I107" s="22"/>
      <c r="J107" s="22">
        <f t="shared" si="16"/>
        <v>600</v>
      </c>
      <c r="K107" s="23"/>
      <c r="L107" s="3"/>
      <c r="M107" s="3"/>
      <c r="N107" s="3"/>
    </row>
    <row r="108" ht="15.75" customHeight="1">
      <c r="A108" s="28"/>
      <c r="B108" s="28"/>
      <c r="C108" s="33" t="s">
        <v>98</v>
      </c>
      <c r="D108" s="30">
        <f t="shared" ref="D108:J108" si="17">SUM(D100:D107)</f>
        <v>630600</v>
      </c>
      <c r="E108" s="30">
        <f t="shared" si="17"/>
        <v>630600</v>
      </c>
      <c r="F108" s="30">
        <f t="shared" si="17"/>
        <v>0</v>
      </c>
      <c r="G108" s="30">
        <f t="shared" si="17"/>
        <v>0</v>
      </c>
      <c r="H108" s="30">
        <f t="shared" si="17"/>
        <v>0</v>
      </c>
      <c r="I108" s="30">
        <f t="shared" si="17"/>
        <v>0</v>
      </c>
      <c r="J108" s="30">
        <f t="shared" si="17"/>
        <v>630600</v>
      </c>
      <c r="K108" s="23"/>
      <c r="L108" s="3"/>
      <c r="M108" s="3"/>
      <c r="N108" s="3"/>
    </row>
    <row r="109" ht="15.75" customHeight="1">
      <c r="A109" s="32"/>
      <c r="B109" s="32"/>
      <c r="C109" s="63"/>
      <c r="D109" s="58"/>
      <c r="E109" s="22"/>
      <c r="F109" s="22"/>
      <c r="G109" s="22"/>
      <c r="H109" s="22"/>
      <c r="I109" s="22"/>
      <c r="J109" s="22"/>
      <c r="K109" s="23"/>
      <c r="L109" s="3"/>
      <c r="M109" s="3"/>
      <c r="N109" s="3"/>
    </row>
    <row r="110" ht="15.75" customHeight="1">
      <c r="A110" s="53"/>
      <c r="B110" s="53">
        <v>1623.0</v>
      </c>
      <c r="C110" s="53" t="s">
        <v>99</v>
      </c>
      <c r="D110" s="58"/>
      <c r="E110" s="22"/>
      <c r="F110" s="22"/>
      <c r="G110" s="22"/>
      <c r="H110" s="22"/>
      <c r="I110" s="22"/>
      <c r="J110" s="22"/>
      <c r="K110" s="23"/>
      <c r="L110" s="3"/>
      <c r="M110" s="3"/>
      <c r="N110" s="3"/>
    </row>
    <row r="111" ht="15.75" customHeight="1">
      <c r="A111" s="53"/>
      <c r="B111" s="53">
        <v>619.0</v>
      </c>
      <c r="C111" s="53" t="s">
        <v>14</v>
      </c>
      <c r="D111" s="58"/>
      <c r="E111" s="58"/>
      <c r="F111" s="22"/>
      <c r="G111" s="22"/>
      <c r="H111" s="22"/>
      <c r="I111" s="22"/>
      <c r="J111" s="22"/>
      <c r="K111" s="23">
        <f>SUM(J112:J115)</f>
        <v>300000</v>
      </c>
      <c r="L111" s="3"/>
      <c r="M111" s="3"/>
      <c r="N111" s="3"/>
    </row>
    <row r="112" ht="15.75" customHeight="1">
      <c r="A112" s="32"/>
      <c r="B112" s="32"/>
      <c r="C112" s="63" t="s">
        <v>100</v>
      </c>
      <c r="D112" s="58">
        <v>20000.0</v>
      </c>
      <c r="E112" s="58">
        <v>20000.0</v>
      </c>
      <c r="F112" s="22"/>
      <c r="G112" s="22"/>
      <c r="H112" s="22"/>
      <c r="I112" s="22"/>
      <c r="J112" s="22">
        <f t="shared" ref="J112:J115" si="18">SUM(E112:H112)</f>
        <v>20000</v>
      </c>
      <c r="K112" s="23"/>
      <c r="L112" s="3"/>
      <c r="M112" s="3"/>
      <c r="N112" s="3"/>
    </row>
    <row r="113" ht="15.75" customHeight="1">
      <c r="A113" s="32"/>
      <c r="B113" s="32"/>
      <c r="C113" s="63" t="s">
        <v>101</v>
      </c>
      <c r="D113" s="58">
        <v>250000.0</v>
      </c>
      <c r="E113" s="58">
        <v>250000.0</v>
      </c>
      <c r="F113" s="22"/>
      <c r="G113" s="22"/>
      <c r="H113" s="22"/>
      <c r="I113" s="22"/>
      <c r="J113" s="22">
        <f t="shared" si="18"/>
        <v>250000</v>
      </c>
      <c r="K113" s="23"/>
      <c r="L113" s="3"/>
      <c r="M113" s="3"/>
      <c r="N113" s="3"/>
    </row>
    <row r="114" ht="15.75" customHeight="1">
      <c r="A114" s="32"/>
      <c r="B114" s="32"/>
      <c r="C114" s="63" t="s">
        <v>102</v>
      </c>
      <c r="D114" s="58">
        <v>15000.0</v>
      </c>
      <c r="E114" s="58">
        <v>15000.0</v>
      </c>
      <c r="F114" s="22"/>
      <c r="G114" s="22"/>
      <c r="H114" s="22"/>
      <c r="I114" s="22"/>
      <c r="J114" s="22">
        <f t="shared" si="18"/>
        <v>15000</v>
      </c>
      <c r="K114" s="23"/>
      <c r="L114" s="3"/>
      <c r="M114" s="3"/>
      <c r="N114" s="3"/>
    </row>
    <row r="115" ht="15.75" customHeight="1">
      <c r="A115" s="32"/>
      <c r="B115" s="32"/>
      <c r="C115" s="63" t="s">
        <v>103</v>
      </c>
      <c r="D115" s="56">
        <v>15000.0</v>
      </c>
      <c r="E115" s="56">
        <v>15000.0</v>
      </c>
      <c r="F115" s="22"/>
      <c r="G115" s="22"/>
      <c r="H115" s="22"/>
      <c r="I115" s="22"/>
      <c r="J115" s="22">
        <f t="shared" si="18"/>
        <v>15000</v>
      </c>
      <c r="K115" s="23"/>
      <c r="L115" s="3"/>
      <c r="M115" s="3"/>
      <c r="N115" s="3"/>
    </row>
    <row r="116" ht="15.75" customHeight="1">
      <c r="A116" s="53"/>
      <c r="B116" s="53">
        <v>623.0</v>
      </c>
      <c r="C116" s="53" t="s">
        <v>75</v>
      </c>
      <c r="D116" s="58"/>
      <c r="E116" s="58"/>
      <c r="F116" s="22"/>
      <c r="G116" s="22"/>
      <c r="H116" s="22"/>
      <c r="I116" s="22"/>
      <c r="J116" s="22"/>
      <c r="K116" s="23">
        <f>SUM(J117)</f>
        <v>80000</v>
      </c>
      <c r="L116" s="3"/>
      <c r="M116" s="3"/>
      <c r="N116" s="3"/>
    </row>
    <row r="117" ht="15.75" customHeight="1">
      <c r="A117" s="32"/>
      <c r="B117" s="32"/>
      <c r="C117" s="32" t="s">
        <v>104</v>
      </c>
      <c r="D117" s="58">
        <v>80000.0</v>
      </c>
      <c r="E117" s="58">
        <v>80000.0</v>
      </c>
      <c r="F117" s="22"/>
      <c r="G117" s="22"/>
      <c r="H117" s="22"/>
      <c r="I117" s="22"/>
      <c r="J117" s="22">
        <f>SUM(E117:H117)</f>
        <v>80000</v>
      </c>
      <c r="K117" s="23"/>
      <c r="L117" s="3"/>
      <c r="M117" s="3"/>
      <c r="N117" s="3"/>
    </row>
    <row r="118" ht="15.75" customHeight="1">
      <c r="A118" s="28"/>
      <c r="B118" s="28"/>
      <c r="C118" s="33" t="s">
        <v>105</v>
      </c>
      <c r="D118" s="30">
        <f t="shared" ref="D118:J118" si="19">SUM(D112:D117)</f>
        <v>380000</v>
      </c>
      <c r="E118" s="30">
        <f t="shared" si="19"/>
        <v>380000</v>
      </c>
      <c r="F118" s="30">
        <f t="shared" si="19"/>
        <v>0</v>
      </c>
      <c r="G118" s="30">
        <f t="shared" si="19"/>
        <v>0</v>
      </c>
      <c r="H118" s="30">
        <f t="shared" si="19"/>
        <v>0</v>
      </c>
      <c r="I118" s="30">
        <f t="shared" si="19"/>
        <v>0</v>
      </c>
      <c r="J118" s="30">
        <f t="shared" si="19"/>
        <v>380000</v>
      </c>
      <c r="K118" s="23"/>
      <c r="L118" s="3"/>
      <c r="M118" s="3"/>
      <c r="N118" s="3"/>
    </row>
    <row r="119" ht="15.75" customHeight="1">
      <c r="A119" s="26"/>
      <c r="B119" s="26"/>
      <c r="C119" s="27"/>
      <c r="D119" s="38"/>
      <c r="E119" s="25"/>
      <c r="F119" s="22"/>
      <c r="G119" s="22"/>
      <c r="H119" s="22"/>
      <c r="I119" s="22"/>
      <c r="J119" s="22"/>
      <c r="K119" s="23"/>
      <c r="L119" s="3"/>
      <c r="M119" s="3"/>
      <c r="N119" s="3"/>
    </row>
    <row r="120" ht="15.75" customHeight="1">
      <c r="A120" s="19"/>
      <c r="B120" s="19">
        <v>1640.0</v>
      </c>
      <c r="C120" s="20" t="s">
        <v>106</v>
      </c>
      <c r="D120" s="38"/>
      <c r="E120" s="25"/>
      <c r="F120" s="22"/>
      <c r="G120" s="22"/>
      <c r="H120" s="22"/>
      <c r="I120" s="22"/>
      <c r="J120" s="22"/>
      <c r="K120" s="23"/>
      <c r="L120" s="3"/>
      <c r="M120" s="3"/>
      <c r="N120" s="3"/>
    </row>
    <row r="121" ht="15.75" customHeight="1">
      <c r="A121" s="65"/>
      <c r="B121" s="65">
        <v>622.0</v>
      </c>
      <c r="C121" s="66" t="s">
        <v>11</v>
      </c>
      <c r="D121" s="21"/>
      <c r="E121" s="21"/>
      <c r="F121" s="22"/>
      <c r="G121" s="22"/>
      <c r="H121" s="22"/>
      <c r="I121" s="22"/>
      <c r="J121" s="22"/>
      <c r="K121" s="23">
        <f>SUM(J122:J124)</f>
        <v>286000</v>
      </c>
      <c r="L121" s="3"/>
      <c r="M121" s="3"/>
      <c r="N121" s="3"/>
    </row>
    <row r="122" ht="15.75" customHeight="1">
      <c r="A122" s="26"/>
      <c r="B122" s="26"/>
      <c r="C122" s="27" t="s">
        <v>107</v>
      </c>
      <c r="D122" s="21">
        <v>240000.0</v>
      </c>
      <c r="E122" s="21">
        <v>240000.0</v>
      </c>
      <c r="F122" s="22"/>
      <c r="G122" s="22"/>
      <c r="H122" s="22"/>
      <c r="I122" s="22"/>
      <c r="J122" s="22">
        <f t="shared" ref="J122:J124" si="20">SUM(E122:H122)</f>
        <v>240000</v>
      </c>
      <c r="K122" s="23"/>
      <c r="L122" s="3"/>
      <c r="M122" s="3"/>
      <c r="N122" s="3"/>
    </row>
    <row r="123" ht="15.75" customHeight="1">
      <c r="A123" s="26"/>
      <c r="B123" s="26"/>
      <c r="C123" s="27" t="s">
        <v>108</v>
      </c>
      <c r="D123" s="21">
        <v>4000.0</v>
      </c>
      <c r="E123" s="21">
        <v>4000.0</v>
      </c>
      <c r="F123" s="22"/>
      <c r="G123" s="22"/>
      <c r="H123" s="22"/>
      <c r="I123" s="22"/>
      <c r="J123" s="22">
        <f t="shared" si="20"/>
        <v>4000</v>
      </c>
      <c r="K123" s="23"/>
      <c r="L123" s="3"/>
      <c r="M123" s="3"/>
      <c r="N123" s="3"/>
    </row>
    <row r="124" ht="15.75" customHeight="1">
      <c r="A124" s="26"/>
      <c r="B124" s="26"/>
      <c r="C124" s="27" t="s">
        <v>109</v>
      </c>
      <c r="D124" s="21">
        <v>42000.0</v>
      </c>
      <c r="E124" s="21">
        <v>42000.0</v>
      </c>
      <c r="F124" s="22"/>
      <c r="G124" s="22"/>
      <c r="H124" s="22"/>
      <c r="I124" s="22"/>
      <c r="J124" s="22">
        <f t="shared" si="20"/>
        <v>42000</v>
      </c>
      <c r="K124" s="23"/>
      <c r="L124" s="3"/>
      <c r="M124" s="3"/>
      <c r="N124" s="3"/>
    </row>
    <row r="125" ht="15.75" customHeight="1">
      <c r="A125" s="36"/>
      <c r="B125" s="36">
        <v>629.0</v>
      </c>
      <c r="C125" s="67" t="s">
        <v>22</v>
      </c>
      <c r="D125" s="21"/>
      <c r="E125" s="21"/>
      <c r="F125" s="22"/>
      <c r="G125" s="22"/>
      <c r="H125" s="22"/>
      <c r="I125" s="22"/>
      <c r="J125" s="22"/>
      <c r="K125" s="23">
        <f>SUM(J126)</f>
        <v>5000</v>
      </c>
      <c r="L125" s="3"/>
      <c r="M125" s="3"/>
      <c r="N125" s="3"/>
    </row>
    <row r="126" ht="15.75" customHeight="1">
      <c r="A126" s="26"/>
      <c r="B126" s="26"/>
      <c r="C126" s="27" t="s">
        <v>110</v>
      </c>
      <c r="D126" s="21">
        <v>5000.0</v>
      </c>
      <c r="E126" s="21">
        <v>5000.0</v>
      </c>
      <c r="F126" s="22"/>
      <c r="G126" s="22"/>
      <c r="H126" s="22"/>
      <c r="I126" s="22"/>
      <c r="J126" s="22">
        <f>SUM(E126:H126)</f>
        <v>5000</v>
      </c>
      <c r="K126" s="23"/>
      <c r="L126" s="3"/>
      <c r="M126" s="3"/>
      <c r="N126" s="3"/>
    </row>
    <row r="127" ht="15.75" customHeight="1">
      <c r="A127" s="19"/>
      <c r="B127" s="19">
        <v>641.0</v>
      </c>
      <c r="C127" s="20" t="s">
        <v>27</v>
      </c>
      <c r="D127" s="38"/>
      <c r="E127" s="38"/>
      <c r="F127" s="22"/>
      <c r="G127" s="22"/>
      <c r="H127" s="22"/>
      <c r="I127" s="22"/>
      <c r="J127" s="22"/>
      <c r="K127" s="23">
        <f>SUM(J128)</f>
        <v>13000</v>
      </c>
      <c r="L127" s="3"/>
      <c r="M127" s="3"/>
      <c r="N127" s="3"/>
    </row>
    <row r="128" ht="15.75" customHeight="1">
      <c r="A128" s="26"/>
      <c r="B128" s="26"/>
      <c r="C128" s="27" t="s">
        <v>111</v>
      </c>
      <c r="D128" s="38">
        <v>13000.0</v>
      </c>
      <c r="E128" s="38">
        <v>13000.0</v>
      </c>
      <c r="F128" s="22"/>
      <c r="G128" s="22"/>
      <c r="H128" s="22"/>
      <c r="I128" s="22"/>
      <c r="J128" s="22">
        <f>SUM(E128:H128)</f>
        <v>13000</v>
      </c>
      <c r="K128" s="23"/>
      <c r="L128" s="3"/>
      <c r="M128" s="3"/>
      <c r="N128" s="3"/>
    </row>
    <row r="129" ht="15.75" customHeight="1">
      <c r="A129" s="28"/>
      <c r="B129" s="28"/>
      <c r="C129" s="33" t="s">
        <v>112</v>
      </c>
      <c r="D129" s="30">
        <f t="shared" ref="D129:J129" si="21">SUM(D122:D128)</f>
        <v>304000</v>
      </c>
      <c r="E129" s="30">
        <f t="shared" si="21"/>
        <v>304000</v>
      </c>
      <c r="F129" s="30">
        <f t="shared" si="21"/>
        <v>0</v>
      </c>
      <c r="G129" s="30">
        <f t="shared" si="21"/>
        <v>0</v>
      </c>
      <c r="H129" s="30">
        <f t="shared" si="21"/>
        <v>0</v>
      </c>
      <c r="I129" s="30">
        <f t="shared" si="21"/>
        <v>0</v>
      </c>
      <c r="J129" s="30">
        <f t="shared" si="21"/>
        <v>304000</v>
      </c>
      <c r="K129" s="23"/>
      <c r="L129" s="3"/>
      <c r="M129" s="3"/>
      <c r="N129" s="3"/>
    </row>
    <row r="130" ht="15.75" customHeight="1">
      <c r="A130" s="26"/>
      <c r="B130" s="26"/>
      <c r="C130" s="27"/>
      <c r="D130" s="68"/>
      <c r="E130" s="22"/>
      <c r="F130" s="22"/>
      <c r="G130" s="22"/>
      <c r="H130" s="22"/>
      <c r="I130" s="22"/>
      <c r="J130" s="22"/>
      <c r="K130" s="23"/>
      <c r="L130" s="3"/>
      <c r="M130" s="3"/>
      <c r="N130" s="3"/>
    </row>
    <row r="131" ht="15.75" customHeight="1">
      <c r="A131" s="19"/>
      <c r="B131" s="19">
        <v>1650.0</v>
      </c>
      <c r="C131" s="20" t="s">
        <v>113</v>
      </c>
      <c r="D131" s="68"/>
      <c r="E131" s="22"/>
      <c r="F131" s="22"/>
      <c r="G131" s="22"/>
      <c r="H131" s="22"/>
      <c r="I131" s="22"/>
      <c r="J131" s="22"/>
      <c r="K131" s="23"/>
      <c r="L131" s="3"/>
      <c r="M131" s="3"/>
      <c r="N131" s="3"/>
    </row>
    <row r="132" ht="15.75" customHeight="1">
      <c r="A132" s="19"/>
      <c r="B132" s="19">
        <v>619.0</v>
      </c>
      <c r="C132" s="20" t="s">
        <v>14</v>
      </c>
      <c r="D132" s="68"/>
      <c r="E132" s="68"/>
      <c r="F132" s="22"/>
      <c r="G132" s="22"/>
      <c r="H132" s="22"/>
      <c r="I132" s="22"/>
      <c r="J132" s="22"/>
      <c r="K132" s="23">
        <f>SUM(J133:J134)</f>
        <v>340000</v>
      </c>
      <c r="L132" s="3"/>
      <c r="M132" s="3"/>
      <c r="N132" s="3"/>
    </row>
    <row r="133" ht="15.75" customHeight="1">
      <c r="A133" s="26"/>
      <c r="B133" s="26"/>
      <c r="C133" s="27" t="s">
        <v>114</v>
      </c>
      <c r="D133" s="68">
        <v>300000.0</v>
      </c>
      <c r="E133" s="68">
        <v>300000.0</v>
      </c>
      <c r="F133" s="22"/>
      <c r="G133" s="22"/>
      <c r="H133" s="22"/>
      <c r="I133" s="22"/>
      <c r="J133" s="22">
        <f t="shared" ref="J133:J134" si="22">SUM(E133:H133)</f>
        <v>300000</v>
      </c>
      <c r="K133" s="23"/>
      <c r="L133" s="3"/>
      <c r="M133" s="3"/>
      <c r="N133" s="3"/>
    </row>
    <row r="134" ht="15.75" customHeight="1">
      <c r="A134" s="26"/>
      <c r="B134" s="26"/>
      <c r="C134" s="27" t="s">
        <v>115</v>
      </c>
      <c r="D134" s="68">
        <v>40000.0</v>
      </c>
      <c r="E134" s="68">
        <v>40000.0</v>
      </c>
      <c r="F134" s="22"/>
      <c r="G134" s="22"/>
      <c r="H134" s="22"/>
      <c r="I134" s="22"/>
      <c r="J134" s="22">
        <f t="shared" si="22"/>
        <v>40000</v>
      </c>
      <c r="K134" s="23"/>
      <c r="L134" s="3"/>
      <c r="M134" s="3"/>
      <c r="N134" s="3"/>
    </row>
    <row r="135" ht="15.75" customHeight="1">
      <c r="A135" s="28"/>
      <c r="B135" s="28"/>
      <c r="C135" s="33" t="s">
        <v>116</v>
      </c>
      <c r="D135" s="30">
        <f t="shared" ref="D135:J135" si="23">SUM(D133:D134)</f>
        <v>340000</v>
      </c>
      <c r="E135" s="30">
        <f t="shared" si="23"/>
        <v>340000</v>
      </c>
      <c r="F135" s="30">
        <f t="shared" si="23"/>
        <v>0</v>
      </c>
      <c r="G135" s="30">
        <f t="shared" si="23"/>
        <v>0</v>
      </c>
      <c r="H135" s="30">
        <f t="shared" si="23"/>
        <v>0</v>
      </c>
      <c r="I135" s="30">
        <f t="shared" si="23"/>
        <v>0</v>
      </c>
      <c r="J135" s="30">
        <f t="shared" si="23"/>
        <v>340000</v>
      </c>
      <c r="K135" s="23"/>
      <c r="L135" s="3"/>
      <c r="M135" s="3"/>
      <c r="N135" s="3"/>
    </row>
    <row r="136" ht="15.75" customHeight="1">
      <c r="A136" s="26"/>
      <c r="B136" s="26"/>
      <c r="C136" s="27"/>
      <c r="D136" s="21"/>
      <c r="E136" s="22"/>
      <c r="F136" s="25"/>
      <c r="G136" s="22"/>
      <c r="H136" s="22"/>
      <c r="I136" s="22"/>
      <c r="J136" s="22"/>
      <c r="K136" s="23"/>
      <c r="L136" s="3"/>
      <c r="M136" s="3"/>
      <c r="N136" s="3"/>
    </row>
    <row r="137" ht="15.75" customHeight="1">
      <c r="A137" s="19"/>
      <c r="B137" s="19">
        <v>1710.0</v>
      </c>
      <c r="C137" s="20" t="s">
        <v>117</v>
      </c>
      <c r="D137" s="21"/>
      <c r="E137" s="22"/>
      <c r="F137" s="25"/>
      <c r="G137" s="22"/>
      <c r="H137" s="22"/>
      <c r="I137" s="22"/>
      <c r="J137" s="22"/>
      <c r="K137" s="23"/>
      <c r="L137" s="3"/>
      <c r="M137" s="3"/>
      <c r="N137" s="3"/>
    </row>
    <row r="138" ht="15.75" customHeight="1">
      <c r="A138" s="64"/>
      <c r="B138" s="64" t="s">
        <v>118</v>
      </c>
      <c r="C138" s="66" t="s">
        <v>119</v>
      </c>
      <c r="D138" s="21"/>
      <c r="E138" s="69"/>
      <c r="F138" s="25"/>
      <c r="G138" s="22"/>
      <c r="H138" s="22"/>
      <c r="I138" s="25"/>
      <c r="J138" s="22"/>
      <c r="K138" s="23">
        <f>SUM(J139:J142)</f>
        <v>740000</v>
      </c>
      <c r="L138" s="3"/>
      <c r="M138" s="3"/>
      <c r="N138" s="3"/>
    </row>
    <row r="139" ht="15.75" customHeight="1">
      <c r="A139" s="26"/>
      <c r="B139" s="26"/>
      <c r="C139" s="27" t="s">
        <v>120</v>
      </c>
      <c r="D139" s="21">
        <v>500000.0</v>
      </c>
      <c r="E139" s="69">
        <v>232000.0</v>
      </c>
      <c r="F139" s="25"/>
      <c r="G139" s="22"/>
      <c r="H139" s="22"/>
      <c r="I139" s="25">
        <v>268000.0</v>
      </c>
      <c r="J139" s="22">
        <f>SUM(E139:I139)</f>
        <v>500000</v>
      </c>
      <c r="K139" s="23"/>
      <c r="L139" s="3"/>
      <c r="M139" s="3"/>
      <c r="N139" s="3"/>
    </row>
    <row r="140" ht="15.75" customHeight="1">
      <c r="A140" s="26"/>
      <c r="B140" s="26"/>
      <c r="C140" s="27" t="s">
        <v>121</v>
      </c>
      <c r="D140" s="21">
        <v>120000.0</v>
      </c>
      <c r="E140" s="23">
        <v>120000.0</v>
      </c>
      <c r="F140" s="25"/>
      <c r="G140" s="22"/>
      <c r="H140" s="22"/>
      <c r="I140" s="22"/>
      <c r="J140" s="22">
        <f t="shared" ref="J140:J142" si="24">SUM(E140:H140)</f>
        <v>120000</v>
      </c>
      <c r="K140" s="23"/>
      <c r="L140" s="3"/>
      <c r="M140" s="3"/>
      <c r="N140" s="3"/>
    </row>
    <row r="141" ht="15.75" customHeight="1">
      <c r="A141" s="26"/>
      <c r="B141" s="26"/>
      <c r="C141" s="70" t="s">
        <v>122</v>
      </c>
      <c r="D141" s="69">
        <v>20000.0</v>
      </c>
      <c r="E141" s="58">
        <v>20000.0</v>
      </c>
      <c r="F141" s="22"/>
      <c r="G141" s="22"/>
      <c r="H141" s="22"/>
      <c r="I141" s="22"/>
      <c r="J141" s="22">
        <f t="shared" si="24"/>
        <v>20000</v>
      </c>
      <c r="K141" s="23"/>
      <c r="L141" s="3"/>
      <c r="M141" s="3"/>
      <c r="N141" s="3"/>
    </row>
    <row r="142" ht="15.75" customHeight="1">
      <c r="A142" s="71"/>
      <c r="B142" s="71"/>
      <c r="C142" s="3" t="s">
        <v>123</v>
      </c>
      <c r="D142" s="69">
        <v>100000.0</v>
      </c>
      <c r="E142" s="58">
        <v>100000.0</v>
      </c>
      <c r="F142" s="22"/>
      <c r="G142" s="22"/>
      <c r="H142" s="22"/>
      <c r="I142" s="22"/>
      <c r="J142" s="22">
        <f t="shared" si="24"/>
        <v>100000</v>
      </c>
      <c r="K142" s="23"/>
      <c r="L142" s="3"/>
      <c r="M142" s="3"/>
      <c r="N142" s="3"/>
    </row>
    <row r="143" ht="15.75" customHeight="1">
      <c r="A143" s="19"/>
      <c r="B143" s="19">
        <v>650.0</v>
      </c>
      <c r="C143" s="72" t="s">
        <v>124</v>
      </c>
      <c r="D143" s="69"/>
      <c r="E143" s="58"/>
      <c r="F143" s="22"/>
      <c r="G143" s="22"/>
      <c r="H143" s="22"/>
      <c r="I143" s="22"/>
      <c r="J143" s="22"/>
      <c r="K143" s="23">
        <f>SUM(J144)</f>
        <v>720000</v>
      </c>
      <c r="L143" s="3"/>
      <c r="M143" s="3"/>
      <c r="N143" s="3"/>
    </row>
    <row r="144" ht="15.75" customHeight="1">
      <c r="A144" s="26"/>
      <c r="B144" s="26"/>
      <c r="C144" s="70" t="s">
        <v>125</v>
      </c>
      <c r="D144" s="69">
        <v>720000.0</v>
      </c>
      <c r="E144" s="58">
        <v>720000.0</v>
      </c>
      <c r="F144" s="22"/>
      <c r="G144" s="22"/>
      <c r="H144" s="22"/>
      <c r="I144" s="22"/>
      <c r="J144" s="22">
        <f>SUM(E144:H144)</f>
        <v>720000</v>
      </c>
      <c r="K144" s="23"/>
      <c r="L144" s="3"/>
      <c r="M144" s="3"/>
      <c r="N144" s="3"/>
    </row>
    <row r="145" ht="15.75" customHeight="1">
      <c r="A145" s="28"/>
      <c r="B145" s="28"/>
      <c r="C145" s="33" t="s">
        <v>126</v>
      </c>
      <c r="D145" s="30">
        <f t="shared" ref="D145:J145" si="25">SUM(D139:D144)</f>
        <v>1460000</v>
      </c>
      <c r="E145" s="30">
        <f t="shared" si="25"/>
        <v>1192000</v>
      </c>
      <c r="F145" s="30">
        <f t="shared" si="25"/>
        <v>0</v>
      </c>
      <c r="G145" s="30">
        <f t="shared" si="25"/>
        <v>0</v>
      </c>
      <c r="H145" s="30">
        <f t="shared" si="25"/>
        <v>0</v>
      </c>
      <c r="I145" s="30">
        <f t="shared" si="25"/>
        <v>268000</v>
      </c>
      <c r="J145" s="30">
        <f t="shared" si="25"/>
        <v>1460000</v>
      </c>
      <c r="K145" s="23"/>
      <c r="L145" s="3"/>
      <c r="M145" s="3"/>
      <c r="N145" s="3"/>
    </row>
    <row r="146" ht="15.75" customHeight="1">
      <c r="A146" s="26"/>
      <c r="B146" s="26"/>
      <c r="C146" s="27"/>
      <c r="D146" s="21"/>
      <c r="E146" s="73"/>
      <c r="F146" s="22"/>
      <c r="G146" s="22"/>
      <c r="H146" s="22"/>
      <c r="I146" s="22"/>
      <c r="J146" s="22"/>
      <c r="K146" s="23"/>
      <c r="L146" s="3"/>
      <c r="M146" s="3"/>
      <c r="N146" s="3"/>
    </row>
    <row r="147" ht="15.75" customHeight="1">
      <c r="A147" s="74"/>
      <c r="B147" s="74">
        <v>1721.0</v>
      </c>
      <c r="C147" s="72" t="s">
        <v>127</v>
      </c>
      <c r="D147" s="75"/>
      <c r="E147" s="76"/>
      <c r="F147" s="76"/>
      <c r="G147" s="76"/>
      <c r="H147" s="76"/>
      <c r="I147" s="76"/>
      <c r="J147" s="76"/>
      <c r="K147" s="75"/>
      <c r="L147" s="77"/>
      <c r="M147" s="77"/>
      <c r="N147" s="77"/>
    </row>
    <row r="148" ht="15.75" customHeight="1">
      <c r="A148" s="78"/>
      <c r="B148" s="78">
        <v>619.0</v>
      </c>
      <c r="C148" s="79" t="s">
        <v>14</v>
      </c>
      <c r="D148" s="75"/>
      <c r="E148" s="75"/>
      <c r="F148" s="76"/>
      <c r="G148" s="76"/>
      <c r="H148" s="76"/>
      <c r="I148" s="76"/>
      <c r="J148" s="76"/>
      <c r="K148" s="58">
        <f>SUM(J149)</f>
        <v>300000</v>
      </c>
      <c r="L148" s="77"/>
      <c r="M148" s="77"/>
      <c r="N148" s="77"/>
    </row>
    <row r="149" ht="15.75" customHeight="1">
      <c r="A149" s="80"/>
      <c r="B149" s="80"/>
      <c r="C149" s="27" t="s">
        <v>128</v>
      </c>
      <c r="D149" s="56">
        <v>300000.0</v>
      </c>
      <c r="E149" s="56">
        <v>300000.0</v>
      </c>
      <c r="F149" s="76"/>
      <c r="G149" s="76"/>
      <c r="H149" s="76"/>
      <c r="I149" s="76"/>
      <c r="J149" s="73">
        <f>SUM(E149:H149)</f>
        <v>300000</v>
      </c>
      <c r="K149" s="75"/>
      <c r="L149" s="77"/>
      <c r="M149" s="77"/>
      <c r="N149" s="77"/>
    </row>
    <row r="150" ht="15.75" customHeight="1">
      <c r="A150" s="81"/>
      <c r="B150" s="81"/>
      <c r="C150" s="19">
        <v>1721.0</v>
      </c>
      <c r="D150" s="52">
        <f t="shared" ref="D150:J150" si="26">SUM(D149)</f>
        <v>300000</v>
      </c>
      <c r="E150" s="52">
        <f t="shared" si="26"/>
        <v>300000</v>
      </c>
      <c r="F150" s="52">
        <f t="shared" si="26"/>
        <v>0</v>
      </c>
      <c r="G150" s="52">
        <f t="shared" si="26"/>
        <v>0</v>
      </c>
      <c r="H150" s="52">
        <f t="shared" si="26"/>
        <v>0</v>
      </c>
      <c r="I150" s="52">
        <f t="shared" si="26"/>
        <v>0</v>
      </c>
      <c r="J150" s="52">
        <f t="shared" si="26"/>
        <v>300000</v>
      </c>
      <c r="K150" s="75"/>
      <c r="L150" s="77"/>
      <c r="M150" s="77"/>
      <c r="N150" s="77"/>
    </row>
    <row r="151" ht="15.75" customHeight="1">
      <c r="A151" s="26"/>
      <c r="B151" s="26"/>
      <c r="C151" s="27"/>
      <c r="D151" s="21"/>
      <c r="E151" s="73"/>
      <c r="F151" s="22"/>
      <c r="G151" s="22"/>
      <c r="H151" s="22"/>
      <c r="I151" s="22"/>
      <c r="J151" s="22"/>
      <c r="K151" s="23"/>
      <c r="L151" s="3"/>
      <c r="M151" s="3"/>
      <c r="N151" s="3"/>
    </row>
    <row r="152" ht="15.75" customHeight="1">
      <c r="A152" s="19"/>
      <c r="B152" s="19">
        <v>2310.0</v>
      </c>
      <c r="C152" s="20" t="s">
        <v>129</v>
      </c>
      <c r="D152" s="21"/>
      <c r="E152" s="73"/>
      <c r="F152" s="22"/>
      <c r="G152" s="22"/>
      <c r="H152" s="22"/>
      <c r="I152" s="22"/>
      <c r="J152" s="22"/>
      <c r="K152" s="23"/>
      <c r="L152" s="3"/>
      <c r="M152" s="3"/>
      <c r="N152" s="3"/>
    </row>
    <row r="153" ht="15.75" customHeight="1">
      <c r="A153" s="65"/>
      <c r="B153" s="65">
        <v>632.0</v>
      </c>
      <c r="C153" s="66" t="s">
        <v>11</v>
      </c>
      <c r="D153" s="22"/>
      <c r="E153" s="22"/>
      <c r="F153" s="22"/>
      <c r="G153" s="22"/>
      <c r="H153" s="22"/>
      <c r="I153" s="22"/>
      <c r="J153" s="22"/>
      <c r="K153" s="23">
        <f>SUM(J154:J155)</f>
        <v>24000</v>
      </c>
      <c r="L153" s="3"/>
      <c r="M153" s="3"/>
      <c r="N153" s="3"/>
    </row>
    <row r="154" ht="15.75" customHeight="1">
      <c r="A154" s="26"/>
      <c r="B154" s="26"/>
      <c r="C154" s="8" t="s">
        <v>130</v>
      </c>
      <c r="D154" s="22">
        <v>18000.0</v>
      </c>
      <c r="E154" s="22">
        <v>18000.0</v>
      </c>
      <c r="F154" s="22"/>
      <c r="G154" s="22"/>
      <c r="H154" s="22"/>
      <c r="I154" s="22"/>
      <c r="J154" s="22">
        <v>18000.0</v>
      </c>
      <c r="K154" s="82"/>
      <c r="L154" s="3"/>
      <c r="M154" s="3"/>
      <c r="N154" s="3"/>
    </row>
    <row r="155" ht="15.75" customHeight="1">
      <c r="A155" s="26"/>
      <c r="B155" s="26"/>
      <c r="C155" s="27" t="s">
        <v>131</v>
      </c>
      <c r="D155" s="25">
        <v>6000.0</v>
      </c>
      <c r="E155" s="25">
        <v>6000.0</v>
      </c>
      <c r="F155" s="22"/>
      <c r="G155" s="22"/>
      <c r="H155" s="22"/>
      <c r="I155" s="22"/>
      <c r="J155" s="22">
        <f>SUM(E155:H155)</f>
        <v>6000</v>
      </c>
      <c r="K155" s="82"/>
      <c r="L155" s="3"/>
      <c r="M155" s="3"/>
      <c r="N155" s="3"/>
    </row>
    <row r="156" ht="15.75" customHeight="1">
      <c r="A156" s="19"/>
      <c r="B156" s="19">
        <v>633.0</v>
      </c>
      <c r="C156" s="20" t="s">
        <v>75</v>
      </c>
      <c r="D156" s="21"/>
      <c r="E156" s="21"/>
      <c r="F156" s="22"/>
      <c r="G156" s="22"/>
      <c r="H156" s="22"/>
      <c r="I156" s="22"/>
      <c r="J156" s="22"/>
      <c r="K156" s="23">
        <f>SUM(J157)</f>
        <v>1500</v>
      </c>
      <c r="L156" s="3"/>
      <c r="M156" s="3"/>
      <c r="N156" s="3"/>
    </row>
    <row r="157" ht="15.75" customHeight="1">
      <c r="A157" s="26"/>
      <c r="B157" s="26"/>
      <c r="C157" s="27" t="s">
        <v>132</v>
      </c>
      <c r="D157" s="21">
        <v>1500.0</v>
      </c>
      <c r="E157" s="21">
        <v>1500.0</v>
      </c>
      <c r="F157" s="22"/>
      <c r="G157" s="22"/>
      <c r="H157" s="22"/>
      <c r="I157" s="22"/>
      <c r="J157" s="22">
        <f>SUM(E157:H157)</f>
        <v>1500</v>
      </c>
      <c r="K157" s="23"/>
      <c r="L157" s="3"/>
      <c r="M157" s="3"/>
      <c r="N157" s="3"/>
    </row>
    <row r="158" ht="15.75" customHeight="1">
      <c r="A158" s="19"/>
      <c r="B158" s="19">
        <v>635.0</v>
      </c>
      <c r="C158" s="20" t="s">
        <v>25</v>
      </c>
      <c r="D158" s="21"/>
      <c r="E158" s="21"/>
      <c r="F158" s="22"/>
      <c r="G158" s="22"/>
      <c r="H158" s="22"/>
      <c r="I158" s="22"/>
      <c r="J158" s="22"/>
      <c r="K158" s="23">
        <f>SUM(J159)</f>
        <v>18000</v>
      </c>
      <c r="L158" s="3"/>
      <c r="M158" s="3"/>
      <c r="N158" s="3"/>
    </row>
    <row r="159" ht="15.75" customHeight="1">
      <c r="A159" s="26"/>
      <c r="B159" s="26"/>
      <c r="C159" s="27" t="s">
        <v>133</v>
      </c>
      <c r="D159" s="21">
        <v>18000.0</v>
      </c>
      <c r="E159" s="21">
        <v>18000.0</v>
      </c>
      <c r="F159" s="22"/>
      <c r="G159" s="22"/>
      <c r="H159" s="22"/>
      <c r="I159" s="22"/>
      <c r="J159" s="22">
        <f>SUM(E159:H159)</f>
        <v>18000</v>
      </c>
      <c r="K159" s="23"/>
      <c r="L159" s="3"/>
      <c r="M159" s="3"/>
      <c r="N159" s="3"/>
    </row>
    <row r="160" ht="15.75" customHeight="1">
      <c r="A160" s="28"/>
      <c r="B160" s="28"/>
      <c r="C160" s="33" t="s">
        <v>134</v>
      </c>
      <c r="D160" s="30">
        <f t="shared" ref="D160:J160" si="27">SUM(D153:D159)</f>
        <v>43500</v>
      </c>
      <c r="E160" s="30">
        <f t="shared" si="27"/>
        <v>43500</v>
      </c>
      <c r="F160" s="30">
        <f t="shared" si="27"/>
        <v>0</v>
      </c>
      <c r="G160" s="30">
        <f t="shared" si="27"/>
        <v>0</v>
      </c>
      <c r="H160" s="30">
        <f t="shared" si="27"/>
        <v>0</v>
      </c>
      <c r="I160" s="30">
        <f t="shared" si="27"/>
        <v>0</v>
      </c>
      <c r="J160" s="30">
        <f t="shared" si="27"/>
        <v>43500</v>
      </c>
      <c r="K160" s="23"/>
      <c r="L160" s="3"/>
      <c r="M160" s="3"/>
      <c r="N160" s="3"/>
    </row>
    <row r="161" ht="15.75" customHeight="1">
      <c r="A161" s="32"/>
      <c r="B161" s="32"/>
      <c r="C161" s="27"/>
      <c r="D161" s="21"/>
      <c r="E161" s="73"/>
      <c r="F161" s="22"/>
      <c r="G161" s="22"/>
      <c r="H161" s="22"/>
      <c r="I161" s="22"/>
      <c r="J161" s="22"/>
      <c r="K161" s="23"/>
      <c r="L161" s="3"/>
      <c r="M161" s="3"/>
      <c r="N161" s="3"/>
    </row>
    <row r="162" ht="15.75" customHeight="1">
      <c r="A162" s="53"/>
      <c r="B162" s="53">
        <v>3110.0</v>
      </c>
      <c r="C162" s="20" t="s">
        <v>135</v>
      </c>
      <c r="D162" s="21"/>
      <c r="E162" s="73"/>
      <c r="F162" s="22"/>
      <c r="G162" s="22"/>
      <c r="H162" s="22"/>
      <c r="I162" s="22"/>
      <c r="J162" s="22"/>
      <c r="K162" s="23"/>
      <c r="L162" s="3"/>
      <c r="M162" s="3"/>
      <c r="N162" s="3"/>
    </row>
    <row r="163" ht="15.75" customHeight="1">
      <c r="A163" s="54"/>
      <c r="B163" s="54">
        <v>609.0</v>
      </c>
      <c r="C163" s="66" t="s">
        <v>136</v>
      </c>
      <c r="D163" s="21"/>
      <c r="E163" s="73"/>
      <c r="F163" s="22"/>
      <c r="G163" s="22"/>
      <c r="H163" s="22"/>
      <c r="I163" s="22"/>
      <c r="J163" s="22"/>
      <c r="K163" s="23">
        <f>SUM(J164)</f>
        <v>18000</v>
      </c>
      <c r="L163" s="3"/>
      <c r="M163" s="3"/>
      <c r="N163" s="3"/>
    </row>
    <row r="164" ht="15.75" customHeight="1">
      <c r="A164" s="26"/>
      <c r="B164" s="26"/>
      <c r="C164" s="27" t="s">
        <v>137</v>
      </c>
      <c r="D164" s="21">
        <v>18000.0</v>
      </c>
      <c r="E164" s="21">
        <v>18000.0</v>
      </c>
      <c r="F164" s="22"/>
      <c r="G164" s="22"/>
      <c r="H164" s="22"/>
      <c r="I164" s="22"/>
      <c r="J164" s="22">
        <f>SUM(E164:H164)</f>
        <v>18000</v>
      </c>
      <c r="K164" s="23"/>
      <c r="L164" s="3"/>
      <c r="M164" s="3"/>
      <c r="N164" s="3"/>
    </row>
    <row r="165" ht="15.75" customHeight="1">
      <c r="A165" s="28"/>
      <c r="B165" s="28"/>
      <c r="C165" s="33" t="s">
        <v>138</v>
      </c>
      <c r="D165" s="30">
        <f t="shared" ref="D165:J165" si="28">SUM(D164)</f>
        <v>18000</v>
      </c>
      <c r="E165" s="30">
        <f t="shared" si="28"/>
        <v>18000</v>
      </c>
      <c r="F165" s="30">
        <f t="shared" si="28"/>
        <v>0</v>
      </c>
      <c r="G165" s="30">
        <f t="shared" si="28"/>
        <v>0</v>
      </c>
      <c r="H165" s="30">
        <f t="shared" si="28"/>
        <v>0</v>
      </c>
      <c r="I165" s="30">
        <f t="shared" si="28"/>
        <v>0</v>
      </c>
      <c r="J165" s="30">
        <f t="shared" si="28"/>
        <v>18000</v>
      </c>
      <c r="K165" s="23"/>
      <c r="L165" s="3"/>
      <c r="M165" s="3"/>
      <c r="N165" s="3"/>
    </row>
    <row r="166" ht="15.75" customHeight="1">
      <c r="A166" s="26"/>
      <c r="B166" s="26"/>
      <c r="C166" s="27"/>
      <c r="D166" s="21"/>
      <c r="E166" s="22"/>
      <c r="F166" s="22"/>
      <c r="G166" s="22"/>
      <c r="H166" s="22"/>
      <c r="I166" s="22"/>
      <c r="J166" s="22"/>
      <c r="K166" s="23"/>
      <c r="L166" s="3"/>
      <c r="M166" s="3"/>
      <c r="N166" s="3"/>
    </row>
    <row r="167" ht="15.75" customHeight="1">
      <c r="A167" s="19"/>
      <c r="B167" s="19">
        <v>3200.0</v>
      </c>
      <c r="C167" s="20" t="s">
        <v>139</v>
      </c>
      <c r="D167" s="21"/>
      <c r="E167" s="22"/>
      <c r="F167" s="22"/>
      <c r="G167" s="22"/>
      <c r="H167" s="22"/>
      <c r="I167" s="22"/>
      <c r="J167" s="22"/>
      <c r="K167" s="23"/>
      <c r="L167" s="3"/>
      <c r="M167" s="3"/>
      <c r="N167" s="3"/>
    </row>
    <row r="168" ht="15.75" customHeight="1">
      <c r="A168" s="19"/>
      <c r="B168" s="19">
        <v>641.0</v>
      </c>
      <c r="C168" s="20" t="s">
        <v>27</v>
      </c>
      <c r="D168" s="21"/>
      <c r="E168" s="21"/>
      <c r="F168" s="22"/>
      <c r="G168" s="22"/>
      <c r="H168" s="22"/>
      <c r="I168" s="22"/>
      <c r="J168" s="22"/>
      <c r="K168" s="23">
        <f>SUM(J169)</f>
        <v>10000</v>
      </c>
      <c r="L168" s="3"/>
      <c r="M168" s="3"/>
      <c r="N168" s="3"/>
    </row>
    <row r="169" ht="15.75" customHeight="1">
      <c r="A169" s="26"/>
      <c r="B169" s="26"/>
      <c r="C169" s="27" t="s">
        <v>140</v>
      </c>
      <c r="D169" s="21">
        <v>10000.0</v>
      </c>
      <c r="E169" s="21">
        <v>10000.0</v>
      </c>
      <c r="F169" s="22"/>
      <c r="G169" s="22"/>
      <c r="H169" s="22"/>
      <c r="I169" s="22"/>
      <c r="J169" s="22">
        <f>SUM(E169:H169)</f>
        <v>10000</v>
      </c>
      <c r="K169" s="23"/>
      <c r="L169" s="3"/>
      <c r="M169" s="3"/>
      <c r="N169" s="3"/>
    </row>
    <row r="170" ht="15.75" customHeight="1">
      <c r="A170" s="28"/>
      <c r="B170" s="28"/>
      <c r="C170" s="33" t="s">
        <v>141</v>
      </c>
      <c r="D170" s="30">
        <f t="shared" ref="D170:J170" si="29">SUM(D169)</f>
        <v>10000</v>
      </c>
      <c r="E170" s="30">
        <f t="shared" si="29"/>
        <v>10000</v>
      </c>
      <c r="F170" s="30">
        <f t="shared" si="29"/>
        <v>0</v>
      </c>
      <c r="G170" s="30">
        <f t="shared" si="29"/>
        <v>0</v>
      </c>
      <c r="H170" s="30">
        <f t="shared" si="29"/>
        <v>0</v>
      </c>
      <c r="I170" s="30">
        <f t="shared" si="29"/>
        <v>0</v>
      </c>
      <c r="J170" s="30">
        <f t="shared" si="29"/>
        <v>10000</v>
      </c>
      <c r="K170" s="23"/>
      <c r="L170" s="3"/>
      <c r="M170" s="3"/>
      <c r="N170" s="3"/>
    </row>
    <row r="171" ht="15.75" customHeight="1">
      <c r="A171" s="26"/>
      <c r="B171" s="26"/>
      <c r="C171" s="27"/>
      <c r="D171" s="38"/>
      <c r="E171" s="25"/>
      <c r="F171" s="22"/>
      <c r="G171" s="22"/>
      <c r="H171" s="22"/>
      <c r="I171" s="22"/>
      <c r="J171" s="22"/>
      <c r="K171" s="23"/>
      <c r="L171" s="3"/>
      <c r="M171" s="3"/>
      <c r="N171" s="3"/>
    </row>
    <row r="172" ht="15.75" customHeight="1">
      <c r="A172" s="74"/>
      <c r="B172" s="74">
        <v>3230.0</v>
      </c>
      <c r="C172" s="72" t="s">
        <v>142</v>
      </c>
      <c r="D172" s="83"/>
      <c r="E172" s="76"/>
      <c r="F172" s="76"/>
      <c r="G172" s="76"/>
      <c r="H172" s="76"/>
      <c r="I172" s="76"/>
      <c r="J172" s="76"/>
      <c r="K172" s="75"/>
      <c r="L172" s="77"/>
      <c r="M172" s="77"/>
      <c r="N172" s="77"/>
    </row>
    <row r="173" ht="15.75" customHeight="1">
      <c r="A173" s="36"/>
      <c r="B173" s="36" t="s">
        <v>118</v>
      </c>
      <c r="C173" s="84" t="s">
        <v>119</v>
      </c>
      <c r="D173" s="83"/>
      <c r="E173" s="83"/>
      <c r="F173" s="76"/>
      <c r="G173" s="76"/>
      <c r="H173" s="76"/>
      <c r="I173" s="76"/>
      <c r="J173" s="76"/>
      <c r="K173" s="58">
        <f>SUM(J174)</f>
        <v>10000</v>
      </c>
      <c r="L173" s="77"/>
      <c r="M173" s="77"/>
      <c r="N173" s="77"/>
    </row>
    <row r="174" ht="15.75" customHeight="1">
      <c r="A174" s="80"/>
      <c r="B174" s="80"/>
      <c r="C174" s="70" t="s">
        <v>143</v>
      </c>
      <c r="D174" s="69">
        <v>10000.0</v>
      </c>
      <c r="E174" s="69">
        <v>10000.0</v>
      </c>
      <c r="F174" s="76"/>
      <c r="G174" s="76"/>
      <c r="H174" s="76"/>
      <c r="I174" s="76"/>
      <c r="J174" s="73">
        <f>SUM(E174:H174)</f>
        <v>10000</v>
      </c>
      <c r="K174" s="75"/>
      <c r="L174" s="77"/>
      <c r="M174" s="77"/>
      <c r="N174" s="77"/>
    </row>
    <row r="175" ht="15.75" customHeight="1">
      <c r="A175" s="81"/>
      <c r="B175" s="81"/>
      <c r="C175" s="85" t="s">
        <v>144</v>
      </c>
      <c r="D175" s="52">
        <f t="shared" ref="D175:J175" si="30">SUM(D174)</f>
        <v>10000</v>
      </c>
      <c r="E175" s="52">
        <f t="shared" si="30"/>
        <v>10000</v>
      </c>
      <c r="F175" s="52">
        <f t="shared" si="30"/>
        <v>0</v>
      </c>
      <c r="G175" s="52">
        <f t="shared" si="30"/>
        <v>0</v>
      </c>
      <c r="H175" s="52">
        <f t="shared" si="30"/>
        <v>0</v>
      </c>
      <c r="I175" s="52">
        <f t="shared" si="30"/>
        <v>0</v>
      </c>
      <c r="J175" s="52">
        <f t="shared" si="30"/>
        <v>10000</v>
      </c>
      <c r="K175" s="75"/>
      <c r="L175" s="77"/>
      <c r="M175" s="77"/>
      <c r="N175" s="77"/>
    </row>
    <row r="176" ht="15.75" customHeight="1">
      <c r="A176" s="80"/>
      <c r="B176" s="80"/>
      <c r="C176" s="81"/>
      <c r="D176" s="86"/>
      <c r="E176" s="76"/>
      <c r="F176" s="76"/>
      <c r="G176" s="76"/>
      <c r="H176" s="76"/>
      <c r="I176" s="76"/>
      <c r="J176" s="76"/>
      <c r="K176" s="75"/>
      <c r="L176" s="77"/>
      <c r="M176" s="77"/>
      <c r="N176" s="77"/>
    </row>
    <row r="177" ht="15.75" customHeight="1">
      <c r="A177" s="87"/>
      <c r="B177" s="87" t="s">
        <v>145</v>
      </c>
      <c r="C177" s="88" t="s">
        <v>146</v>
      </c>
      <c r="D177" s="76"/>
      <c r="E177" s="76"/>
      <c r="F177" s="76"/>
      <c r="G177" s="76"/>
      <c r="H177" s="76"/>
      <c r="I177" s="76"/>
      <c r="J177" s="76"/>
      <c r="K177" s="75"/>
      <c r="L177" s="77"/>
      <c r="M177" s="77"/>
      <c r="N177" s="77"/>
    </row>
    <row r="178" ht="15.75" customHeight="1">
      <c r="A178" s="89"/>
      <c r="B178" s="89">
        <v>629.0</v>
      </c>
      <c r="C178" s="88" t="s">
        <v>147</v>
      </c>
      <c r="D178" s="76"/>
      <c r="E178" s="76"/>
      <c r="F178" s="76"/>
      <c r="G178" s="76"/>
      <c r="H178" s="76"/>
      <c r="I178" s="76"/>
      <c r="J178" s="76"/>
      <c r="K178" s="23">
        <f>SUM(J179)</f>
        <v>6000</v>
      </c>
      <c r="L178" s="77"/>
      <c r="M178" s="77"/>
      <c r="N178" s="77"/>
    </row>
    <row r="179" ht="15.75" customHeight="1">
      <c r="A179" s="90"/>
      <c r="B179" s="90"/>
      <c r="C179" s="91" t="s">
        <v>148</v>
      </c>
      <c r="D179" s="92">
        <v>6000.0</v>
      </c>
      <c r="E179" s="92">
        <v>6000.0</v>
      </c>
      <c r="F179" s="93"/>
      <c r="G179" s="76"/>
      <c r="H179" s="76"/>
      <c r="I179" s="76"/>
      <c r="J179" s="94">
        <f>SUM(E179:I179)</f>
        <v>6000</v>
      </c>
      <c r="K179" s="75"/>
      <c r="L179" s="77"/>
      <c r="M179" s="77"/>
      <c r="N179" s="77"/>
    </row>
    <row r="180" ht="15.75" customHeight="1">
      <c r="A180" s="81"/>
      <c r="B180" s="81"/>
      <c r="C180" s="89">
        <v>3261.0</v>
      </c>
      <c r="D180" s="95">
        <f t="shared" ref="D180:J180" si="31">SUM(D179)</f>
        <v>6000</v>
      </c>
      <c r="E180" s="95">
        <f t="shared" si="31"/>
        <v>6000</v>
      </c>
      <c r="F180" s="95">
        <f t="shared" si="31"/>
        <v>0</v>
      </c>
      <c r="G180" s="95">
        <f t="shared" si="31"/>
        <v>0</v>
      </c>
      <c r="H180" s="95">
        <f t="shared" si="31"/>
        <v>0</v>
      </c>
      <c r="I180" s="95">
        <f t="shared" si="31"/>
        <v>0</v>
      </c>
      <c r="J180" s="95">
        <f t="shared" si="31"/>
        <v>6000</v>
      </c>
      <c r="K180" s="75"/>
      <c r="L180" s="77"/>
      <c r="M180" s="77"/>
      <c r="N180" s="77"/>
    </row>
    <row r="181" ht="15.75" customHeight="1">
      <c r="A181" s="96"/>
      <c r="B181" s="96"/>
      <c r="C181" s="80"/>
      <c r="D181" s="93"/>
      <c r="E181" s="76"/>
      <c r="F181" s="93"/>
      <c r="G181" s="76"/>
      <c r="H181" s="76"/>
      <c r="I181" s="76"/>
      <c r="J181" s="76"/>
      <c r="K181" s="75"/>
      <c r="L181" s="77"/>
      <c r="M181" s="77"/>
      <c r="N181" s="77"/>
    </row>
    <row r="182" ht="15.75" customHeight="1">
      <c r="A182" s="87"/>
      <c r="B182" s="87" t="s">
        <v>149</v>
      </c>
      <c r="C182" s="88" t="s">
        <v>150</v>
      </c>
      <c r="D182" s="76"/>
      <c r="E182" s="76"/>
      <c r="F182" s="76"/>
      <c r="G182" s="76"/>
      <c r="H182" s="76"/>
      <c r="I182" s="76"/>
      <c r="J182" s="76"/>
      <c r="K182" s="75"/>
      <c r="L182" s="77"/>
      <c r="M182" s="77"/>
      <c r="N182" s="77"/>
    </row>
    <row r="183" ht="15.75" customHeight="1">
      <c r="A183" s="89"/>
      <c r="B183" s="89">
        <v>629.0</v>
      </c>
      <c r="C183" s="88" t="s">
        <v>147</v>
      </c>
      <c r="D183" s="76"/>
      <c r="E183" s="76"/>
      <c r="F183" s="76"/>
      <c r="G183" s="76"/>
      <c r="H183" s="76"/>
      <c r="I183" s="76"/>
      <c r="J183" s="76"/>
      <c r="K183" s="23">
        <f>SUM(J184)</f>
        <v>6000</v>
      </c>
      <c r="L183" s="77"/>
      <c r="M183" s="77"/>
      <c r="N183" s="77"/>
    </row>
    <row r="184" ht="15.75" customHeight="1">
      <c r="A184" s="80"/>
      <c r="B184" s="80"/>
      <c r="C184" s="91" t="s">
        <v>148</v>
      </c>
      <c r="D184" s="92">
        <v>6000.0</v>
      </c>
      <c r="E184" s="92">
        <v>6000.0</v>
      </c>
      <c r="F184" s="76"/>
      <c r="G184" s="76"/>
      <c r="H184" s="76"/>
      <c r="I184" s="76"/>
      <c r="J184" s="94">
        <f>SUM(E184:I184)</f>
        <v>6000</v>
      </c>
      <c r="K184" s="75"/>
      <c r="L184" s="77"/>
      <c r="M184" s="77"/>
      <c r="N184" s="77"/>
    </row>
    <row r="185" ht="15.75" customHeight="1">
      <c r="A185" s="81"/>
      <c r="B185" s="81"/>
      <c r="C185" s="89">
        <v>3262.0</v>
      </c>
      <c r="D185" s="95">
        <f t="shared" ref="D185:J185" si="32">SUM(D184)</f>
        <v>6000</v>
      </c>
      <c r="E185" s="95">
        <f t="shared" si="32"/>
        <v>6000</v>
      </c>
      <c r="F185" s="95">
        <f t="shared" si="32"/>
        <v>0</v>
      </c>
      <c r="G185" s="95">
        <f t="shared" si="32"/>
        <v>0</v>
      </c>
      <c r="H185" s="95">
        <f t="shared" si="32"/>
        <v>0</v>
      </c>
      <c r="I185" s="95">
        <f t="shared" si="32"/>
        <v>0</v>
      </c>
      <c r="J185" s="95">
        <f t="shared" si="32"/>
        <v>6000</v>
      </c>
      <c r="K185" s="75"/>
      <c r="L185" s="77"/>
      <c r="M185" s="77"/>
      <c r="N185" s="77"/>
    </row>
    <row r="186" ht="15.75" customHeight="1">
      <c r="A186" s="53"/>
      <c r="B186" s="53"/>
      <c r="C186" s="20"/>
      <c r="D186" s="21"/>
      <c r="E186" s="22"/>
      <c r="F186" s="22"/>
      <c r="G186" s="22"/>
      <c r="H186" s="22"/>
      <c r="I186" s="22"/>
      <c r="J186" s="22"/>
      <c r="K186" s="23"/>
      <c r="L186" s="3"/>
      <c r="M186" s="3"/>
      <c r="N186" s="3"/>
    </row>
    <row r="187" ht="15.75" customHeight="1">
      <c r="A187" s="53"/>
      <c r="B187" s="53">
        <v>3321.0</v>
      </c>
      <c r="C187" s="20" t="s">
        <v>151</v>
      </c>
      <c r="D187" s="21"/>
      <c r="E187" s="22"/>
      <c r="F187" s="22"/>
      <c r="G187" s="22"/>
      <c r="H187" s="22"/>
      <c r="I187" s="22"/>
      <c r="J187" s="22"/>
      <c r="K187" s="23"/>
      <c r="L187" s="3"/>
      <c r="M187" s="3"/>
      <c r="N187" s="3"/>
    </row>
    <row r="188" ht="15.75" customHeight="1">
      <c r="A188" s="19"/>
      <c r="B188" s="19">
        <v>623.0</v>
      </c>
      <c r="C188" s="20" t="s">
        <v>75</v>
      </c>
      <c r="D188" s="21"/>
      <c r="E188" s="21"/>
      <c r="F188" s="22"/>
      <c r="G188" s="22"/>
      <c r="H188" s="22"/>
      <c r="I188" s="22"/>
      <c r="J188" s="22"/>
      <c r="K188" s="23">
        <f>SUM(J189)</f>
        <v>25000</v>
      </c>
      <c r="L188" s="3"/>
      <c r="M188" s="3"/>
      <c r="N188" s="3"/>
    </row>
    <row r="189" ht="15.75" customHeight="1">
      <c r="A189" s="32"/>
      <c r="B189" s="32"/>
      <c r="C189" s="27" t="s">
        <v>152</v>
      </c>
      <c r="D189" s="21">
        <v>25000.0</v>
      </c>
      <c r="E189" s="21">
        <v>25000.0</v>
      </c>
      <c r="F189" s="22"/>
      <c r="G189" s="22"/>
      <c r="H189" s="22"/>
      <c r="I189" s="22"/>
      <c r="J189" s="22">
        <f>SUM(E189:H189)</f>
        <v>25000</v>
      </c>
      <c r="K189" s="23"/>
      <c r="L189" s="3"/>
      <c r="M189" s="3"/>
      <c r="N189" s="3"/>
    </row>
    <row r="190" ht="15.75" customHeight="1">
      <c r="A190" s="28"/>
      <c r="B190" s="28"/>
      <c r="C190" s="33" t="s">
        <v>153</v>
      </c>
      <c r="D190" s="30">
        <f t="shared" ref="D190:J190" si="33">SUM(D189)</f>
        <v>25000</v>
      </c>
      <c r="E190" s="30">
        <f t="shared" si="33"/>
        <v>25000</v>
      </c>
      <c r="F190" s="30">
        <f t="shared" si="33"/>
        <v>0</v>
      </c>
      <c r="G190" s="30">
        <f t="shared" si="33"/>
        <v>0</v>
      </c>
      <c r="H190" s="30">
        <f t="shared" si="33"/>
        <v>0</v>
      </c>
      <c r="I190" s="30">
        <f t="shared" si="33"/>
        <v>0</v>
      </c>
      <c r="J190" s="30">
        <f t="shared" si="33"/>
        <v>25000</v>
      </c>
      <c r="K190" s="23"/>
      <c r="L190" s="3"/>
      <c r="M190" s="3"/>
      <c r="N190" s="3"/>
    </row>
    <row r="191" ht="15.75" customHeight="1">
      <c r="A191" s="80"/>
      <c r="B191" s="80"/>
      <c r="C191" s="80"/>
      <c r="D191" s="93"/>
      <c r="E191" s="93"/>
      <c r="F191" s="93"/>
      <c r="G191" s="76"/>
      <c r="H191" s="76"/>
      <c r="I191" s="76"/>
      <c r="J191" s="76"/>
      <c r="K191" s="75"/>
      <c r="L191" s="77"/>
      <c r="M191" s="77"/>
      <c r="N191" s="77"/>
    </row>
    <row r="192" ht="15.75" customHeight="1">
      <c r="A192" s="87"/>
      <c r="B192" s="87" t="s">
        <v>154</v>
      </c>
      <c r="C192" s="88" t="s">
        <v>155</v>
      </c>
      <c r="D192" s="76"/>
      <c r="E192" s="76"/>
      <c r="F192" s="76"/>
      <c r="G192" s="76"/>
      <c r="H192" s="76"/>
      <c r="I192" s="76"/>
      <c r="J192" s="76"/>
      <c r="K192" s="75"/>
      <c r="L192" s="77"/>
      <c r="M192" s="77"/>
      <c r="N192" s="77"/>
    </row>
    <row r="193" ht="15.75" customHeight="1">
      <c r="A193" s="97"/>
      <c r="B193" s="97">
        <v>625.0</v>
      </c>
      <c r="C193" s="98" t="s">
        <v>25</v>
      </c>
      <c r="D193" s="76"/>
      <c r="E193" s="76"/>
      <c r="F193" s="76"/>
      <c r="G193" s="76"/>
      <c r="H193" s="76"/>
      <c r="I193" s="76"/>
      <c r="J193" s="76"/>
      <c r="K193" s="23">
        <f>SUM(J194)</f>
        <v>5000</v>
      </c>
      <c r="L193" s="77"/>
      <c r="M193" s="77"/>
      <c r="N193" s="77"/>
    </row>
    <row r="194" ht="15.75" customHeight="1">
      <c r="A194" s="97"/>
      <c r="B194" s="97"/>
      <c r="C194" s="99" t="s">
        <v>156</v>
      </c>
      <c r="D194" s="100">
        <v>5000.0</v>
      </c>
      <c r="E194" s="100">
        <v>5000.0</v>
      </c>
      <c r="F194" s="76"/>
      <c r="G194" s="76"/>
      <c r="H194" s="76"/>
      <c r="I194" s="76"/>
      <c r="J194" s="94">
        <f>SUM(E194:I194)</f>
        <v>5000</v>
      </c>
      <c r="K194" s="23"/>
      <c r="L194" s="77"/>
      <c r="M194" s="77"/>
      <c r="N194" s="77"/>
    </row>
    <row r="195" ht="15.75" customHeight="1">
      <c r="A195" s="89"/>
      <c r="B195" s="89">
        <v>650.0</v>
      </c>
      <c r="C195" s="88" t="s">
        <v>39</v>
      </c>
      <c r="D195" s="76"/>
      <c r="E195" s="76"/>
      <c r="F195" s="76"/>
      <c r="G195" s="76"/>
      <c r="H195" s="76"/>
      <c r="I195" s="76"/>
      <c r="J195" s="76"/>
      <c r="K195" s="23">
        <f>SUM(J196)</f>
        <v>40000</v>
      </c>
      <c r="L195" s="77"/>
      <c r="M195" s="77"/>
      <c r="N195" s="77"/>
    </row>
    <row r="196" ht="15.75" customHeight="1">
      <c r="A196" s="101"/>
      <c r="B196" s="101" t="s">
        <v>157</v>
      </c>
      <c r="C196" s="102" t="s">
        <v>158</v>
      </c>
      <c r="D196" s="92">
        <v>40000.0</v>
      </c>
      <c r="E196" s="92">
        <v>40000.0</v>
      </c>
      <c r="F196" s="76"/>
      <c r="G196" s="76"/>
      <c r="H196" s="76"/>
      <c r="I196" s="76"/>
      <c r="J196" s="94">
        <f>SUM(E196:I196)</f>
        <v>40000</v>
      </c>
      <c r="K196" s="75"/>
      <c r="L196" s="77"/>
      <c r="M196" s="77"/>
      <c r="N196" s="77"/>
    </row>
    <row r="197" ht="15.75" customHeight="1">
      <c r="A197" s="81"/>
      <c r="B197" s="81"/>
      <c r="C197" s="89">
        <v>3330.0</v>
      </c>
      <c r="D197" s="95">
        <f t="shared" ref="D197:J197" si="34">SUM(D194:D196)</f>
        <v>45000</v>
      </c>
      <c r="E197" s="95">
        <f t="shared" si="34"/>
        <v>45000</v>
      </c>
      <c r="F197" s="95">
        <f t="shared" si="34"/>
        <v>0</v>
      </c>
      <c r="G197" s="95">
        <f t="shared" si="34"/>
        <v>0</v>
      </c>
      <c r="H197" s="95">
        <f t="shared" si="34"/>
        <v>0</v>
      </c>
      <c r="I197" s="95">
        <f t="shared" si="34"/>
        <v>0</v>
      </c>
      <c r="J197" s="95">
        <f t="shared" si="34"/>
        <v>45000</v>
      </c>
      <c r="K197" s="75"/>
      <c r="L197" s="77"/>
      <c r="M197" s="77"/>
      <c r="N197" s="77"/>
    </row>
    <row r="198" ht="15.75" customHeight="1">
      <c r="A198" s="103"/>
      <c r="B198" s="103"/>
      <c r="C198" s="81"/>
      <c r="D198" s="76"/>
      <c r="E198" s="76"/>
      <c r="F198" s="93"/>
      <c r="G198" s="76"/>
      <c r="H198" s="76"/>
      <c r="I198" s="76"/>
      <c r="J198" s="76"/>
      <c r="K198" s="75"/>
      <c r="L198" s="77"/>
      <c r="M198" s="77"/>
      <c r="N198" s="77"/>
    </row>
    <row r="199" ht="15.75" customHeight="1">
      <c r="A199" s="19"/>
      <c r="B199" s="19">
        <v>3340.0</v>
      </c>
      <c r="C199" s="20" t="s">
        <v>159</v>
      </c>
      <c r="D199" s="21"/>
      <c r="E199" s="22"/>
      <c r="F199" s="22"/>
      <c r="G199" s="22"/>
      <c r="H199" s="22"/>
      <c r="I199" s="22"/>
      <c r="J199" s="22"/>
      <c r="K199" s="23"/>
      <c r="L199" s="3"/>
      <c r="M199" s="3"/>
      <c r="N199" s="3"/>
    </row>
    <row r="200" ht="15.75" customHeight="1">
      <c r="A200" s="64"/>
      <c r="B200" s="64" t="s">
        <v>160</v>
      </c>
      <c r="C200" s="84" t="s">
        <v>11</v>
      </c>
      <c r="D200" s="21"/>
      <c r="E200" s="21"/>
      <c r="F200" s="22"/>
      <c r="G200" s="22"/>
      <c r="H200" s="22"/>
      <c r="I200" s="25"/>
      <c r="J200" s="22"/>
      <c r="K200" s="23">
        <f>SUM(J201)</f>
        <v>650000</v>
      </c>
      <c r="L200" s="3"/>
      <c r="M200" s="3"/>
      <c r="N200" s="3"/>
    </row>
    <row r="201" ht="15.75" customHeight="1">
      <c r="A201" s="26"/>
      <c r="B201" s="26"/>
      <c r="C201" s="27" t="s">
        <v>161</v>
      </c>
      <c r="D201" s="21">
        <v>650000.0</v>
      </c>
      <c r="E201" s="21">
        <v>650000.0</v>
      </c>
      <c r="F201" s="22"/>
      <c r="G201" s="22"/>
      <c r="H201" s="22"/>
      <c r="I201" s="25"/>
      <c r="J201" s="22">
        <f>SUM(E201:I201)</f>
        <v>650000</v>
      </c>
      <c r="K201" s="23"/>
      <c r="L201" s="3"/>
      <c r="M201" s="3"/>
      <c r="N201" s="3"/>
    </row>
    <row r="202" ht="15.75" customHeight="1">
      <c r="A202" s="28"/>
      <c r="B202" s="28"/>
      <c r="C202" s="33" t="s">
        <v>162</v>
      </c>
      <c r="D202" s="30">
        <f t="shared" ref="D202:J202" si="35">SUM(D201)</f>
        <v>650000</v>
      </c>
      <c r="E202" s="30">
        <f t="shared" si="35"/>
        <v>650000</v>
      </c>
      <c r="F202" s="30">
        <f t="shared" si="35"/>
        <v>0</v>
      </c>
      <c r="G202" s="30">
        <f t="shared" si="35"/>
        <v>0</v>
      </c>
      <c r="H202" s="30">
        <f t="shared" si="35"/>
        <v>0</v>
      </c>
      <c r="I202" s="30">
        <f t="shared" si="35"/>
        <v>0</v>
      </c>
      <c r="J202" s="30">
        <f t="shared" si="35"/>
        <v>650000</v>
      </c>
      <c r="K202" s="23"/>
      <c r="L202" s="3"/>
      <c r="M202" s="3"/>
      <c r="N202" s="3"/>
    </row>
    <row r="203" ht="15.75" customHeight="1">
      <c r="A203" s="26"/>
      <c r="B203" s="26"/>
      <c r="C203" s="27"/>
      <c r="D203" s="38"/>
      <c r="E203" s="25"/>
      <c r="F203" s="22"/>
      <c r="G203" s="22"/>
      <c r="H203" s="22"/>
      <c r="I203" s="22"/>
      <c r="J203" s="22"/>
      <c r="K203" s="23"/>
      <c r="L203" s="3"/>
      <c r="M203" s="3"/>
      <c r="N203" s="3"/>
    </row>
    <row r="204" ht="15.75" customHeight="1">
      <c r="A204" s="19"/>
      <c r="B204" s="19">
        <v>3370.0</v>
      </c>
      <c r="C204" s="20" t="s">
        <v>163</v>
      </c>
      <c r="D204" s="38"/>
      <c r="E204" s="25"/>
      <c r="F204" s="22"/>
      <c r="G204" s="22"/>
      <c r="H204" s="22"/>
      <c r="I204" s="22"/>
      <c r="J204" s="22"/>
      <c r="K204" s="23"/>
      <c r="L204" s="3"/>
      <c r="M204" s="3"/>
      <c r="N204" s="3"/>
    </row>
    <row r="205" ht="15.75" customHeight="1">
      <c r="A205" s="64"/>
      <c r="B205" s="64" t="s">
        <v>118</v>
      </c>
      <c r="C205" s="66" t="s">
        <v>119</v>
      </c>
      <c r="D205" s="38"/>
      <c r="E205" s="38"/>
      <c r="F205" s="22"/>
      <c r="G205" s="22"/>
      <c r="H205" s="22"/>
      <c r="I205" s="22"/>
      <c r="J205" s="22"/>
      <c r="K205" s="23">
        <f>SUM(J206)</f>
        <v>30000</v>
      </c>
      <c r="L205" s="3"/>
      <c r="M205" s="3"/>
      <c r="N205" s="3"/>
    </row>
    <row r="206" ht="15.75" customHeight="1">
      <c r="A206" s="26"/>
      <c r="B206" s="26"/>
      <c r="C206" s="27" t="s">
        <v>164</v>
      </c>
      <c r="D206" s="38">
        <v>30000.0</v>
      </c>
      <c r="E206" s="38">
        <v>30000.0</v>
      </c>
      <c r="F206" s="22"/>
      <c r="G206" s="22"/>
      <c r="H206" s="22"/>
      <c r="I206" s="22"/>
      <c r="J206" s="22">
        <f>SUM(E206:H206)</f>
        <v>30000</v>
      </c>
      <c r="K206" s="23"/>
      <c r="L206" s="3"/>
      <c r="M206" s="3"/>
      <c r="N206" s="3"/>
    </row>
    <row r="207" ht="15.75" customHeight="1">
      <c r="A207" s="36"/>
      <c r="B207" s="36">
        <v>629.0</v>
      </c>
      <c r="C207" s="67" t="s">
        <v>22</v>
      </c>
      <c r="D207" s="21"/>
      <c r="E207" s="21"/>
      <c r="F207" s="22"/>
      <c r="G207" s="22"/>
      <c r="H207" s="22"/>
      <c r="I207" s="22"/>
      <c r="J207" s="22"/>
      <c r="K207" s="23">
        <f>SUM(J208)</f>
        <v>40000</v>
      </c>
      <c r="L207" s="3"/>
      <c r="M207" s="3"/>
      <c r="N207" s="3"/>
    </row>
    <row r="208" ht="15.75" customHeight="1">
      <c r="A208" s="26"/>
      <c r="B208" s="26"/>
      <c r="C208" s="27" t="s">
        <v>165</v>
      </c>
      <c r="D208" s="21">
        <v>40000.0</v>
      </c>
      <c r="E208" s="21">
        <v>40000.0</v>
      </c>
      <c r="F208" s="22"/>
      <c r="G208" s="22"/>
      <c r="H208" s="22"/>
      <c r="I208" s="22"/>
      <c r="J208" s="22">
        <f>SUM(E208:H208)</f>
        <v>40000</v>
      </c>
      <c r="K208" s="23"/>
      <c r="L208" s="3"/>
      <c r="M208" s="3"/>
      <c r="N208" s="3"/>
    </row>
    <row r="209" ht="15.75" customHeight="1">
      <c r="A209" s="64"/>
      <c r="B209" s="64" t="s">
        <v>160</v>
      </c>
      <c r="C209" s="84" t="s">
        <v>11</v>
      </c>
      <c r="D209" s="22"/>
      <c r="E209" s="22"/>
      <c r="F209" s="22"/>
      <c r="G209" s="22"/>
      <c r="H209" s="22"/>
      <c r="I209" s="22"/>
      <c r="J209" s="22"/>
      <c r="K209" s="23">
        <f>SUM(J210)</f>
        <v>5956984.95</v>
      </c>
      <c r="L209" s="22"/>
      <c r="M209" s="22"/>
      <c r="N209" s="22"/>
    </row>
    <row r="210" ht="15.75" customHeight="1">
      <c r="A210" s="26"/>
      <c r="B210" s="104" t="s">
        <v>166</v>
      </c>
      <c r="C210" s="105" t="s">
        <v>167</v>
      </c>
      <c r="D210" s="106">
        <v>5956984.95</v>
      </c>
      <c r="E210" s="107">
        <v>4467565.1</v>
      </c>
      <c r="F210" s="48"/>
      <c r="G210" s="48"/>
      <c r="H210" s="47">
        <v>1489419.85</v>
      </c>
      <c r="I210" s="48"/>
      <c r="J210" s="48">
        <f>SUM(E210:H210)</f>
        <v>5956984.95</v>
      </c>
      <c r="K210" s="9"/>
      <c r="L210" s="22"/>
      <c r="M210" s="50">
        <f>H210/J210</f>
        <v>0.2500291444</v>
      </c>
      <c r="N210" s="22"/>
    </row>
    <row r="211" ht="15.75" customHeight="1">
      <c r="A211" s="28"/>
      <c r="B211" s="28"/>
      <c r="C211" s="33" t="s">
        <v>168</v>
      </c>
      <c r="D211" s="30">
        <f>SUM(D206:D210)</f>
        <v>6026984.95</v>
      </c>
      <c r="E211" s="30">
        <f t="shared" ref="E211:H211" si="36">SUM(E204:E210)</f>
        <v>4537565.1</v>
      </c>
      <c r="F211" s="30">
        <f t="shared" si="36"/>
        <v>0</v>
      </c>
      <c r="G211" s="30">
        <f t="shared" si="36"/>
        <v>0</v>
      </c>
      <c r="H211" s="30">
        <f t="shared" si="36"/>
        <v>1489419.85</v>
      </c>
      <c r="I211" s="30"/>
      <c r="J211" s="30">
        <f>SUM(J204:J210)</f>
        <v>6026984.95</v>
      </c>
      <c r="K211" s="23"/>
      <c r="L211" s="3"/>
      <c r="M211" s="3"/>
      <c r="N211" s="3"/>
    </row>
    <row r="212" ht="15.75" customHeight="1">
      <c r="A212" s="96"/>
      <c r="B212" s="96"/>
      <c r="C212" s="80"/>
      <c r="D212" s="93"/>
      <c r="E212" s="76"/>
      <c r="F212" s="93"/>
      <c r="G212" s="76"/>
      <c r="H212" s="76"/>
      <c r="I212" s="76"/>
      <c r="J212" s="76"/>
      <c r="K212" s="75"/>
      <c r="L212" s="77"/>
      <c r="M212" s="77"/>
      <c r="N212" s="77"/>
    </row>
    <row r="213" ht="15.75" customHeight="1">
      <c r="A213" s="87"/>
      <c r="B213" s="87" t="s">
        <v>169</v>
      </c>
      <c r="C213" s="88" t="s">
        <v>170</v>
      </c>
      <c r="D213" s="76"/>
      <c r="E213" s="76"/>
      <c r="F213" s="76"/>
      <c r="G213" s="76"/>
      <c r="H213" s="76"/>
      <c r="I213" s="76"/>
      <c r="J213" s="76"/>
      <c r="K213" s="75"/>
      <c r="L213" s="77"/>
      <c r="M213" s="77"/>
      <c r="N213" s="77"/>
    </row>
    <row r="214" ht="15.75" customHeight="1">
      <c r="A214" s="89"/>
      <c r="B214" s="89">
        <v>629.0</v>
      </c>
      <c r="C214" s="88" t="s">
        <v>147</v>
      </c>
      <c r="D214" s="76"/>
      <c r="E214" s="76"/>
      <c r="F214" s="76"/>
      <c r="G214" s="76"/>
      <c r="H214" s="76"/>
      <c r="I214" s="76"/>
      <c r="J214" s="76"/>
      <c r="K214" s="23">
        <f>SUM(J215)</f>
        <v>7000</v>
      </c>
      <c r="L214" s="77"/>
      <c r="M214" s="77"/>
      <c r="N214" s="77"/>
    </row>
    <row r="215" ht="15.75" customHeight="1">
      <c r="A215" s="90"/>
      <c r="B215" s="90"/>
      <c r="C215" s="91" t="s">
        <v>148</v>
      </c>
      <c r="D215" s="92">
        <v>7000.0</v>
      </c>
      <c r="E215" s="92">
        <v>7000.0</v>
      </c>
      <c r="F215" s="76"/>
      <c r="G215" s="76"/>
      <c r="H215" s="76"/>
      <c r="I215" s="76"/>
      <c r="J215" s="94">
        <f>SUM(E215:I215)</f>
        <v>7000</v>
      </c>
      <c r="K215" s="75"/>
      <c r="L215" s="77"/>
      <c r="M215" s="77"/>
      <c r="N215" s="77"/>
    </row>
    <row r="216" ht="15.75" customHeight="1">
      <c r="A216" s="81"/>
      <c r="B216" s="81"/>
      <c r="C216" s="87" t="s">
        <v>169</v>
      </c>
      <c r="D216" s="95">
        <f t="shared" ref="D216:J216" si="37">SUM(D215)</f>
        <v>7000</v>
      </c>
      <c r="E216" s="95">
        <f t="shared" si="37"/>
        <v>7000</v>
      </c>
      <c r="F216" s="95">
        <f t="shared" si="37"/>
        <v>0</v>
      </c>
      <c r="G216" s="95">
        <f t="shared" si="37"/>
        <v>0</v>
      </c>
      <c r="H216" s="95">
        <f t="shared" si="37"/>
        <v>0</v>
      </c>
      <c r="I216" s="95">
        <f t="shared" si="37"/>
        <v>0</v>
      </c>
      <c r="J216" s="95">
        <f t="shared" si="37"/>
        <v>7000</v>
      </c>
      <c r="K216" s="75"/>
      <c r="L216" s="77"/>
      <c r="M216" s="77"/>
      <c r="N216" s="77"/>
    </row>
    <row r="217" ht="15.75" customHeight="1">
      <c r="A217" s="96"/>
      <c r="B217" s="96"/>
      <c r="C217" s="80"/>
      <c r="D217" s="93"/>
      <c r="E217" s="76"/>
      <c r="F217" s="93"/>
      <c r="G217" s="76"/>
      <c r="H217" s="76"/>
      <c r="I217" s="76"/>
      <c r="J217" s="76"/>
      <c r="K217" s="75"/>
      <c r="L217" s="77"/>
      <c r="M217" s="77"/>
      <c r="N217" s="77"/>
    </row>
    <row r="218" ht="15.75" customHeight="1">
      <c r="A218" s="19"/>
      <c r="B218" s="19">
        <v>3373.0</v>
      </c>
      <c r="C218" s="108" t="s">
        <v>171</v>
      </c>
      <c r="D218" s="56"/>
      <c r="E218" s="22"/>
      <c r="F218" s="22"/>
      <c r="G218" s="22"/>
      <c r="H218" s="22"/>
      <c r="I218" s="22"/>
      <c r="J218" s="22"/>
      <c r="K218" s="23"/>
      <c r="L218" s="3"/>
      <c r="M218" s="3"/>
      <c r="N218" s="3"/>
    </row>
    <row r="219" ht="15.75" customHeight="1">
      <c r="A219" s="36"/>
      <c r="B219" s="36">
        <v>629.0</v>
      </c>
      <c r="C219" s="67" t="s">
        <v>22</v>
      </c>
      <c r="D219" s="56"/>
      <c r="E219" s="25"/>
      <c r="F219" s="22"/>
      <c r="G219" s="22"/>
      <c r="H219" s="25"/>
      <c r="I219" s="22"/>
      <c r="J219" s="22"/>
      <c r="K219" s="23">
        <f>SUM(J220)</f>
        <v>1300000</v>
      </c>
      <c r="L219" s="3"/>
      <c r="M219" s="3"/>
      <c r="N219" s="3"/>
    </row>
    <row r="220" ht="15.75" customHeight="1">
      <c r="A220" s="26"/>
      <c r="B220" s="26" t="s">
        <v>172</v>
      </c>
      <c r="C220" s="109" t="s">
        <v>173</v>
      </c>
      <c r="D220" s="56">
        <v>1300000.0</v>
      </c>
      <c r="E220" s="25">
        <v>1032000.0</v>
      </c>
      <c r="F220" s="22"/>
      <c r="G220" s="22"/>
      <c r="H220" s="25"/>
      <c r="I220" s="25">
        <v>268000.0</v>
      </c>
      <c r="J220" s="22">
        <f>SUM(E220:I220)</f>
        <v>1300000</v>
      </c>
      <c r="K220" s="23"/>
      <c r="L220" s="3"/>
      <c r="M220" s="3"/>
      <c r="N220" s="3"/>
    </row>
    <row r="221" ht="15.75" customHeight="1">
      <c r="A221" s="28"/>
      <c r="B221" s="28"/>
      <c r="C221" s="33" t="s">
        <v>174</v>
      </c>
      <c r="D221" s="30">
        <f t="shared" ref="D221:J221" si="38">SUM(D220)</f>
        <v>1300000</v>
      </c>
      <c r="E221" s="30">
        <f t="shared" si="38"/>
        <v>1032000</v>
      </c>
      <c r="F221" s="30">
        <f t="shared" si="38"/>
        <v>0</v>
      </c>
      <c r="G221" s="30">
        <f t="shared" si="38"/>
        <v>0</v>
      </c>
      <c r="H221" s="30">
        <f t="shared" si="38"/>
        <v>0</v>
      </c>
      <c r="I221" s="30">
        <f t="shared" si="38"/>
        <v>268000</v>
      </c>
      <c r="J221" s="30">
        <f t="shared" si="38"/>
        <v>1300000</v>
      </c>
      <c r="K221" s="23"/>
      <c r="L221" s="3"/>
      <c r="M221" s="3"/>
      <c r="N221" s="3"/>
    </row>
    <row r="222" ht="15.75" customHeight="1">
      <c r="A222" s="26"/>
      <c r="B222" s="26"/>
      <c r="C222" s="27"/>
      <c r="D222" s="68"/>
      <c r="E222" s="25"/>
      <c r="F222" s="22"/>
      <c r="G222" s="22"/>
      <c r="H222" s="22"/>
      <c r="I222" s="22"/>
      <c r="J222" s="22"/>
      <c r="K222" s="23"/>
      <c r="L222" s="3"/>
      <c r="M222" s="3"/>
      <c r="N222" s="3"/>
    </row>
    <row r="223" ht="15.75" customHeight="1">
      <c r="A223" s="19"/>
      <c r="B223" s="19">
        <v>3380.0</v>
      </c>
      <c r="C223" s="20" t="s">
        <v>175</v>
      </c>
      <c r="D223" s="68"/>
      <c r="E223" s="25"/>
      <c r="F223" s="22"/>
      <c r="G223" s="22"/>
      <c r="H223" s="22"/>
      <c r="I223" s="22"/>
      <c r="J223" s="22"/>
      <c r="K223" s="23"/>
      <c r="L223" s="3"/>
      <c r="M223" s="3"/>
      <c r="N223" s="3"/>
    </row>
    <row r="224" ht="15.75" customHeight="1">
      <c r="A224" s="89"/>
      <c r="B224" s="89">
        <v>623.0</v>
      </c>
      <c r="C224" s="88" t="s">
        <v>75</v>
      </c>
      <c r="D224" s="21"/>
      <c r="E224" s="21"/>
      <c r="F224" s="22"/>
      <c r="G224" s="22"/>
      <c r="H224" s="22"/>
      <c r="I224" s="22"/>
      <c r="J224" s="22"/>
      <c r="K224" s="23">
        <f>SUM(J225:J229)</f>
        <v>71000</v>
      </c>
      <c r="L224" s="3"/>
      <c r="M224" s="3"/>
      <c r="N224" s="3"/>
    </row>
    <row r="225" ht="15.75" customHeight="1">
      <c r="A225" s="26"/>
      <c r="B225" s="26"/>
      <c r="C225" s="27" t="s">
        <v>176</v>
      </c>
      <c r="D225" s="21">
        <v>15000.0</v>
      </c>
      <c r="E225" s="21">
        <v>15000.0</v>
      </c>
      <c r="F225" s="22"/>
      <c r="G225" s="22"/>
      <c r="H225" s="22"/>
      <c r="I225" s="22"/>
      <c r="J225" s="22">
        <f t="shared" ref="J225:J229" si="39">SUM(E225:H225)</f>
        <v>15000</v>
      </c>
      <c r="K225" s="23"/>
      <c r="L225" s="3"/>
      <c r="M225" s="3"/>
      <c r="N225" s="3"/>
    </row>
    <row r="226" ht="15.75" customHeight="1">
      <c r="A226" s="26"/>
      <c r="B226" s="26"/>
      <c r="C226" s="27" t="s">
        <v>177</v>
      </c>
      <c r="D226" s="68">
        <v>14000.0</v>
      </c>
      <c r="E226" s="68">
        <v>14000.0</v>
      </c>
      <c r="F226" s="22"/>
      <c r="G226" s="22"/>
      <c r="H226" s="22"/>
      <c r="I226" s="22"/>
      <c r="J226" s="22">
        <f t="shared" si="39"/>
        <v>14000</v>
      </c>
      <c r="K226" s="23"/>
      <c r="L226" s="3"/>
      <c r="M226" s="3"/>
      <c r="N226" s="3"/>
    </row>
    <row r="227" ht="15.75" customHeight="1">
      <c r="A227" s="26"/>
      <c r="B227" s="26"/>
      <c r="C227" s="27" t="s">
        <v>178</v>
      </c>
      <c r="D227" s="68">
        <v>24000.0</v>
      </c>
      <c r="E227" s="68">
        <v>24000.0</v>
      </c>
      <c r="F227" s="22"/>
      <c r="G227" s="22"/>
      <c r="H227" s="22"/>
      <c r="I227" s="22"/>
      <c r="J227" s="22">
        <f t="shared" si="39"/>
        <v>24000</v>
      </c>
      <c r="K227" s="23"/>
      <c r="L227" s="3"/>
      <c r="M227" s="3"/>
      <c r="N227" s="3"/>
    </row>
    <row r="228" ht="15.75" customHeight="1">
      <c r="A228" s="26"/>
      <c r="B228" s="26"/>
      <c r="C228" s="27" t="s">
        <v>179</v>
      </c>
      <c r="D228" s="68">
        <v>6000.0</v>
      </c>
      <c r="E228" s="68">
        <v>6000.0</v>
      </c>
      <c r="F228" s="22"/>
      <c r="G228" s="22"/>
      <c r="H228" s="22"/>
      <c r="I228" s="22"/>
      <c r="J228" s="22">
        <f t="shared" si="39"/>
        <v>6000</v>
      </c>
      <c r="K228" s="23"/>
      <c r="L228" s="3"/>
      <c r="M228" s="3"/>
      <c r="N228" s="3"/>
    </row>
    <row r="229" ht="15.75" customHeight="1">
      <c r="A229" s="82"/>
      <c r="B229" s="82"/>
      <c r="C229" s="8" t="s">
        <v>180</v>
      </c>
      <c r="D229" s="22">
        <v>12000.0</v>
      </c>
      <c r="E229" s="22">
        <v>12000.0</v>
      </c>
      <c r="F229" s="22"/>
      <c r="G229" s="22"/>
      <c r="H229" s="22"/>
      <c r="I229" s="22"/>
      <c r="J229" s="22">
        <f t="shared" si="39"/>
        <v>12000</v>
      </c>
      <c r="K229" s="23"/>
      <c r="L229" s="3"/>
      <c r="M229" s="3"/>
      <c r="N229" s="3"/>
    </row>
    <row r="230" ht="15.75" customHeight="1">
      <c r="A230" s="28"/>
      <c r="B230" s="28"/>
      <c r="C230" s="33" t="s">
        <v>181</v>
      </c>
      <c r="D230" s="30">
        <f t="shared" ref="D230:J230" si="40">SUM(D225:D229)</f>
        <v>71000</v>
      </c>
      <c r="E230" s="30">
        <f t="shared" si="40"/>
        <v>71000</v>
      </c>
      <c r="F230" s="30">
        <f t="shared" si="40"/>
        <v>0</v>
      </c>
      <c r="G230" s="30">
        <f t="shared" si="40"/>
        <v>0</v>
      </c>
      <c r="H230" s="30">
        <f t="shared" si="40"/>
        <v>0</v>
      </c>
      <c r="I230" s="30">
        <f t="shared" si="40"/>
        <v>0</v>
      </c>
      <c r="J230" s="30">
        <f t="shared" si="40"/>
        <v>71000</v>
      </c>
      <c r="K230" s="23"/>
      <c r="L230" s="3"/>
      <c r="M230" s="3"/>
      <c r="N230" s="3"/>
    </row>
    <row r="231" ht="15.75" customHeight="1">
      <c r="A231" s="62"/>
      <c r="B231" s="62"/>
      <c r="C231" s="27"/>
      <c r="D231" s="21"/>
      <c r="E231" s="25"/>
      <c r="F231" s="22"/>
      <c r="G231" s="22"/>
      <c r="H231" s="22"/>
      <c r="I231" s="22"/>
      <c r="J231" s="22"/>
      <c r="K231" s="23"/>
      <c r="L231" s="3"/>
      <c r="M231" s="3"/>
      <c r="N231" s="3"/>
    </row>
    <row r="232" ht="15.75" customHeight="1">
      <c r="A232" s="36"/>
      <c r="B232" s="36" t="s">
        <v>182</v>
      </c>
      <c r="C232" s="39" t="s">
        <v>183</v>
      </c>
      <c r="D232" s="40"/>
      <c r="E232" s="22"/>
      <c r="F232" s="41"/>
      <c r="G232" s="22"/>
      <c r="H232" s="22"/>
      <c r="I232" s="18"/>
      <c r="J232" s="18"/>
      <c r="K232" s="23"/>
      <c r="L232" s="3"/>
      <c r="M232" s="3"/>
      <c r="N232" s="3"/>
    </row>
    <row r="233" ht="15.75" customHeight="1">
      <c r="A233" s="110"/>
      <c r="B233" s="110" t="s">
        <v>160</v>
      </c>
      <c r="C233" s="111" t="s">
        <v>11</v>
      </c>
      <c r="D233" s="40"/>
      <c r="E233" s="22"/>
      <c r="F233" s="41"/>
      <c r="G233" s="22"/>
      <c r="H233" s="22"/>
      <c r="I233" s="18"/>
      <c r="J233" s="18"/>
      <c r="K233" s="23">
        <f>SUM(J234:J241)</f>
        <v>559000</v>
      </c>
      <c r="L233" s="3"/>
      <c r="M233" s="3"/>
      <c r="N233" s="3"/>
    </row>
    <row r="234" ht="15.75" customHeight="1">
      <c r="A234" s="112"/>
      <c r="B234" s="112"/>
      <c r="C234" s="113" t="s">
        <v>184</v>
      </c>
      <c r="D234" s="114">
        <v>18000.0</v>
      </c>
      <c r="E234" s="114">
        <v>18000.0</v>
      </c>
      <c r="F234" s="41"/>
      <c r="G234" s="22"/>
      <c r="H234" s="22"/>
      <c r="I234" s="115"/>
      <c r="J234" s="22">
        <f t="shared" ref="J234:J241" si="41">SUM(E234:H234)</f>
        <v>18000</v>
      </c>
      <c r="K234" s="23"/>
      <c r="L234" s="3"/>
      <c r="M234" s="3"/>
      <c r="N234" s="3"/>
    </row>
    <row r="235" ht="15.75" customHeight="1">
      <c r="A235" s="43"/>
      <c r="B235" s="43"/>
      <c r="C235" s="27" t="s">
        <v>185</v>
      </c>
      <c r="D235" s="22">
        <v>65000.0</v>
      </c>
      <c r="E235" s="22">
        <v>65000.0</v>
      </c>
      <c r="F235" s="41"/>
      <c r="G235" s="22"/>
      <c r="H235" s="22"/>
      <c r="I235" s="115"/>
      <c r="J235" s="22">
        <f t="shared" si="41"/>
        <v>65000</v>
      </c>
      <c r="K235" s="23"/>
      <c r="L235" s="3"/>
      <c r="M235" s="3"/>
      <c r="N235" s="3"/>
    </row>
    <row r="236" ht="15.75" customHeight="1">
      <c r="A236" s="112"/>
      <c r="B236" s="112" t="s">
        <v>186</v>
      </c>
      <c r="C236" s="113" t="s">
        <v>187</v>
      </c>
      <c r="D236" s="114">
        <v>120000.0</v>
      </c>
      <c r="E236" s="114">
        <v>120000.0</v>
      </c>
      <c r="F236" s="41"/>
      <c r="G236" s="22"/>
      <c r="H236" s="22"/>
      <c r="I236" s="115"/>
      <c r="J236" s="22">
        <f t="shared" si="41"/>
        <v>120000</v>
      </c>
      <c r="K236" s="23"/>
      <c r="L236" s="3"/>
      <c r="M236" s="3"/>
      <c r="N236" s="3"/>
    </row>
    <row r="237" ht="15.75" customHeight="1">
      <c r="A237" s="112"/>
      <c r="B237" s="112" t="s">
        <v>186</v>
      </c>
      <c r="C237" s="27" t="s">
        <v>188</v>
      </c>
      <c r="D237" s="114">
        <v>120000.0</v>
      </c>
      <c r="E237" s="114">
        <v>120000.0</v>
      </c>
      <c r="F237" s="41"/>
      <c r="G237" s="22"/>
      <c r="H237" s="22"/>
      <c r="I237" s="115"/>
      <c r="J237" s="22">
        <f t="shared" si="41"/>
        <v>120000</v>
      </c>
      <c r="K237" s="23"/>
      <c r="L237" s="3"/>
      <c r="M237" s="3"/>
      <c r="N237" s="3"/>
    </row>
    <row r="238" ht="15.75" customHeight="1">
      <c r="A238" s="112"/>
      <c r="B238" s="112" t="s">
        <v>186</v>
      </c>
      <c r="C238" s="27" t="s">
        <v>189</v>
      </c>
      <c r="D238" s="22">
        <v>120000.0</v>
      </c>
      <c r="E238" s="22">
        <v>120000.0</v>
      </c>
      <c r="F238" s="41"/>
      <c r="G238" s="22"/>
      <c r="H238" s="22"/>
      <c r="I238" s="115"/>
      <c r="J238" s="22">
        <f t="shared" si="41"/>
        <v>120000</v>
      </c>
      <c r="K238" s="23"/>
      <c r="L238" s="3"/>
      <c r="M238" s="3"/>
      <c r="N238" s="3"/>
    </row>
    <row r="239" ht="15.75" customHeight="1">
      <c r="A239" s="112"/>
      <c r="B239" s="112" t="s">
        <v>186</v>
      </c>
      <c r="C239" s="8" t="s">
        <v>190</v>
      </c>
      <c r="D239" s="25">
        <v>35000.0</v>
      </c>
      <c r="E239" s="25">
        <v>35000.0</v>
      </c>
      <c r="F239" s="41"/>
      <c r="G239" s="22"/>
      <c r="H239" s="22"/>
      <c r="I239" s="115"/>
      <c r="J239" s="22">
        <f t="shared" si="41"/>
        <v>35000</v>
      </c>
      <c r="K239" s="23"/>
      <c r="L239" s="3"/>
      <c r="M239" s="3"/>
      <c r="N239" s="3"/>
    </row>
    <row r="240" ht="15.75" customHeight="1">
      <c r="A240" s="43"/>
      <c r="B240" s="43"/>
      <c r="C240" s="116" t="s">
        <v>191</v>
      </c>
      <c r="D240" s="25">
        <v>50000.0</v>
      </c>
      <c r="E240" s="25">
        <v>50000.0</v>
      </c>
      <c r="F240" s="41"/>
      <c r="G240" s="22"/>
      <c r="H240" s="22"/>
      <c r="I240" s="115"/>
      <c r="J240" s="22">
        <f t="shared" si="41"/>
        <v>50000</v>
      </c>
      <c r="K240" s="23"/>
      <c r="L240" s="3"/>
      <c r="M240" s="3"/>
      <c r="N240" s="3"/>
    </row>
    <row r="241" ht="15.75" customHeight="1">
      <c r="A241" s="112"/>
      <c r="B241" s="112" t="s">
        <v>192</v>
      </c>
      <c r="C241" s="8" t="s">
        <v>193</v>
      </c>
      <c r="D241" s="22">
        <v>31000.0</v>
      </c>
      <c r="E241" s="22">
        <v>31000.0</v>
      </c>
      <c r="F241" s="41"/>
      <c r="G241" s="22"/>
      <c r="H241" s="22"/>
      <c r="I241" s="115"/>
      <c r="J241" s="22">
        <f t="shared" si="41"/>
        <v>31000</v>
      </c>
      <c r="K241" s="23"/>
      <c r="L241" s="3"/>
      <c r="M241" s="3"/>
      <c r="N241" s="3"/>
    </row>
    <row r="242" ht="15.75" customHeight="1">
      <c r="A242" s="43"/>
      <c r="B242" s="43"/>
      <c r="C242" s="51">
        <v>3420.0</v>
      </c>
      <c r="D242" s="52">
        <f t="shared" ref="D242:J242" si="42">SUM(D234:D241)</f>
        <v>559000</v>
      </c>
      <c r="E242" s="52">
        <f t="shared" si="42"/>
        <v>559000</v>
      </c>
      <c r="F242" s="52">
        <f t="shared" si="42"/>
        <v>0</v>
      </c>
      <c r="G242" s="52">
        <f t="shared" si="42"/>
        <v>0</v>
      </c>
      <c r="H242" s="52">
        <f t="shared" si="42"/>
        <v>0</v>
      </c>
      <c r="I242" s="52">
        <f t="shared" si="42"/>
        <v>0</v>
      </c>
      <c r="J242" s="52">
        <f t="shared" si="42"/>
        <v>559000</v>
      </c>
      <c r="K242" s="23"/>
      <c r="L242" s="3"/>
      <c r="M242" s="3"/>
      <c r="N242" s="3"/>
    </row>
    <row r="243" ht="15.75" customHeight="1">
      <c r="A243" s="19"/>
      <c r="B243" s="19"/>
      <c r="C243" s="20"/>
      <c r="D243" s="21"/>
      <c r="E243" s="25"/>
      <c r="F243" s="22"/>
      <c r="G243" s="22"/>
      <c r="H243" s="22"/>
      <c r="I243" s="22"/>
      <c r="J243" s="22"/>
      <c r="K243" s="23"/>
      <c r="L243" s="3"/>
      <c r="M243" s="3"/>
      <c r="N243" s="3"/>
    </row>
    <row r="244" ht="15.75" customHeight="1">
      <c r="A244" s="19"/>
      <c r="B244" s="19">
        <v>4320.0</v>
      </c>
      <c r="C244" s="20" t="s">
        <v>194</v>
      </c>
      <c r="D244" s="21"/>
      <c r="E244" s="25"/>
      <c r="F244" s="22"/>
      <c r="G244" s="22"/>
      <c r="H244" s="22"/>
      <c r="I244" s="22"/>
      <c r="J244" s="22"/>
      <c r="K244" s="23"/>
      <c r="L244" s="3"/>
      <c r="M244" s="3"/>
      <c r="N244" s="3"/>
    </row>
    <row r="245" ht="15.75" customHeight="1">
      <c r="A245" s="36"/>
      <c r="B245" s="36">
        <v>609.0</v>
      </c>
      <c r="C245" s="39" t="s">
        <v>136</v>
      </c>
      <c r="D245" s="117"/>
      <c r="E245" s="117"/>
      <c r="F245" s="117"/>
      <c r="G245" s="117"/>
      <c r="H245" s="117"/>
      <c r="I245" s="117"/>
      <c r="J245" s="117"/>
      <c r="K245" s="118">
        <f>SUM(J246)</f>
        <v>102841</v>
      </c>
      <c r="L245" s="76"/>
      <c r="M245" s="76"/>
      <c r="N245" s="76"/>
    </row>
    <row r="246" ht="15.75" customHeight="1">
      <c r="A246" s="119"/>
      <c r="B246" s="120" t="s">
        <v>195</v>
      </c>
      <c r="C246" s="60" t="s">
        <v>196</v>
      </c>
      <c r="D246" s="121">
        <v>102841.0</v>
      </c>
      <c r="E246" s="122">
        <v>0.0</v>
      </c>
      <c r="F246" s="123"/>
      <c r="G246" s="123"/>
      <c r="H246" s="124">
        <f>D246</f>
        <v>102841</v>
      </c>
      <c r="I246" s="124"/>
      <c r="J246" s="124">
        <f>SUM(E246:H246)</f>
        <v>102841</v>
      </c>
      <c r="K246" s="9"/>
      <c r="L246" s="22"/>
      <c r="M246" s="22"/>
      <c r="N246" s="22"/>
    </row>
    <row r="247" ht="15.75" customHeight="1">
      <c r="A247" s="36"/>
      <c r="B247" s="36">
        <v>619.0</v>
      </c>
      <c r="C247" s="125" t="s">
        <v>14</v>
      </c>
      <c r="D247" s="76"/>
      <c r="E247" s="76"/>
      <c r="F247" s="76"/>
      <c r="G247" s="76"/>
      <c r="H247" s="76"/>
      <c r="I247" s="76"/>
      <c r="J247" s="76"/>
      <c r="K247" s="118">
        <f>SUM(J248)</f>
        <v>1123904.27</v>
      </c>
      <c r="L247" s="76"/>
      <c r="M247" s="76"/>
      <c r="N247" s="76"/>
    </row>
    <row r="248" ht="15.75" customHeight="1">
      <c r="A248" s="119"/>
      <c r="B248" s="120" t="s">
        <v>197</v>
      </c>
      <c r="C248" s="126" t="s">
        <v>198</v>
      </c>
      <c r="D248" s="121">
        <v>1123904.27</v>
      </c>
      <c r="E248" s="124">
        <v>823904.27</v>
      </c>
      <c r="F248" s="123"/>
      <c r="G248" s="123"/>
      <c r="H248" s="121">
        <v>300000.0</v>
      </c>
      <c r="I248" s="124"/>
      <c r="J248" s="124">
        <f>SUM(E248:H248)</f>
        <v>1123904.27</v>
      </c>
      <c r="K248" s="9"/>
      <c r="L248" s="22"/>
      <c r="M248" s="22"/>
      <c r="N248" s="22"/>
    </row>
    <row r="249" ht="15.75" customHeight="1">
      <c r="A249" s="36"/>
      <c r="B249" s="36">
        <v>622.0</v>
      </c>
      <c r="C249" s="67" t="s">
        <v>11</v>
      </c>
      <c r="D249" s="76"/>
      <c r="E249" s="76"/>
      <c r="F249" s="76"/>
      <c r="G249" s="76"/>
      <c r="H249" s="76"/>
      <c r="I249" s="76"/>
      <c r="J249" s="76"/>
      <c r="K249" s="118">
        <f>SUM(J250)</f>
        <v>3535930.79</v>
      </c>
      <c r="L249" s="76"/>
      <c r="M249" s="76"/>
      <c r="N249" s="76"/>
    </row>
    <row r="250" ht="15.75" customHeight="1">
      <c r="A250" s="119"/>
      <c r="B250" s="120" t="s">
        <v>199</v>
      </c>
      <c r="C250" s="126" t="s">
        <v>200</v>
      </c>
      <c r="D250" s="48">
        <v>3535930.79</v>
      </c>
      <c r="E250" s="121">
        <v>1988332.48</v>
      </c>
      <c r="F250" s="123"/>
      <c r="G250" s="122"/>
      <c r="H250" s="121">
        <v>1547598.31</v>
      </c>
      <c r="I250" s="124"/>
      <c r="J250" s="124">
        <f>SUM(E250:H250)</f>
        <v>3535930.79</v>
      </c>
      <c r="K250" s="9"/>
      <c r="L250" s="22"/>
      <c r="M250" s="22"/>
      <c r="N250" s="22"/>
    </row>
    <row r="251" ht="15.75" customHeight="1">
      <c r="A251" s="36"/>
      <c r="B251" s="36" t="s">
        <v>201</v>
      </c>
      <c r="C251" s="67" t="s">
        <v>71</v>
      </c>
      <c r="D251" s="117"/>
      <c r="E251" s="117"/>
      <c r="F251" s="117"/>
      <c r="G251" s="117"/>
      <c r="H251" s="117"/>
      <c r="I251" s="117"/>
      <c r="J251" s="117"/>
      <c r="K251" s="118">
        <f>SUM(J252)</f>
        <v>737000</v>
      </c>
      <c r="L251" s="76"/>
      <c r="M251" s="76"/>
      <c r="N251" s="76"/>
    </row>
    <row r="252" ht="15.75" customHeight="1">
      <c r="A252" s="119"/>
      <c r="B252" s="120" t="s">
        <v>202</v>
      </c>
      <c r="C252" s="126" t="s">
        <v>203</v>
      </c>
      <c r="D252" s="127">
        <v>737000.0</v>
      </c>
      <c r="E252" s="123">
        <v>175000.0</v>
      </c>
      <c r="F252" s="123"/>
      <c r="G252" s="123"/>
      <c r="H252" s="121">
        <v>562000.0</v>
      </c>
      <c r="I252" s="124"/>
      <c r="J252" s="124">
        <f>SUM(E252:H252)</f>
        <v>737000</v>
      </c>
      <c r="K252" s="9"/>
      <c r="L252" s="22"/>
      <c r="M252" s="22"/>
      <c r="N252" s="22"/>
    </row>
    <row r="253" ht="15.75" customHeight="1">
      <c r="A253" s="29"/>
      <c r="B253" s="29">
        <v>625.0</v>
      </c>
      <c r="C253" s="66" t="s">
        <v>25</v>
      </c>
      <c r="D253" s="41"/>
      <c r="E253" s="41"/>
      <c r="F253" s="22"/>
      <c r="G253" s="22"/>
      <c r="H253" s="22"/>
      <c r="I253" s="18"/>
      <c r="J253" s="115"/>
      <c r="K253" s="118">
        <f>SUM(J254)</f>
        <v>200000</v>
      </c>
      <c r="L253" s="3"/>
      <c r="M253" s="3"/>
      <c r="N253" s="3"/>
    </row>
    <row r="254" ht="15.75" customHeight="1">
      <c r="A254" s="26"/>
      <c r="B254" s="26"/>
      <c r="C254" s="27" t="s">
        <v>204</v>
      </c>
      <c r="D254" s="21">
        <v>200000.0</v>
      </c>
      <c r="E254" s="25">
        <v>200000.0</v>
      </c>
      <c r="F254" s="22"/>
      <c r="G254" s="22"/>
      <c r="H254" s="22"/>
      <c r="I254" s="22"/>
      <c r="J254" s="22">
        <f>SUM(E254:H254)</f>
        <v>200000</v>
      </c>
      <c r="K254" s="23"/>
      <c r="L254" s="3"/>
      <c r="M254" s="3"/>
      <c r="N254" s="3"/>
    </row>
    <row r="255" ht="15.75" customHeight="1">
      <c r="A255" s="36"/>
      <c r="B255" s="36">
        <v>629.0</v>
      </c>
      <c r="C255" s="67" t="s">
        <v>22</v>
      </c>
      <c r="D255" s="76"/>
      <c r="E255" s="76"/>
      <c r="F255" s="76"/>
      <c r="G255" s="76"/>
      <c r="H255" s="76"/>
      <c r="I255" s="76"/>
      <c r="J255" s="76"/>
      <c r="K255" s="118">
        <f>SUM(J256:J257)</f>
        <v>422420.5</v>
      </c>
      <c r="L255" s="76"/>
      <c r="M255" s="76"/>
      <c r="N255" s="76"/>
    </row>
    <row r="256" ht="15.75" customHeight="1">
      <c r="A256" s="119"/>
      <c r="B256" s="120" t="s">
        <v>205</v>
      </c>
      <c r="C256" s="126" t="s">
        <v>206</v>
      </c>
      <c r="D256" s="127">
        <v>332420.5</v>
      </c>
      <c r="E256" s="128">
        <v>0.0</v>
      </c>
      <c r="F256" s="123"/>
      <c r="G256" s="123"/>
      <c r="H256" s="128">
        <v>332420.5</v>
      </c>
      <c r="I256" s="124"/>
      <c r="J256" s="124">
        <f t="shared" ref="J256:J257" si="43">SUM(E256:H256)</f>
        <v>332420.5</v>
      </c>
      <c r="K256" s="9"/>
      <c r="L256" s="22"/>
      <c r="M256" s="22"/>
      <c r="N256" s="22"/>
    </row>
    <row r="257" ht="15.75" customHeight="1">
      <c r="A257" s="119"/>
      <c r="B257" s="120" t="s">
        <v>207</v>
      </c>
      <c r="C257" s="126" t="s">
        <v>208</v>
      </c>
      <c r="D257" s="124">
        <v>90000.0</v>
      </c>
      <c r="E257" s="122">
        <v>0.0</v>
      </c>
      <c r="F257" s="123"/>
      <c r="G257" s="123"/>
      <c r="H257" s="124">
        <v>90000.0</v>
      </c>
      <c r="I257" s="124"/>
      <c r="J257" s="124">
        <f t="shared" si="43"/>
        <v>90000</v>
      </c>
      <c r="K257" s="9"/>
      <c r="L257" s="22"/>
      <c r="M257" s="22"/>
      <c r="N257" s="22"/>
    </row>
    <row r="258" ht="15.75" customHeight="1">
      <c r="A258" s="36"/>
      <c r="B258" s="36">
        <v>689.0</v>
      </c>
      <c r="C258" s="67" t="s">
        <v>209</v>
      </c>
      <c r="D258" s="76"/>
      <c r="E258" s="76"/>
      <c r="F258" s="76"/>
      <c r="G258" s="76"/>
      <c r="H258" s="76"/>
      <c r="I258" s="76"/>
      <c r="J258" s="76"/>
      <c r="K258" s="118">
        <f>SUM(J259)</f>
        <v>132420.5</v>
      </c>
      <c r="L258" s="76"/>
      <c r="M258" s="76"/>
      <c r="N258" s="76"/>
    </row>
    <row r="259" ht="15.75" customHeight="1">
      <c r="A259" s="129"/>
      <c r="B259" s="130" t="s">
        <v>210</v>
      </c>
      <c r="C259" s="126" t="s">
        <v>211</v>
      </c>
      <c r="D259" s="131">
        <v>132420.5</v>
      </c>
      <c r="E259" s="132">
        <v>0.0</v>
      </c>
      <c r="F259" s="133"/>
      <c r="G259" s="133"/>
      <c r="H259" s="131">
        <v>132420.5</v>
      </c>
      <c r="I259" s="134"/>
      <c r="J259" s="134">
        <f>SUM(E259:H259)</f>
        <v>132420.5</v>
      </c>
      <c r="K259" s="9"/>
      <c r="L259" s="22"/>
      <c r="M259" s="22"/>
      <c r="N259" s="22"/>
    </row>
    <row r="260" ht="15.75" customHeight="1">
      <c r="A260" s="119"/>
      <c r="B260" s="119"/>
      <c r="C260" s="135" t="s">
        <v>212</v>
      </c>
      <c r="D260" s="136">
        <f t="shared" ref="D260:J260" si="44">SUM(D245:D259)</f>
        <v>6254517.06</v>
      </c>
      <c r="E260" s="136">
        <f t="shared" si="44"/>
        <v>3187236.75</v>
      </c>
      <c r="F260" s="136">
        <f t="shared" si="44"/>
        <v>0</v>
      </c>
      <c r="G260" s="136">
        <f t="shared" si="44"/>
        <v>0</v>
      </c>
      <c r="H260" s="136">
        <f t="shared" si="44"/>
        <v>3067280.31</v>
      </c>
      <c r="I260" s="136">
        <f t="shared" si="44"/>
        <v>0</v>
      </c>
      <c r="J260" s="136">
        <f t="shared" si="44"/>
        <v>6254517.06</v>
      </c>
      <c r="K260" s="118"/>
      <c r="L260" s="76"/>
      <c r="M260" s="76"/>
      <c r="N260" s="76"/>
    </row>
    <row r="261" ht="15.75" customHeight="1">
      <c r="A261" s="26"/>
      <c r="B261" s="26"/>
      <c r="C261" s="27"/>
      <c r="D261" s="38"/>
      <c r="E261" s="22"/>
      <c r="F261" s="22"/>
      <c r="G261" s="22"/>
      <c r="H261" s="22"/>
      <c r="I261" s="22"/>
      <c r="J261" s="22"/>
      <c r="K261" s="23"/>
      <c r="L261" s="3"/>
      <c r="M261" s="3"/>
      <c r="N261" s="3"/>
    </row>
    <row r="262" ht="15.75" customHeight="1">
      <c r="A262" s="19"/>
      <c r="B262" s="19">
        <v>4330.0</v>
      </c>
      <c r="C262" s="20" t="s">
        <v>213</v>
      </c>
      <c r="D262" s="38"/>
      <c r="E262" s="22"/>
      <c r="F262" s="22"/>
      <c r="G262" s="22"/>
      <c r="H262" s="22"/>
      <c r="I262" s="22"/>
      <c r="J262" s="22"/>
      <c r="K262" s="23"/>
      <c r="L262" s="3"/>
      <c r="M262" s="3"/>
      <c r="N262" s="3"/>
    </row>
    <row r="263" ht="15.75" customHeight="1">
      <c r="A263" s="64"/>
      <c r="B263" s="137" t="s">
        <v>214</v>
      </c>
      <c r="C263" s="138" t="s">
        <v>136</v>
      </c>
      <c r="D263" s="139"/>
      <c r="E263" s="22"/>
      <c r="F263" s="22"/>
      <c r="G263" s="22"/>
      <c r="H263" s="22"/>
      <c r="I263" s="22"/>
      <c r="J263" s="22"/>
      <c r="K263" s="118">
        <f>SUM(J264:J266)</f>
        <v>315000</v>
      </c>
      <c r="L263" s="3"/>
      <c r="M263" s="3"/>
      <c r="N263" s="3"/>
    </row>
    <row r="264" ht="15.75" customHeight="1">
      <c r="A264" s="129"/>
      <c r="B264" s="129" t="s">
        <v>215</v>
      </c>
      <c r="C264" s="140" t="s">
        <v>216</v>
      </c>
      <c r="D264" s="141">
        <v>200000.0</v>
      </c>
      <c r="E264" s="141">
        <v>200000.0</v>
      </c>
      <c r="F264" s="22"/>
      <c r="G264" s="22"/>
      <c r="H264" s="22"/>
      <c r="I264" s="22"/>
      <c r="J264" s="22">
        <f t="shared" ref="J264:J266" si="45">SUM(E264:H264)</f>
        <v>200000</v>
      </c>
      <c r="K264" s="23"/>
      <c r="L264" s="3"/>
      <c r="M264" s="3"/>
      <c r="N264" s="3"/>
    </row>
    <row r="265" ht="15.75" customHeight="1">
      <c r="A265" s="112"/>
      <c r="B265" s="142" t="s">
        <v>215</v>
      </c>
      <c r="C265" s="140" t="s">
        <v>217</v>
      </c>
      <c r="D265" s="141">
        <v>100000.0</v>
      </c>
      <c r="E265" s="141">
        <v>100000.0</v>
      </c>
      <c r="F265" s="22"/>
      <c r="G265" s="22"/>
      <c r="H265" s="22"/>
      <c r="I265" s="22"/>
      <c r="J265" s="22">
        <f t="shared" si="45"/>
        <v>100000</v>
      </c>
      <c r="K265" s="23"/>
      <c r="L265" s="3"/>
      <c r="M265" s="3"/>
      <c r="N265" s="3"/>
    </row>
    <row r="266" ht="15.75" customHeight="1">
      <c r="A266" s="26"/>
      <c r="B266" s="26"/>
      <c r="C266" s="27" t="s">
        <v>218</v>
      </c>
      <c r="D266" s="21">
        <v>15000.0</v>
      </c>
      <c r="E266" s="21">
        <v>15000.0</v>
      </c>
      <c r="F266" s="22"/>
      <c r="G266" s="22"/>
      <c r="H266" s="22"/>
      <c r="I266" s="22"/>
      <c r="J266" s="22">
        <f t="shared" si="45"/>
        <v>15000</v>
      </c>
      <c r="K266" s="23"/>
      <c r="L266" s="3"/>
      <c r="M266" s="3"/>
      <c r="N266" s="3"/>
    </row>
    <row r="267" ht="15.75" customHeight="1">
      <c r="A267" s="29"/>
      <c r="B267" s="29">
        <v>625.0</v>
      </c>
      <c r="C267" s="66" t="s">
        <v>25</v>
      </c>
      <c r="D267" s="41"/>
      <c r="E267" s="41"/>
      <c r="F267" s="22"/>
      <c r="G267" s="22"/>
      <c r="H267" s="22"/>
      <c r="I267" s="18"/>
      <c r="J267" s="115"/>
      <c r="K267" s="118">
        <f>SUM(J268)</f>
        <v>15000</v>
      </c>
      <c r="L267" s="3"/>
      <c r="M267" s="3"/>
      <c r="N267" s="3"/>
    </row>
    <row r="268" ht="15.75" customHeight="1">
      <c r="A268" s="26"/>
      <c r="B268" s="26"/>
      <c r="C268" s="27" t="s">
        <v>219</v>
      </c>
      <c r="D268" s="21">
        <v>15000.0</v>
      </c>
      <c r="E268" s="25">
        <v>15000.0</v>
      </c>
      <c r="F268" s="22"/>
      <c r="G268" s="22"/>
      <c r="H268" s="22"/>
      <c r="I268" s="22"/>
      <c r="J268" s="22">
        <f>SUM(E268:H268)</f>
        <v>15000</v>
      </c>
      <c r="K268" s="23"/>
      <c r="L268" s="3"/>
      <c r="M268" s="3"/>
      <c r="N268" s="3"/>
    </row>
    <row r="269" ht="15.75" customHeight="1">
      <c r="A269" s="28"/>
      <c r="B269" s="28"/>
      <c r="C269" s="33" t="s">
        <v>220</v>
      </c>
      <c r="D269" s="30">
        <f t="shared" ref="D269:J269" si="46">SUM(D264:D268)</f>
        <v>330000</v>
      </c>
      <c r="E269" s="30">
        <f t="shared" si="46"/>
        <v>330000</v>
      </c>
      <c r="F269" s="30">
        <f t="shared" si="46"/>
        <v>0</v>
      </c>
      <c r="G269" s="30">
        <f t="shared" si="46"/>
        <v>0</v>
      </c>
      <c r="H269" s="30">
        <f t="shared" si="46"/>
        <v>0</v>
      </c>
      <c r="I269" s="30">
        <f t="shared" si="46"/>
        <v>0</v>
      </c>
      <c r="J269" s="30">
        <f t="shared" si="46"/>
        <v>330000</v>
      </c>
      <c r="K269" s="23"/>
      <c r="L269" s="3"/>
      <c r="M269" s="3"/>
      <c r="N269" s="3"/>
    </row>
    <row r="270" ht="15.75" customHeight="1">
      <c r="A270" s="32"/>
      <c r="B270" s="32"/>
      <c r="C270" s="27"/>
      <c r="D270" s="21"/>
      <c r="E270" s="22"/>
      <c r="F270" s="22"/>
      <c r="G270" s="22"/>
      <c r="H270" s="22"/>
      <c r="I270" s="22"/>
      <c r="J270" s="22"/>
      <c r="K270" s="23"/>
      <c r="L270" s="3"/>
      <c r="M270" s="3"/>
      <c r="N270" s="3"/>
    </row>
    <row r="271" ht="15.75" customHeight="1">
      <c r="A271" s="85"/>
      <c r="B271" s="143" t="s">
        <v>221</v>
      </c>
      <c r="C271" s="144" t="s">
        <v>222</v>
      </c>
      <c r="D271" s="145"/>
      <c r="E271" s="22"/>
      <c r="F271" s="22"/>
      <c r="G271" s="22"/>
      <c r="H271" s="22"/>
      <c r="I271" s="22"/>
      <c r="J271" s="22"/>
      <c r="K271" s="23"/>
      <c r="L271" s="3"/>
      <c r="M271" s="3"/>
      <c r="N271" s="3"/>
    </row>
    <row r="272" ht="15.75" customHeight="1">
      <c r="A272" s="85"/>
      <c r="B272" s="143" t="s">
        <v>223</v>
      </c>
      <c r="C272" s="144" t="s">
        <v>224</v>
      </c>
      <c r="D272" s="139"/>
      <c r="E272" s="22"/>
      <c r="F272" s="35"/>
      <c r="G272" s="22"/>
      <c r="H272" s="22"/>
      <c r="I272" s="18"/>
      <c r="J272" s="18"/>
      <c r="K272" s="118">
        <f>SUM(J273)</f>
        <v>40000</v>
      </c>
      <c r="L272" s="3"/>
      <c r="M272" s="3"/>
      <c r="N272" s="3"/>
    </row>
    <row r="273" ht="15.75" customHeight="1">
      <c r="A273" s="129"/>
      <c r="B273" s="129"/>
      <c r="C273" s="140" t="s">
        <v>225</v>
      </c>
      <c r="D273" s="146">
        <v>40000.0</v>
      </c>
      <c r="E273" s="146">
        <v>40000.0</v>
      </c>
      <c r="F273" s="35"/>
      <c r="G273" s="35"/>
      <c r="H273" s="35"/>
      <c r="I273" s="35"/>
      <c r="J273" s="22">
        <f>SUM(E273:H273)</f>
        <v>40000</v>
      </c>
      <c r="K273" s="23"/>
      <c r="L273" s="3"/>
      <c r="M273" s="3"/>
      <c r="N273" s="3"/>
    </row>
    <row r="274" ht="15.75" customHeight="1">
      <c r="A274" s="147"/>
      <c r="B274" s="148"/>
      <c r="C274" s="149" t="s">
        <v>221</v>
      </c>
      <c r="D274" s="52">
        <f t="shared" ref="D274:J274" si="47">SUM(D273)</f>
        <v>40000</v>
      </c>
      <c r="E274" s="52">
        <f t="shared" si="47"/>
        <v>40000</v>
      </c>
      <c r="F274" s="52">
        <f t="shared" si="47"/>
        <v>0</v>
      </c>
      <c r="G274" s="52">
        <f t="shared" si="47"/>
        <v>0</v>
      </c>
      <c r="H274" s="52">
        <f t="shared" si="47"/>
        <v>0</v>
      </c>
      <c r="I274" s="52">
        <f t="shared" si="47"/>
        <v>0</v>
      </c>
      <c r="J274" s="52">
        <f t="shared" si="47"/>
        <v>40000</v>
      </c>
      <c r="K274" s="23"/>
      <c r="L274" s="3"/>
      <c r="M274" s="3"/>
      <c r="N274" s="3"/>
    </row>
    <row r="275" ht="15.75" customHeight="1">
      <c r="A275" s="26"/>
      <c r="B275" s="26"/>
      <c r="C275" s="27"/>
      <c r="D275" s="38"/>
      <c r="E275" s="22"/>
      <c r="F275" s="35"/>
      <c r="G275" s="22"/>
      <c r="H275" s="22"/>
      <c r="I275" s="18"/>
      <c r="J275" s="18"/>
      <c r="K275" s="23"/>
      <c r="L275" s="3"/>
      <c r="M275" s="3"/>
      <c r="N275" s="3"/>
    </row>
    <row r="276" ht="15.75" customHeight="1">
      <c r="A276" s="64"/>
      <c r="B276" s="137" t="s">
        <v>226</v>
      </c>
      <c r="C276" s="138" t="s">
        <v>227</v>
      </c>
      <c r="D276" s="145"/>
      <c r="E276" s="22"/>
      <c r="F276" s="22"/>
      <c r="G276" s="22"/>
      <c r="H276" s="22"/>
      <c r="I276" s="22"/>
      <c r="J276" s="22"/>
      <c r="K276" s="23"/>
      <c r="L276" s="3"/>
      <c r="M276" s="3"/>
      <c r="N276" s="3"/>
    </row>
    <row r="277" ht="15.75" customHeight="1">
      <c r="A277" s="64"/>
      <c r="B277" s="137" t="s">
        <v>214</v>
      </c>
      <c r="C277" s="138" t="s">
        <v>136</v>
      </c>
      <c r="D277" s="139"/>
      <c r="E277" s="22"/>
      <c r="F277" s="35"/>
      <c r="G277" s="22"/>
      <c r="H277" s="22"/>
      <c r="I277" s="18"/>
      <c r="J277" s="18"/>
      <c r="K277" s="118">
        <f>SUM(J278)</f>
        <v>100000</v>
      </c>
      <c r="L277" s="3"/>
      <c r="M277" s="3"/>
      <c r="N277" s="3"/>
    </row>
    <row r="278" ht="15.75" customHeight="1">
      <c r="A278" s="129"/>
      <c r="B278" s="129" t="s">
        <v>228</v>
      </c>
      <c r="C278" s="150" t="s">
        <v>229</v>
      </c>
      <c r="D278" s="146">
        <v>100000.0</v>
      </c>
      <c r="E278" s="146">
        <v>100000.0</v>
      </c>
      <c r="F278" s="35"/>
      <c r="G278" s="35"/>
      <c r="H278" s="35"/>
      <c r="I278" s="35"/>
      <c r="J278" s="22">
        <f>SUM(E278:H278)</f>
        <v>100000</v>
      </c>
      <c r="K278" s="23"/>
      <c r="L278" s="3"/>
      <c r="M278" s="3"/>
      <c r="N278" s="3"/>
    </row>
    <row r="279" ht="15.75" customHeight="1">
      <c r="A279" s="147"/>
      <c r="B279" s="148"/>
      <c r="C279" s="151" t="s">
        <v>226</v>
      </c>
      <c r="D279" s="52">
        <f t="shared" ref="D279:J279" si="48">SUM(D278)</f>
        <v>100000</v>
      </c>
      <c r="E279" s="52">
        <f t="shared" si="48"/>
        <v>100000</v>
      </c>
      <c r="F279" s="52">
        <f t="shared" si="48"/>
        <v>0</v>
      </c>
      <c r="G279" s="52">
        <f t="shared" si="48"/>
        <v>0</v>
      </c>
      <c r="H279" s="52">
        <f t="shared" si="48"/>
        <v>0</v>
      </c>
      <c r="I279" s="52">
        <f t="shared" si="48"/>
        <v>0</v>
      </c>
      <c r="J279" s="52">
        <f t="shared" si="48"/>
        <v>100000</v>
      </c>
      <c r="K279" s="23"/>
      <c r="L279" s="3"/>
      <c r="M279" s="3"/>
      <c r="N279" s="3"/>
    </row>
    <row r="280" ht="15.75" customHeight="1">
      <c r="A280" s="26"/>
      <c r="B280" s="26"/>
      <c r="C280" s="27"/>
      <c r="D280" s="38"/>
      <c r="E280" s="22"/>
      <c r="F280" s="35"/>
      <c r="G280" s="22"/>
      <c r="H280" s="22"/>
      <c r="I280" s="18"/>
      <c r="J280" s="18"/>
      <c r="K280" s="23"/>
      <c r="L280" s="3"/>
      <c r="M280" s="3"/>
      <c r="N280" s="3"/>
    </row>
    <row r="281" ht="15.75" customHeight="1">
      <c r="A281" s="19"/>
      <c r="B281" s="19">
        <v>9200.0</v>
      </c>
      <c r="C281" s="20" t="s">
        <v>230</v>
      </c>
      <c r="D281" s="38"/>
      <c r="E281" s="22"/>
      <c r="F281" s="35"/>
      <c r="G281" s="22"/>
      <c r="H281" s="22"/>
      <c r="I281" s="18"/>
      <c r="J281" s="18"/>
      <c r="K281" s="23"/>
      <c r="L281" s="3"/>
      <c r="M281" s="3"/>
      <c r="N281" s="3"/>
    </row>
    <row r="282" ht="15.75" customHeight="1">
      <c r="A282" s="19"/>
      <c r="B282" s="19">
        <v>623.0</v>
      </c>
      <c r="C282" s="20" t="s">
        <v>75</v>
      </c>
      <c r="D282" s="21"/>
      <c r="E282" s="21"/>
      <c r="F282" s="22"/>
      <c r="G282" s="22"/>
      <c r="H282" s="22"/>
      <c r="I282" s="22"/>
      <c r="J282" s="22"/>
      <c r="K282" s="118">
        <f>SUM(J283)</f>
        <v>40000</v>
      </c>
      <c r="L282" s="3"/>
      <c r="M282" s="3"/>
      <c r="N282" s="3"/>
    </row>
    <row r="283" ht="15.75" customHeight="1">
      <c r="A283" s="26"/>
      <c r="B283" s="26"/>
      <c r="C283" s="27" t="s">
        <v>231</v>
      </c>
      <c r="D283" s="21">
        <v>40000.0</v>
      </c>
      <c r="E283" s="21">
        <v>40000.0</v>
      </c>
      <c r="F283" s="22"/>
      <c r="G283" s="22"/>
      <c r="H283" s="22"/>
      <c r="I283" s="22"/>
      <c r="J283" s="22">
        <f>SUM(E283:H283)</f>
        <v>40000</v>
      </c>
      <c r="K283" s="23"/>
      <c r="L283" s="3"/>
      <c r="M283" s="3"/>
      <c r="N283" s="3"/>
    </row>
    <row r="284" ht="15.75" customHeight="1">
      <c r="A284" s="19"/>
      <c r="B284" s="19">
        <v>625.0</v>
      </c>
      <c r="C284" s="20" t="s">
        <v>25</v>
      </c>
      <c r="D284" s="21"/>
      <c r="E284" s="21"/>
      <c r="F284" s="22"/>
      <c r="G284" s="22"/>
      <c r="H284" s="22"/>
      <c r="I284" s="22"/>
      <c r="J284" s="22"/>
      <c r="K284" s="118">
        <f>SUM(J285)</f>
        <v>50000</v>
      </c>
      <c r="L284" s="3"/>
      <c r="M284" s="3"/>
      <c r="N284" s="3"/>
    </row>
    <row r="285" ht="15.75" customHeight="1">
      <c r="A285" s="26"/>
      <c r="B285" s="26"/>
      <c r="C285" s="27" t="s">
        <v>232</v>
      </c>
      <c r="D285" s="21">
        <v>50000.0</v>
      </c>
      <c r="E285" s="21">
        <v>50000.0</v>
      </c>
      <c r="F285" s="22"/>
      <c r="G285" s="22"/>
      <c r="H285" s="22"/>
      <c r="I285" s="22"/>
      <c r="J285" s="22">
        <f>SUM(E285:H285)</f>
        <v>50000</v>
      </c>
      <c r="K285" s="23"/>
      <c r="L285" s="3"/>
      <c r="M285" s="3"/>
      <c r="N285" s="3"/>
    </row>
    <row r="286" ht="15.75" customHeight="1">
      <c r="A286" s="36"/>
      <c r="B286" s="36" t="s">
        <v>233</v>
      </c>
      <c r="C286" s="39" t="s">
        <v>234</v>
      </c>
      <c r="D286" s="38"/>
      <c r="E286" s="22"/>
      <c r="F286" s="35"/>
      <c r="G286" s="22"/>
      <c r="H286" s="22"/>
      <c r="I286" s="18"/>
      <c r="J286" s="18"/>
      <c r="K286" s="118">
        <f>SUM(J287)</f>
        <v>50000</v>
      </c>
      <c r="L286" s="3"/>
      <c r="M286" s="3"/>
      <c r="N286" s="3"/>
    </row>
    <row r="287" ht="15.75" customHeight="1">
      <c r="A287" s="119"/>
      <c r="B287" s="119"/>
      <c r="C287" s="27" t="s">
        <v>235</v>
      </c>
      <c r="D287" s="38">
        <v>50000.0</v>
      </c>
      <c r="E287" s="38">
        <v>50000.0</v>
      </c>
      <c r="F287" s="35"/>
      <c r="G287" s="22"/>
      <c r="H287" s="22"/>
      <c r="I287" s="18"/>
      <c r="J287" s="22">
        <f>SUM(E287:H287)</f>
        <v>50000</v>
      </c>
      <c r="K287" s="23"/>
      <c r="L287" s="3"/>
      <c r="M287" s="3"/>
      <c r="N287" s="3"/>
    </row>
    <row r="288" ht="15.75" customHeight="1">
      <c r="A288" s="36"/>
      <c r="B288" s="36" t="s">
        <v>236</v>
      </c>
      <c r="C288" s="66" t="s">
        <v>237</v>
      </c>
      <c r="D288" s="22"/>
      <c r="E288" s="22"/>
      <c r="F288" s="22"/>
      <c r="G288" s="22"/>
      <c r="H288" s="22"/>
      <c r="I288" s="22"/>
      <c r="J288" s="22"/>
      <c r="K288" s="118">
        <f>SUM(J289)</f>
        <v>100000</v>
      </c>
      <c r="L288" s="3"/>
      <c r="M288" s="3"/>
      <c r="N288" s="3"/>
    </row>
    <row r="289" ht="15.75" customHeight="1">
      <c r="A289" s="36"/>
      <c r="B289" s="36"/>
      <c r="C289" s="152" t="s">
        <v>238</v>
      </c>
      <c r="D289" s="25">
        <v>100000.0</v>
      </c>
      <c r="E289" s="25">
        <v>100000.0</v>
      </c>
      <c r="F289" s="22"/>
      <c r="G289" s="22"/>
      <c r="H289" s="22"/>
      <c r="I289" s="22"/>
      <c r="J289" s="22">
        <f>SUM(E289:H289)</f>
        <v>100000</v>
      </c>
      <c r="K289" s="153"/>
      <c r="L289" s="3"/>
      <c r="M289" s="3"/>
      <c r="N289" s="3"/>
    </row>
    <row r="290" ht="15.75" customHeight="1">
      <c r="A290" s="29"/>
      <c r="B290" s="29">
        <v>641.0</v>
      </c>
      <c r="C290" s="20" t="s">
        <v>27</v>
      </c>
      <c r="D290" s="21"/>
      <c r="E290" s="21"/>
      <c r="F290" s="25"/>
      <c r="G290" s="22"/>
      <c r="H290" s="22"/>
      <c r="I290" s="18"/>
      <c r="J290" s="22"/>
      <c r="K290" s="118">
        <f>SUM(J291)</f>
        <v>300000</v>
      </c>
      <c r="L290" s="3"/>
      <c r="M290" s="3"/>
      <c r="N290" s="3"/>
    </row>
    <row r="291" ht="15.75" customHeight="1">
      <c r="A291" s="154"/>
      <c r="B291" s="154"/>
      <c r="C291" s="27" t="s">
        <v>239</v>
      </c>
      <c r="D291" s="21">
        <v>300000.0</v>
      </c>
      <c r="E291" s="21">
        <f>D291-F291</f>
        <v>186720.51</v>
      </c>
      <c r="F291" s="25">
        <f>112984.44+295.05</f>
        <v>113279.49</v>
      </c>
      <c r="G291" s="22"/>
      <c r="H291" s="22"/>
      <c r="I291" s="18"/>
      <c r="J291" s="22">
        <f>SUM(E291:H291)</f>
        <v>300000</v>
      </c>
      <c r="K291" s="23"/>
      <c r="L291" s="3"/>
      <c r="M291" s="3"/>
      <c r="N291" s="3"/>
    </row>
    <row r="292" ht="15.75" customHeight="1">
      <c r="A292" s="28"/>
      <c r="B292" s="28"/>
      <c r="C292" s="33" t="s">
        <v>240</v>
      </c>
      <c r="D292" s="30">
        <f t="shared" ref="D292:J292" si="49">SUM(D283:D291)</f>
        <v>540000</v>
      </c>
      <c r="E292" s="30">
        <f t="shared" si="49"/>
        <v>426720.51</v>
      </c>
      <c r="F292" s="30">
        <f t="shared" si="49"/>
        <v>113279.49</v>
      </c>
      <c r="G292" s="30">
        <f t="shared" si="49"/>
        <v>0</v>
      </c>
      <c r="H292" s="30">
        <f t="shared" si="49"/>
        <v>0</v>
      </c>
      <c r="I292" s="30">
        <f t="shared" si="49"/>
        <v>0</v>
      </c>
      <c r="J292" s="30">
        <f t="shared" si="49"/>
        <v>540000</v>
      </c>
      <c r="K292" s="153"/>
      <c r="L292" s="3"/>
      <c r="M292" s="3"/>
      <c r="N292" s="3"/>
    </row>
    <row r="293" ht="15.75" customHeight="1">
      <c r="A293" s="32"/>
      <c r="B293" s="32"/>
      <c r="C293" s="8"/>
      <c r="D293" s="9"/>
      <c r="E293" s="22"/>
      <c r="F293" s="22"/>
      <c r="G293" s="22"/>
      <c r="H293" s="22"/>
      <c r="I293" s="22"/>
      <c r="J293" s="22"/>
      <c r="K293" s="153"/>
      <c r="L293" s="3"/>
      <c r="M293" s="3"/>
      <c r="N293" s="3"/>
    </row>
    <row r="294" ht="15.75" customHeight="1">
      <c r="A294" s="110"/>
      <c r="B294" s="155" t="s">
        <v>241</v>
      </c>
      <c r="C294" s="156" t="s">
        <v>242</v>
      </c>
      <c r="D294" s="157"/>
      <c r="E294" s="157"/>
      <c r="F294" s="157"/>
      <c r="G294" s="157"/>
      <c r="H294" s="157"/>
      <c r="I294" s="157"/>
      <c r="J294" s="157"/>
      <c r="K294" s="158"/>
      <c r="L294" s="77"/>
      <c r="M294" s="77"/>
      <c r="N294" s="77"/>
    </row>
    <row r="295" ht="15.75" customHeight="1">
      <c r="A295" s="110"/>
      <c r="B295" s="159" t="s">
        <v>160</v>
      </c>
      <c r="C295" s="160" t="s">
        <v>11</v>
      </c>
      <c r="D295" s="157"/>
      <c r="E295" s="157"/>
      <c r="F295" s="157"/>
      <c r="G295" s="157"/>
      <c r="H295" s="157"/>
      <c r="I295" s="157"/>
      <c r="J295" s="157"/>
      <c r="K295" s="161">
        <f>SUM(J296)</f>
        <v>5000</v>
      </c>
      <c r="L295" s="77"/>
      <c r="M295" s="77"/>
      <c r="N295" s="77"/>
    </row>
    <row r="296" ht="15.75" customHeight="1">
      <c r="A296" s="26"/>
      <c r="B296" s="162"/>
      <c r="C296" s="163" t="s">
        <v>243</v>
      </c>
      <c r="D296" s="164">
        <v>5000.0</v>
      </c>
      <c r="E296" s="164">
        <v>5000.0</v>
      </c>
      <c r="F296" s="165"/>
      <c r="G296" s="165"/>
      <c r="H296" s="165"/>
      <c r="I296" s="165"/>
      <c r="J296" s="165">
        <f>SUM(E296:H296)</f>
        <v>5000</v>
      </c>
      <c r="K296" s="166"/>
      <c r="L296" s="3"/>
      <c r="M296" s="3"/>
      <c r="N296" s="3"/>
    </row>
    <row r="297" ht="15.75" customHeight="1">
      <c r="A297" s="96"/>
      <c r="B297" s="167"/>
      <c r="C297" s="168">
        <v>9240.0</v>
      </c>
      <c r="D297" s="169">
        <f t="shared" ref="D297:J297" si="50">SUM(D296)</f>
        <v>5000</v>
      </c>
      <c r="E297" s="169">
        <f t="shared" si="50"/>
        <v>5000</v>
      </c>
      <c r="F297" s="169">
        <f t="shared" si="50"/>
        <v>0</v>
      </c>
      <c r="G297" s="169">
        <f t="shared" si="50"/>
        <v>0</v>
      </c>
      <c r="H297" s="169">
        <f t="shared" si="50"/>
        <v>0</v>
      </c>
      <c r="I297" s="169">
        <f t="shared" si="50"/>
        <v>0</v>
      </c>
      <c r="J297" s="169">
        <f t="shared" si="50"/>
        <v>5000</v>
      </c>
      <c r="K297" s="158"/>
      <c r="L297" s="77"/>
      <c r="M297" s="77"/>
      <c r="N297" s="77"/>
    </row>
    <row r="298" ht="15.75" customHeight="1">
      <c r="A298" s="96"/>
      <c r="B298" s="96"/>
      <c r="C298" s="77"/>
      <c r="D298" s="93"/>
      <c r="E298" s="76"/>
      <c r="F298" s="93"/>
      <c r="G298" s="76"/>
      <c r="H298" s="76"/>
      <c r="I298" s="76"/>
      <c r="J298" s="76"/>
      <c r="K298" s="75"/>
      <c r="L298" s="77"/>
      <c r="M298" s="77"/>
      <c r="N298" s="77"/>
    </row>
    <row r="299" ht="15.75" customHeight="1">
      <c r="A299" s="110"/>
      <c r="B299" s="170" t="s">
        <v>241</v>
      </c>
      <c r="C299" s="171" t="s">
        <v>242</v>
      </c>
      <c r="D299" s="93"/>
      <c r="E299" s="93"/>
      <c r="F299" s="93"/>
      <c r="G299" s="93"/>
      <c r="H299" s="93"/>
      <c r="I299" s="93"/>
      <c r="J299" s="93"/>
      <c r="K299" s="75"/>
      <c r="L299" s="77"/>
      <c r="M299" s="77"/>
      <c r="N299" s="77"/>
    </row>
    <row r="300" ht="15.75" customHeight="1">
      <c r="A300" s="110"/>
      <c r="B300" s="110" t="s">
        <v>160</v>
      </c>
      <c r="C300" s="111" t="s">
        <v>11</v>
      </c>
      <c r="D300" s="93"/>
      <c r="E300" s="93"/>
      <c r="F300" s="93"/>
      <c r="G300" s="93"/>
      <c r="H300" s="93"/>
      <c r="I300" s="93"/>
      <c r="J300" s="93"/>
      <c r="K300" s="118">
        <f>SUM(J301:J302)</f>
        <v>345000</v>
      </c>
      <c r="L300" s="77"/>
      <c r="M300" s="77"/>
      <c r="N300" s="77"/>
    </row>
    <row r="301" ht="15.75" customHeight="1">
      <c r="A301" s="26"/>
      <c r="B301" s="26"/>
      <c r="C301" s="27" t="s">
        <v>244</v>
      </c>
      <c r="D301" s="21">
        <v>5000.0</v>
      </c>
      <c r="E301" s="21">
        <v>5000.0</v>
      </c>
      <c r="F301" s="22"/>
      <c r="G301" s="22"/>
      <c r="H301" s="22"/>
      <c r="I301" s="22"/>
      <c r="J301" s="22">
        <f>SUM(E301:H301)</f>
        <v>5000</v>
      </c>
      <c r="K301" s="23"/>
      <c r="L301" s="3"/>
      <c r="M301" s="3"/>
      <c r="N301" s="3"/>
    </row>
    <row r="302" ht="15.75" customHeight="1">
      <c r="A302" s="172"/>
      <c r="B302" s="172" t="s">
        <v>245</v>
      </c>
      <c r="C302" s="173" t="s">
        <v>246</v>
      </c>
      <c r="D302" s="174">
        <v>340000.0</v>
      </c>
      <c r="E302" s="174">
        <f>340000-F302</f>
        <v>340000</v>
      </c>
      <c r="F302" s="175">
        <v>0.0</v>
      </c>
      <c r="G302" s="176"/>
      <c r="H302" s="176"/>
      <c r="I302" s="176"/>
      <c r="J302" s="174">
        <f>SUM(E302:I302)</f>
        <v>340000</v>
      </c>
      <c r="K302" s="75"/>
      <c r="L302" s="77"/>
      <c r="M302" s="77"/>
      <c r="N302" s="77"/>
    </row>
    <row r="303" ht="15.75" customHeight="1">
      <c r="A303" s="96"/>
      <c r="B303" s="96"/>
      <c r="C303" s="177">
        <v>9240.0</v>
      </c>
      <c r="D303" s="178">
        <f t="shared" ref="D303:J303" si="51">SUM(D301:D302)</f>
        <v>345000</v>
      </c>
      <c r="E303" s="178">
        <f t="shared" si="51"/>
        <v>345000</v>
      </c>
      <c r="F303" s="178">
        <f t="shared" si="51"/>
        <v>0</v>
      </c>
      <c r="G303" s="178">
        <f t="shared" si="51"/>
        <v>0</v>
      </c>
      <c r="H303" s="178">
        <f t="shared" si="51"/>
        <v>0</v>
      </c>
      <c r="I303" s="178">
        <f t="shared" si="51"/>
        <v>0</v>
      </c>
      <c r="J303" s="178">
        <f t="shared" si="51"/>
        <v>345000</v>
      </c>
      <c r="K303" s="75"/>
      <c r="L303" s="77"/>
      <c r="M303" s="77"/>
      <c r="N303" s="77"/>
    </row>
    <row r="304" ht="15.75" customHeight="1">
      <c r="A304" s="96"/>
      <c r="B304" s="96"/>
      <c r="C304" s="77"/>
      <c r="D304" s="93"/>
      <c r="E304" s="76"/>
      <c r="F304" s="93"/>
      <c r="G304" s="76"/>
      <c r="H304" s="76"/>
      <c r="I304" s="76"/>
      <c r="J304" s="76"/>
      <c r="K304" s="75"/>
      <c r="L304" s="77"/>
      <c r="M304" s="77"/>
      <c r="N304" s="77"/>
    </row>
    <row r="305" ht="15.75" customHeight="1">
      <c r="A305" s="32"/>
      <c r="B305" s="32"/>
      <c r="C305" s="8"/>
      <c r="D305" s="9"/>
      <c r="E305" s="22"/>
      <c r="F305" s="22"/>
      <c r="G305" s="22"/>
      <c r="H305" s="22"/>
      <c r="I305" s="22"/>
      <c r="J305" s="22"/>
      <c r="K305" s="153"/>
      <c r="L305" s="3"/>
      <c r="M305" s="3"/>
      <c r="N305" s="3"/>
    </row>
    <row r="306" ht="15.75" customHeight="1">
      <c r="A306" s="32"/>
      <c r="B306" s="32"/>
      <c r="C306" s="179" t="s">
        <v>247</v>
      </c>
      <c r="D306" s="180">
        <f t="shared" ref="D306:J306" si="52">SUM(D8,D13,D20,D29,D37,D42,D84,D96,D108,D118,D129,D135,D145,D150,D160,D165,D170,D175,D180,D185,D190,D197,D202,D211,D216,D221,D230,D242,D260,D269,D274,D279,D292,D303)</f>
        <v>27237906.7</v>
      </c>
      <c r="E306" s="180">
        <f t="shared" si="52"/>
        <v>20457492.93</v>
      </c>
      <c r="F306" s="180">
        <f t="shared" si="52"/>
        <v>366893.61</v>
      </c>
      <c r="G306" s="180">
        <f t="shared" si="52"/>
        <v>0</v>
      </c>
      <c r="H306" s="180">
        <f t="shared" si="52"/>
        <v>4556700.16</v>
      </c>
      <c r="I306" s="180">
        <f t="shared" si="52"/>
        <v>1856820</v>
      </c>
      <c r="J306" s="180">
        <f t="shared" si="52"/>
        <v>27237906.7</v>
      </c>
      <c r="K306" s="153"/>
      <c r="L306" s="3"/>
      <c r="M306" s="3"/>
      <c r="N306" s="3"/>
    </row>
    <row r="307" ht="15.75" customHeight="1">
      <c r="A307" s="32"/>
      <c r="B307" s="32"/>
      <c r="C307" s="8"/>
      <c r="D307" s="22"/>
      <c r="E307" s="22"/>
      <c r="F307" s="22"/>
      <c r="G307" s="22"/>
      <c r="H307" s="22"/>
      <c r="I307" s="22"/>
      <c r="J307" s="22"/>
      <c r="K307" s="9"/>
      <c r="L307" s="3"/>
      <c r="M307" s="3"/>
      <c r="N307" s="3"/>
    </row>
    <row r="308" ht="15.75" customHeight="1">
      <c r="A308" s="32"/>
      <c r="B308" s="32"/>
      <c r="C308" s="8"/>
      <c r="D308" s="9"/>
      <c r="E308" s="22"/>
      <c r="F308" s="22"/>
      <c r="G308" s="22"/>
      <c r="H308" s="22"/>
      <c r="I308" s="22"/>
      <c r="J308" s="22"/>
      <c r="K308" s="9"/>
      <c r="L308" s="3"/>
      <c r="M308" s="3"/>
      <c r="N308" s="3"/>
    </row>
    <row r="309">
      <c r="A309" s="32"/>
      <c r="B309" s="32"/>
      <c r="C309" s="181" t="s">
        <v>248</v>
      </c>
      <c r="D309" s="182" t="s">
        <v>3</v>
      </c>
      <c r="E309" s="183" t="s">
        <v>4</v>
      </c>
      <c r="F309" s="184" t="s">
        <v>40</v>
      </c>
      <c r="G309" s="183" t="s">
        <v>6</v>
      </c>
      <c r="H309" s="184" t="s">
        <v>7</v>
      </c>
      <c r="I309" s="184" t="s">
        <v>8</v>
      </c>
      <c r="J309" s="183" t="s">
        <v>9</v>
      </c>
      <c r="K309" s="9"/>
      <c r="L309" s="3"/>
      <c r="M309" s="3"/>
      <c r="N309" s="3"/>
    </row>
    <row r="310" ht="15.75" customHeight="1">
      <c r="A310" s="32"/>
      <c r="B310" s="32"/>
      <c r="C310" s="8"/>
      <c r="D310" s="185">
        <f t="shared" ref="D310:J310" si="53">SUM(D41,D72,D210,D246,D248,D250,D252,D256,D257,D259)</f>
        <v>16110401.29</v>
      </c>
      <c r="E310" s="185">
        <f t="shared" si="53"/>
        <v>10189267.01</v>
      </c>
      <c r="F310" s="185">
        <f t="shared" si="53"/>
        <v>43614.12</v>
      </c>
      <c r="G310" s="185">
        <f t="shared" si="53"/>
        <v>0</v>
      </c>
      <c r="H310" s="185">
        <f t="shared" si="53"/>
        <v>4556700.16</v>
      </c>
      <c r="I310" s="185">
        <f t="shared" si="53"/>
        <v>1320820</v>
      </c>
      <c r="J310" s="185">
        <f t="shared" si="53"/>
        <v>16110401.29</v>
      </c>
      <c r="K310" s="9"/>
      <c r="L310" s="3"/>
      <c r="M310" s="3"/>
      <c r="N310" s="3"/>
    </row>
    <row r="311" ht="15.75" customHeight="1">
      <c r="A311" s="32"/>
      <c r="B311" s="32"/>
      <c r="C311" s="8"/>
      <c r="D311" s="9"/>
      <c r="E311" s="22"/>
      <c r="F311" s="22"/>
      <c r="G311" s="22"/>
      <c r="H311" s="22"/>
      <c r="I311" s="22"/>
      <c r="J311" s="22"/>
      <c r="K311" s="9"/>
      <c r="L311" s="3"/>
      <c r="M311" s="3"/>
      <c r="N311" s="3"/>
    </row>
    <row r="312" ht="15.75" customHeight="1">
      <c r="A312" s="32"/>
      <c r="B312" s="32"/>
      <c r="C312" s="8"/>
      <c r="D312" s="9"/>
      <c r="E312" s="22"/>
      <c r="F312" s="22"/>
      <c r="G312" s="22"/>
      <c r="H312" s="22"/>
      <c r="I312" s="22"/>
      <c r="J312" s="22"/>
      <c r="K312" s="9"/>
      <c r="L312" s="3"/>
      <c r="M312" s="3"/>
      <c r="N312" s="3"/>
    </row>
    <row r="313" ht="15.75" customHeight="1">
      <c r="A313" s="96"/>
      <c r="B313" s="96"/>
      <c r="C313" s="186" t="s">
        <v>249</v>
      </c>
      <c r="D313" s="187" t="s">
        <v>9</v>
      </c>
      <c r="E313" s="188" t="s">
        <v>250</v>
      </c>
      <c r="F313" s="5"/>
      <c r="G313" s="5"/>
      <c r="H313" s="5"/>
      <c r="I313" s="5"/>
      <c r="J313" s="5"/>
      <c r="K313" s="6"/>
      <c r="L313" s="77"/>
      <c r="M313" s="77"/>
      <c r="N313" s="77"/>
    </row>
    <row r="314" ht="15.75" customHeight="1">
      <c r="A314" s="96"/>
      <c r="B314" s="96"/>
      <c r="C314" s="77"/>
      <c r="D314" s="189"/>
      <c r="E314" s="190" t="s">
        <v>251</v>
      </c>
      <c r="F314" s="190" t="s">
        <v>252</v>
      </c>
      <c r="G314" s="191" t="s">
        <v>253</v>
      </c>
      <c r="H314" s="6"/>
      <c r="I314" s="190" t="s">
        <v>254</v>
      </c>
      <c r="J314" s="190" t="s">
        <v>255</v>
      </c>
      <c r="K314" s="192" t="s">
        <v>256</v>
      </c>
      <c r="L314" s="75"/>
      <c r="M314" s="77"/>
      <c r="N314" s="77"/>
    </row>
    <row r="315" ht="15.75" customHeight="1">
      <c r="A315" s="96"/>
      <c r="B315" s="96"/>
      <c r="C315" s="77"/>
      <c r="D315" s="75"/>
      <c r="F315" s="193"/>
      <c r="G315" s="194" t="s">
        <v>257</v>
      </c>
      <c r="H315" s="195" t="s">
        <v>258</v>
      </c>
      <c r="I315" s="75"/>
      <c r="J315" s="75"/>
      <c r="K315" s="75"/>
      <c r="M315" s="75"/>
      <c r="N315" s="77"/>
    </row>
    <row r="316" ht="15.75" customHeight="1">
      <c r="A316" s="196"/>
      <c r="B316" s="196" t="s">
        <v>259</v>
      </c>
      <c r="C316" s="63" t="s">
        <v>260</v>
      </c>
      <c r="D316" s="197">
        <v>53240.0</v>
      </c>
      <c r="E316" s="198">
        <v>5324.0</v>
      </c>
      <c r="F316" s="199">
        <v>39930.0</v>
      </c>
      <c r="G316" s="197">
        <v>0.0</v>
      </c>
      <c r="H316" s="197">
        <v>0.0</v>
      </c>
      <c r="I316" s="197"/>
      <c r="J316" s="200"/>
      <c r="K316" s="200">
        <v>7986.0</v>
      </c>
      <c r="M316" s="75">
        <f t="shared" ref="M316:M328" si="54">SUM(E316:K316)</f>
        <v>53240</v>
      </c>
      <c r="N316" s="75"/>
    </row>
    <row r="317" ht="15.75" customHeight="1">
      <c r="A317" s="196"/>
      <c r="B317" s="196" t="s">
        <v>41</v>
      </c>
      <c r="C317" s="32" t="s">
        <v>42</v>
      </c>
      <c r="D317" s="201">
        <v>6101734.0</v>
      </c>
      <c r="F317" s="202">
        <v>233309.77</v>
      </c>
      <c r="G317" s="197">
        <v>582023.63</v>
      </c>
      <c r="H317" s="197">
        <v>2939030.91</v>
      </c>
      <c r="I317" s="197">
        <v>2347369.69</v>
      </c>
      <c r="J317" s="86"/>
      <c r="K317" s="86"/>
      <c r="M317" s="75">
        <f t="shared" si="54"/>
        <v>6101734</v>
      </c>
      <c r="N317" s="75">
        <f t="shared" ref="N317:N327" si="55">M317-D317</f>
        <v>0</v>
      </c>
    </row>
    <row r="318" ht="15.75" customHeight="1">
      <c r="A318" s="196"/>
      <c r="B318" s="196" t="s">
        <v>69</v>
      </c>
      <c r="C318" s="63" t="s">
        <v>70</v>
      </c>
      <c r="D318" s="201">
        <v>934407.9</v>
      </c>
      <c r="F318" s="202">
        <v>0.0</v>
      </c>
      <c r="G318" s="197">
        <v>488703.95</v>
      </c>
      <c r="H318" s="197">
        <v>89140.79</v>
      </c>
      <c r="I318" s="197">
        <v>356563.16</v>
      </c>
      <c r="J318" s="86"/>
      <c r="K318" s="86"/>
      <c r="M318" s="75">
        <f t="shared" si="54"/>
        <v>934407.9</v>
      </c>
      <c r="N318" s="75">
        <f t="shared" si="55"/>
        <v>-0.0000000001164153218</v>
      </c>
    </row>
    <row r="319" ht="15.75" customHeight="1">
      <c r="A319" s="203"/>
      <c r="B319" s="203" t="s">
        <v>261</v>
      </c>
      <c r="C319" s="63" t="s">
        <v>167</v>
      </c>
      <c r="D319" s="197">
        <v>6820025.39</v>
      </c>
      <c r="F319" s="197">
        <v>47193.26</v>
      </c>
      <c r="G319" s="197">
        <v>0.0</v>
      </c>
      <c r="H319" s="197">
        <v>5828456.78</v>
      </c>
      <c r="I319" s="197">
        <v>944375.35</v>
      </c>
      <c r="J319" s="86"/>
      <c r="K319" s="86"/>
      <c r="M319" s="75">
        <f t="shared" si="54"/>
        <v>6820025.39</v>
      </c>
      <c r="N319" s="75">
        <f t="shared" si="55"/>
        <v>0</v>
      </c>
    </row>
    <row r="320" ht="15.75" customHeight="1">
      <c r="A320" s="204"/>
      <c r="B320" s="204" t="s">
        <v>195</v>
      </c>
      <c r="C320" s="63" t="s">
        <v>196</v>
      </c>
      <c r="D320" s="201">
        <v>102841.0</v>
      </c>
      <c r="F320" s="205">
        <v>0.0</v>
      </c>
      <c r="G320" s="201">
        <v>71988.7</v>
      </c>
      <c r="H320" s="201">
        <v>30852.3</v>
      </c>
      <c r="I320" s="200"/>
      <c r="J320" s="86"/>
      <c r="K320" s="86"/>
      <c r="M320" s="75">
        <f t="shared" si="54"/>
        <v>102841</v>
      </c>
      <c r="N320" s="75">
        <f t="shared" si="55"/>
        <v>0</v>
      </c>
    </row>
    <row r="321" ht="15.75" customHeight="1">
      <c r="A321" s="204"/>
      <c r="B321" s="204" t="s">
        <v>197</v>
      </c>
      <c r="C321" s="206" t="s">
        <v>198</v>
      </c>
      <c r="D321" s="197">
        <v>1123904.27</v>
      </c>
      <c r="F321" s="207">
        <v>0.0</v>
      </c>
      <c r="G321" s="201">
        <v>422248.58</v>
      </c>
      <c r="H321" s="201">
        <v>701655.69</v>
      </c>
      <c r="I321" s="200"/>
      <c r="J321" s="86"/>
      <c r="K321" s="86"/>
      <c r="M321" s="75">
        <f t="shared" si="54"/>
        <v>1123904.27</v>
      </c>
      <c r="N321" s="75">
        <f t="shared" si="55"/>
        <v>0</v>
      </c>
    </row>
    <row r="322" ht="15.75" customHeight="1">
      <c r="A322" s="208"/>
      <c r="B322" s="208" t="s">
        <v>262</v>
      </c>
      <c r="C322" s="206" t="s">
        <v>200</v>
      </c>
      <c r="D322" s="197">
        <v>3682855.48</v>
      </c>
      <c r="F322" s="197">
        <v>146924.69</v>
      </c>
      <c r="G322" s="197">
        <v>1021735.27</v>
      </c>
      <c r="H322" s="201">
        <v>2514195.52</v>
      </c>
      <c r="I322" s="200"/>
      <c r="J322" s="86"/>
      <c r="K322" s="86"/>
      <c r="M322" s="75">
        <f t="shared" si="54"/>
        <v>3682855.48</v>
      </c>
      <c r="N322" s="75">
        <f t="shared" si="55"/>
        <v>0</v>
      </c>
    </row>
    <row r="323" ht="15.75" customHeight="1">
      <c r="A323" s="204"/>
      <c r="B323" s="204" t="s">
        <v>202</v>
      </c>
      <c r="C323" s="206" t="s">
        <v>203</v>
      </c>
      <c r="D323" s="197">
        <v>737000.0</v>
      </c>
      <c r="F323" s="197">
        <v>0.0</v>
      </c>
      <c r="G323" s="201">
        <v>562000.0</v>
      </c>
      <c r="H323" s="201">
        <v>175000.0</v>
      </c>
      <c r="I323" s="200"/>
      <c r="J323" s="86"/>
      <c r="K323" s="86"/>
      <c r="M323" s="75">
        <f t="shared" si="54"/>
        <v>737000</v>
      </c>
      <c r="N323" s="75">
        <f t="shared" si="55"/>
        <v>0</v>
      </c>
    </row>
    <row r="324" ht="15.75" customHeight="1">
      <c r="A324" s="204"/>
      <c r="B324" s="204" t="s">
        <v>205</v>
      </c>
      <c r="C324" s="206" t="s">
        <v>206</v>
      </c>
      <c r="D324" s="201">
        <v>332420.5</v>
      </c>
      <c r="F324" s="197">
        <v>0.0</v>
      </c>
      <c r="G324" s="197">
        <v>150000.0</v>
      </c>
      <c r="H324" s="201">
        <v>182420.5</v>
      </c>
      <c r="I324" s="200"/>
      <c r="J324" s="86"/>
      <c r="K324" s="86"/>
      <c r="M324" s="75">
        <f t="shared" si="54"/>
        <v>332420.5</v>
      </c>
      <c r="N324" s="75">
        <f t="shared" si="55"/>
        <v>0</v>
      </c>
    </row>
    <row r="325" ht="15.75" customHeight="1">
      <c r="A325" s="204"/>
      <c r="B325" s="204" t="s">
        <v>207</v>
      </c>
      <c r="C325" s="206" t="s">
        <v>208</v>
      </c>
      <c r="D325" s="201">
        <v>180000.0</v>
      </c>
      <c r="F325" s="201">
        <v>90000.0</v>
      </c>
      <c r="G325" s="201">
        <v>0.0</v>
      </c>
      <c r="H325" s="201">
        <v>90000.0</v>
      </c>
      <c r="I325" s="200"/>
      <c r="J325" s="86"/>
      <c r="K325" s="86"/>
      <c r="M325" s="75">
        <f t="shared" si="54"/>
        <v>180000</v>
      </c>
      <c r="N325" s="75">
        <f t="shared" si="55"/>
        <v>0</v>
      </c>
    </row>
    <row r="326" ht="15.75" customHeight="1">
      <c r="A326" s="204"/>
      <c r="B326" s="204" t="s">
        <v>210</v>
      </c>
      <c r="C326" s="206" t="s">
        <v>211</v>
      </c>
      <c r="D326" s="201">
        <v>152420.5</v>
      </c>
      <c r="F326" s="197">
        <v>27000.0</v>
      </c>
      <c r="G326" s="86">
        <v>87000.0</v>
      </c>
      <c r="H326" s="197">
        <v>38420.5</v>
      </c>
      <c r="I326" s="200"/>
      <c r="J326" s="86"/>
      <c r="K326" s="86"/>
      <c r="M326" s="75">
        <f t="shared" si="54"/>
        <v>152420.5</v>
      </c>
      <c r="N326" s="75">
        <f t="shared" si="55"/>
        <v>0</v>
      </c>
    </row>
    <row r="327" ht="15.75" customHeight="1">
      <c r="A327" s="204"/>
      <c r="B327" s="204" t="s">
        <v>263</v>
      </c>
      <c r="C327" s="206" t="s">
        <v>264</v>
      </c>
      <c r="D327" s="201">
        <v>426206.0</v>
      </c>
      <c r="F327" s="201">
        <v>140370.79</v>
      </c>
      <c r="G327" s="201">
        <v>0.0</v>
      </c>
      <c r="H327" s="201">
        <v>143231.91</v>
      </c>
      <c r="I327" s="201">
        <v>142603.3</v>
      </c>
      <c r="J327" s="86"/>
      <c r="K327" s="86"/>
      <c r="M327" s="75">
        <f t="shared" si="54"/>
        <v>426206</v>
      </c>
      <c r="N327" s="75">
        <f t="shared" si="55"/>
        <v>0</v>
      </c>
    </row>
    <row r="328" ht="15.75" customHeight="1">
      <c r="A328" s="204"/>
      <c r="B328" s="204"/>
      <c r="C328" s="32" t="s">
        <v>265</v>
      </c>
      <c r="D328" s="197">
        <v>1050000.0</v>
      </c>
      <c r="F328" s="201"/>
      <c r="G328" s="201"/>
      <c r="H328" s="197">
        <v>350000.0</v>
      </c>
      <c r="I328" s="197">
        <v>350000.0</v>
      </c>
      <c r="J328" s="200">
        <v>350000.0</v>
      </c>
      <c r="K328" s="86"/>
      <c r="M328" s="75">
        <f t="shared" si="54"/>
        <v>1050000</v>
      </c>
      <c r="N328" s="75"/>
    </row>
    <row r="329" ht="15.75" customHeight="1">
      <c r="A329" s="96"/>
      <c r="B329" s="96"/>
      <c r="C329" s="77"/>
      <c r="D329" s="93"/>
      <c r="E329" s="75"/>
      <c r="F329" s="75"/>
      <c r="G329" s="75"/>
      <c r="H329" s="75"/>
      <c r="I329" s="75"/>
      <c r="J329" s="75"/>
      <c r="K329" s="75"/>
      <c r="L329" s="77"/>
      <c r="M329" s="77"/>
      <c r="N329" s="77"/>
    </row>
    <row r="330" ht="15.75" customHeight="1">
      <c r="A330" s="32"/>
      <c r="B330" s="32"/>
      <c r="C330" s="8"/>
      <c r="D330" s="9"/>
      <c r="E330" s="25"/>
      <c r="F330" s="22"/>
      <c r="G330" s="22"/>
      <c r="H330" s="209"/>
      <c r="I330" s="209"/>
      <c r="J330" s="210"/>
      <c r="K330" s="210"/>
      <c r="L330" s="3"/>
      <c r="M330" s="3"/>
      <c r="N330" s="3"/>
    </row>
  </sheetData>
  <autoFilter ref="$A$5:$N$311"/>
  <mergeCells count="3">
    <mergeCell ref="B2:J2"/>
    <mergeCell ref="E313:K313"/>
    <mergeCell ref="G314:H314"/>
  </mergeCells>
  <printOptions gridLines="1"/>
  <pageMargins bottom="0.75" footer="0.0" header="0.0" left="0.7" right="0.7" top="0.75"/>
  <pageSetup fitToHeight="0" paperSize="9" orientation="landscape"/>
  <headerFooter>
    <oddHeader>&amp;L&amp;F</oddHeader>
    <oddFooter>&amp;R</oddFooter>
  </headerFooter>
  <drawing r:id="rId4"/>
  <legacyDrawing r:id="rId5"/>
</worksheet>
</file>