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RTIZACIONES" sheetId="1" r:id="rId5"/>
  </sheets>
  <definedNames/>
  <calcPr/>
</workbook>
</file>

<file path=xl/sharedStrings.xml><?xml version="1.0" encoding="utf-8"?>
<sst xmlns="http://schemas.openxmlformats.org/spreadsheetml/2006/main" count="47" uniqueCount="45">
  <si>
    <t>ANEXO DE DEUDA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</si>
  <si>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</si>
  <si>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</si>
  <si>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</si>
  <si>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</si>
  <si>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</si>
  <si>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</si>
  <si>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</si>
  <si>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</si>
  <si>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</si>
  <si>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</si>
  <si>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</si>
  <si>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</si>
  <si>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</si>
  <si>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</si>
  <si>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</si>
  <si>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</si>
  <si>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</si>
  <si>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 xml:space="preserve">             PRÉSTAMOS A LARGO PLAZO EN VIGOR A 01/01/2025</t>
  </si>
  <si>
    <t>FECHA</t>
  </si>
  <si>
    <t>ENTIDAD</t>
  </si>
  <si>
    <t>IMPORTE</t>
  </si>
  <si>
    <t>PRIMERA AMORTIZ.</t>
  </si>
  <si>
    <t>ULTIMA AMORTIZ.</t>
  </si>
  <si>
    <t>TIPO DE INTERÉS</t>
  </si>
  <si>
    <t>AMORT.</t>
  </si>
  <si>
    <t>DEUDA VIVA 01/01/2023</t>
  </si>
  <si>
    <t xml:space="preserve">AMORTIZ. 2023 </t>
  </si>
  <si>
    <t>DEUDA VIVA 31/12/2023</t>
  </si>
  <si>
    <t>DEUDA VIVA 01/01/2024</t>
  </si>
  <si>
    <t>AMORTIZ. 2024</t>
  </si>
  <si>
    <t>DEUDA VIVA 31/12/2024</t>
  </si>
  <si>
    <t>DEUDA VIVA 01/01/2025</t>
  </si>
  <si>
    <t>AMORTIZ. 2025</t>
  </si>
  <si>
    <t>DEUDA VIVA 31/12/2025</t>
  </si>
  <si>
    <t>BANKIA</t>
  </si>
  <si>
    <t>EURIBOR TRIM. +0,600%</t>
  </si>
  <si>
    <t>CTE. TRIM.</t>
  </si>
  <si>
    <t>UNICAJA BANCO</t>
  </si>
  <si>
    <t>EURIBOR TRIM. +0,350%</t>
  </si>
  <si>
    <t>CAJA LABORAL</t>
  </si>
  <si>
    <t>EURIBOR ANUAL + 0,26%</t>
  </si>
  <si>
    <t>CTE. ANUAL</t>
  </si>
  <si>
    <t>******</t>
  </si>
  <si>
    <t>EURIBOR ANUAL + 0,5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</si>
</sst>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#,##0.00\ &quot;€&quot;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sz val="6.0"/>
      <color theme="1"/>
      <name val="Arial"/>
    </font>
    <font>
      <b/>
      <sz val="6.0"/>
      <color theme="1"/>
      <name val="Arial"/>
    </font>
    <font>
      <sz val="7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1" numFmtId="3" xfId="0" applyFont="1" applyNumberFormat="1"/>
    <xf borderId="0" fillId="0" fontId="1" numFmtId="3" xfId="0" applyFont="1" applyNumberFormat="1"/>
    <xf borderId="0" fillId="0" fontId="2" numFmtId="0" xfId="0" applyAlignment="1" applyFont="1">
      <alignment horizontal="center"/>
    </xf>
    <xf borderId="0" fillId="0" fontId="1" numFmtId="4" xfId="0" applyFont="1" applyNumberFormat="1"/>
    <xf borderId="0" fillId="0" fontId="4" numFmtId="0" xfId="0" applyFont="1"/>
    <xf borderId="0" fillId="0" fontId="5" numFmtId="0" xfId="0" applyFont="1"/>
    <xf borderId="0" fillId="0" fontId="5" numFmtId="3" xfId="0" applyFont="1" applyNumberFormat="1"/>
    <xf borderId="4" fillId="0" fontId="1" numFmtId="3" xfId="0" applyBorder="1" applyFont="1" applyNumberFormat="1"/>
    <xf borderId="5" fillId="0" fontId="1" numFmtId="3" xfId="0" applyBorder="1" applyFont="1" applyNumberFormat="1"/>
    <xf borderId="5" fillId="0" fontId="1" numFmtId="4" xfId="0" applyBorder="1" applyFont="1" applyNumberFormat="1"/>
    <xf borderId="6" fillId="0" fontId="1" numFmtId="4" xfId="0" applyBorder="1" applyFont="1" applyNumberFormat="1"/>
    <xf borderId="5" fillId="0" fontId="5" numFmtId="0" xfId="0" applyBorder="1" applyFont="1"/>
    <xf borderId="6" fillId="0" fontId="5" numFmtId="0" xfId="0" applyBorder="1" applyFont="1"/>
    <xf borderId="4" fillId="0" fontId="5" numFmtId="0" xfId="0" applyBorder="1" applyFont="1"/>
    <xf borderId="7" fillId="0" fontId="5" numFmtId="3" xfId="0" applyBorder="1" applyFont="1" applyNumberFormat="1"/>
    <xf borderId="0" fillId="0" fontId="5" numFmtId="0" xfId="0" applyFont="1"/>
    <xf borderId="0" fillId="0" fontId="5" numFmtId="3" xfId="0" applyFont="1" applyNumberFormat="1"/>
    <xf borderId="0" fillId="0" fontId="2" numFmtId="3" xfId="0" applyAlignment="1" applyFont="1" applyNumberFormat="1">
      <alignment horizontal="center"/>
    </xf>
    <xf borderId="0" fillId="0" fontId="6" numFmtId="0" xfId="0" applyFont="1"/>
    <xf borderId="8" fillId="0" fontId="5" numFmtId="4" xfId="0" applyBorder="1" applyFont="1" applyNumberFormat="1"/>
    <xf borderId="8" fillId="0" fontId="5" numFmtId="0" xfId="0" applyBorder="1" applyFont="1"/>
    <xf borderId="7" fillId="0" fontId="5" numFmtId="0" xfId="0" applyBorder="1" applyFont="1"/>
    <xf borderId="0" fillId="0" fontId="5" numFmtId="4" xfId="0" applyFont="1" applyNumberFormat="1"/>
    <xf borderId="0" fillId="0" fontId="7" numFmtId="0" xfId="0" applyFont="1"/>
    <xf borderId="0" fillId="0" fontId="7" numFmtId="0" xfId="0" applyFont="1"/>
    <xf borderId="8" fillId="0" fontId="7" numFmtId="0" xfId="0" applyBorder="1" applyFont="1"/>
    <xf borderId="7" fillId="0" fontId="7" numFmtId="0" xfId="0" applyBorder="1" applyFont="1"/>
    <xf borderId="9" fillId="0" fontId="8" numFmtId="3" xfId="0" applyAlignment="1" applyBorder="1" applyFont="1" applyNumberFormat="1">
      <alignment horizontal="center" vertical="center"/>
    </xf>
    <xf borderId="10" fillId="0" fontId="8" numFmtId="3" xfId="0" applyAlignment="1" applyBorder="1" applyFont="1" applyNumberFormat="1">
      <alignment horizontal="center" vertical="center"/>
    </xf>
    <xf borderId="10" fillId="0" fontId="8" numFmtId="3" xfId="0" applyAlignment="1" applyBorder="1" applyFont="1" applyNumberFormat="1">
      <alignment horizontal="center" shrinkToFit="0" vertical="center" wrapText="1"/>
    </xf>
    <xf borderId="10" fillId="0" fontId="8" numFmtId="4" xfId="0" applyAlignment="1" applyBorder="1" applyFont="1" applyNumberFormat="1">
      <alignment horizontal="center" vertical="center"/>
    </xf>
    <xf borderId="11" fillId="0" fontId="8" numFmtId="3" xfId="0" applyAlignment="1" applyBorder="1" applyFont="1" applyNumberFormat="1">
      <alignment horizontal="center" shrinkToFit="0" vertical="center" wrapText="1"/>
    </xf>
    <xf borderId="9" fillId="0" fontId="8" numFmtId="3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right"/>
    </xf>
    <xf borderId="12" fillId="0" fontId="5" numFmtId="164" xfId="0" applyAlignment="1" applyBorder="1" applyFont="1" applyNumberFormat="1">
      <alignment horizontal="center"/>
    </xf>
    <xf borderId="13" fillId="0" fontId="9" numFmtId="3" xfId="0" applyAlignment="1" applyBorder="1" applyFont="1" applyNumberFormat="1">
      <alignment horizontal="center" vertical="center"/>
    </xf>
    <xf borderId="14" fillId="0" fontId="5" numFmtId="3" xfId="0" applyAlignment="1" applyBorder="1" applyFont="1" applyNumberFormat="1">
      <alignment horizontal="center"/>
    </xf>
    <xf borderId="13" fillId="0" fontId="5" numFmtId="3" xfId="0" applyAlignment="1" applyBorder="1" applyFont="1" applyNumberFormat="1">
      <alignment horizontal="center" shrinkToFit="0" wrapText="1"/>
    </xf>
    <xf borderId="14" fillId="0" fontId="5" numFmtId="164" xfId="0" applyAlignment="1" applyBorder="1" applyFont="1" applyNumberFormat="1">
      <alignment horizontal="center"/>
    </xf>
    <xf borderId="13" fillId="0" fontId="5" numFmtId="0" xfId="0" applyAlignment="1" applyBorder="1" applyFont="1">
      <alignment horizontal="left"/>
    </xf>
    <xf borderId="14" fillId="0" fontId="5" numFmtId="0" xfId="0" applyAlignment="1" applyBorder="1" applyFont="1">
      <alignment horizontal="center"/>
    </xf>
    <xf borderId="13" fillId="0" fontId="5" numFmtId="4" xfId="0" applyAlignment="1" applyBorder="1" applyFont="1" applyNumberFormat="1">
      <alignment horizontal="center"/>
    </xf>
    <xf borderId="13" fillId="0" fontId="5" numFmtId="4" xfId="0" applyBorder="1" applyFont="1" applyNumberFormat="1"/>
    <xf borderId="15" fillId="0" fontId="5" numFmtId="4" xfId="0" applyBorder="1" applyFont="1" applyNumberFormat="1"/>
    <xf borderId="16" fillId="0" fontId="5" numFmtId="3" xfId="0" applyAlignment="1" applyBorder="1" applyFont="1" applyNumberFormat="1">
      <alignment horizontal="center"/>
    </xf>
    <xf borderId="17" fillId="0" fontId="5" numFmtId="164" xfId="0" applyAlignment="1" applyBorder="1" applyFont="1" applyNumberFormat="1">
      <alignment horizontal="center"/>
    </xf>
    <xf borderId="18" fillId="0" fontId="9" numFmtId="0" xfId="0" applyAlignment="1" applyBorder="1" applyFont="1">
      <alignment horizontal="center" vertical="center"/>
    </xf>
    <xf borderId="0" fillId="0" fontId="5" numFmtId="4" xfId="0" applyAlignment="1" applyFont="1" applyNumberFormat="1">
      <alignment horizontal="center"/>
    </xf>
    <xf borderId="18" fillId="0" fontId="5" numFmtId="164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18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8" fillId="0" fontId="5" numFmtId="4" xfId="0" applyAlignment="1" applyBorder="1" applyFont="1" applyNumberFormat="1">
      <alignment horizontal="center"/>
    </xf>
    <xf borderId="8" fillId="0" fontId="5" numFmtId="4" xfId="0" applyAlignment="1" applyBorder="1" applyFont="1" applyNumberFormat="1">
      <alignment horizontal="center"/>
    </xf>
    <xf borderId="7" fillId="0" fontId="5" numFmtId="4" xfId="0" applyAlignment="1" applyBorder="1" applyFont="1" applyNumberForma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8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quotePrefix="1" borderId="18" fillId="0" fontId="9" numFmtId="0" xfId="0" applyAlignment="1" applyBorder="1" applyFont="1">
      <alignment horizontal="center" vertical="center"/>
    </xf>
    <xf quotePrefix="1" borderId="18" fillId="0" fontId="9" numFmtId="0" xfId="0" applyAlignment="1" applyBorder="1" applyFont="1">
      <alignment horizontal="center"/>
    </xf>
    <xf borderId="17" fillId="0" fontId="5" numFmtId="165" xfId="0" applyAlignment="1" applyBorder="1" applyFont="1" applyNumberFormat="1">
      <alignment horizontal="center"/>
    </xf>
    <xf borderId="18" fillId="0" fontId="5" numFmtId="165" xfId="0" applyAlignment="1" applyBorder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18" fillId="0" fontId="9" numFmtId="0" xfId="0" applyAlignment="1" applyBorder="1" applyFont="1">
      <alignment horizontal="center" readingOrder="0"/>
    </xf>
    <xf borderId="7" fillId="0" fontId="5" numFmtId="166" xfId="0" applyAlignment="1" applyBorder="1" applyFont="1" applyNumberFormat="1">
      <alignment horizontal="center"/>
    </xf>
    <xf borderId="8" fillId="0" fontId="5" numFmtId="166" xfId="0" applyAlignment="1" applyBorder="1" applyFont="1" applyNumberFormat="1">
      <alignment horizontal="center"/>
    </xf>
    <xf borderId="19" fillId="0" fontId="5" numFmtId="3" xfId="0" applyBorder="1" applyFont="1" applyNumberFormat="1"/>
    <xf borderId="20" fillId="0" fontId="5" numFmtId="3" xfId="0" applyBorder="1" applyFont="1" applyNumberFormat="1"/>
    <xf borderId="21" fillId="0" fontId="6" numFmtId="4" xfId="0" applyAlignment="1" applyBorder="1" applyFont="1" applyNumberFormat="1">
      <alignment horizontal="center"/>
    </xf>
    <xf borderId="20" fillId="0" fontId="6" numFmtId="3" xfId="0" applyAlignment="1" applyBorder="1" applyFont="1" applyNumberFormat="1">
      <alignment horizontal="center"/>
    </xf>
    <xf borderId="20" fillId="0" fontId="5" numFmtId="0" xfId="0" applyBorder="1" applyFont="1"/>
    <xf borderId="20" fillId="0" fontId="6" numFmtId="4" xfId="0" applyAlignment="1" applyBorder="1" applyFont="1" applyNumberFormat="1">
      <alignment horizontal="center"/>
    </xf>
    <xf borderId="22" fillId="0" fontId="6" numFmtId="4" xfId="0" applyAlignment="1" applyBorder="1" applyFont="1" applyNumberFormat="1">
      <alignment horizontal="center"/>
    </xf>
    <xf borderId="19" fillId="0" fontId="6" numFmtId="4" xfId="0" applyAlignment="1" applyBorder="1" applyFont="1" applyNumberFormat="1">
      <alignment horizontal="center"/>
    </xf>
    <xf borderId="0" fillId="0" fontId="6" numFmtId="4" xfId="0" applyFont="1" applyNumberFormat="1"/>
    <xf borderId="0" fillId="0" fontId="6" numFmtId="3" xfId="0" applyFont="1" applyNumberForma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5" fillId="0" fontId="1" numFmtId="4" xfId="0" applyBorder="1" applyFont="1" applyNumberFormat="1"/>
    <xf borderId="26" fillId="0" fontId="1" numFmtId="4" xfId="0" applyBorder="1" applyFont="1" applyNumberFormat="1"/>
    <xf borderId="26" fillId="0" fontId="1" numFmtId="0" xfId="0" applyBorder="1" applyFont="1"/>
    <xf borderId="27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AMORTIZACION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9:S28" displayName="Table_1" name="Table_1" id="1">
  <tableColumns count="17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  <tableColumn name="Columna10" id="10"/>
    <tableColumn name="Columna11" id="11"/>
    <tableColumn name="Columna12" id="12"/>
    <tableColumn name="Columna13" id="13"/>
    <tableColumn name="Columna14" id="14"/>
    <tableColumn name="Columna15" id="15"/>
    <tableColumn name="Columna16" id="16"/>
    <tableColumn name="Columna17" id="17"/>
  </tableColumns>
  <tableStyleInfo name="AMORTIZ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4.0"/>
    <col customWidth="1" min="2" max="2" width="4.88"/>
    <col customWidth="1" min="3" max="3" width="11.0"/>
    <col customWidth="1" min="4" max="4" width="11.38"/>
    <col customWidth="1" min="5" max="5" width="12.0"/>
    <col customWidth="1" min="6" max="7" width="11.63"/>
    <col customWidth="1" min="8" max="8" width="15.88"/>
    <col customWidth="1" min="9" max="10" width="11.0"/>
    <col customWidth="1" min="11" max="11" width="10.0"/>
    <col customWidth="1" min="12" max="12" width="10.38"/>
    <col customWidth="1" min="13" max="16" width="10.25"/>
    <col customWidth="1" min="17" max="18" width="10.63"/>
    <col customWidth="1" min="19" max="19" width="13.25"/>
    <col customWidth="1" min="20" max="20" width="10.63"/>
  </cols>
  <sheetData>
    <row r="1" ht="12.75" customHeight="1">
      <c r="J1" s="1"/>
      <c r="M1" s="1"/>
    </row>
    <row r="2" ht="12.75" customHeight="1">
      <c r="J2" s="1"/>
      <c r="M2" s="1"/>
    </row>
    <row r="3" ht="12.75" customHeight="1">
      <c r="J3" s="1"/>
      <c r="M3" s="1"/>
    </row>
    <row r="4" ht="12.75" customHeight="1">
      <c r="J4" s="1"/>
      <c r="M4" s="1"/>
    </row>
    <row r="5" ht="12.75" customHeight="1">
      <c r="G5" s="2" t="s">
        <v>0</v>
      </c>
      <c r="H5" s="3"/>
      <c r="I5" s="4"/>
      <c r="J5" s="1"/>
      <c r="M5" s="1"/>
    </row>
    <row r="6" ht="12.75" customHeight="1">
      <c r="J6" s="1"/>
      <c r="M6" s="1"/>
    </row>
    <row r="7" ht="12.75" customHeight="1">
      <c r="J7" s="1"/>
      <c r="M7" s="1"/>
    </row>
    <row r="8" ht="12.75" hidden="1" customHeight="1">
      <c r="B8" s="5"/>
      <c r="C8" s="5"/>
      <c r="D8" s="5"/>
      <c r="E8" s="5"/>
      <c r="F8" s="5"/>
      <c r="G8" s="5"/>
      <c r="H8" s="5"/>
      <c r="I8" s="5"/>
      <c r="J8" s="1"/>
      <c r="K8" s="5"/>
      <c r="L8" s="5"/>
      <c r="M8" s="1"/>
    </row>
    <row r="9" ht="12.75" hidden="1" customHeight="1">
      <c r="B9" s="5"/>
      <c r="C9" s="6" t="s">
        <v>1</v>
      </c>
      <c r="D9" s="6" t="s">
        <v>2</v>
      </c>
      <c r="E9" s="6" t="s">
        <v>3</v>
      </c>
      <c r="F9" s="7" t="s">
        <v>4</v>
      </c>
      <c r="G9" s="7" t="s">
        <v>5</v>
      </c>
      <c r="H9" s="7" t="s">
        <v>6</v>
      </c>
      <c r="I9" s="6" t="s">
        <v>7</v>
      </c>
      <c r="J9" s="8" t="s">
        <v>8</v>
      </c>
      <c r="K9" s="6" t="s">
        <v>9</v>
      </c>
      <c r="L9" s="6" t="s">
        <v>10</v>
      </c>
      <c r="M9" s="8" t="s">
        <v>11</v>
      </c>
      <c r="N9" s="6" t="s">
        <v>12</v>
      </c>
      <c r="O9" s="6" t="s">
        <v>13</v>
      </c>
      <c r="P9" s="6" t="s">
        <v>14</v>
      </c>
      <c r="Q9" s="9" t="s">
        <v>15</v>
      </c>
      <c r="R9" s="9" t="s">
        <v>16</v>
      </c>
      <c r="S9" s="9" t="s">
        <v>17</v>
      </c>
    </row>
    <row r="10" ht="12.75" customHeight="1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3"/>
      <c r="L10" s="13"/>
      <c r="M10" s="15"/>
      <c r="N10" s="16"/>
      <c r="O10" s="16"/>
      <c r="P10" s="17"/>
      <c r="Q10" s="18"/>
      <c r="R10" s="16"/>
      <c r="S10" s="17"/>
      <c r="T10" s="10"/>
    </row>
    <row r="11" ht="12.75" customHeight="1">
      <c r="A11" s="10"/>
      <c r="B11" s="11"/>
      <c r="C11" s="19"/>
      <c r="D11" s="20"/>
      <c r="E11" s="21"/>
      <c r="F11" s="20"/>
      <c r="G11" s="21"/>
      <c r="H11" s="22" t="s">
        <v>18</v>
      </c>
      <c r="I11" s="21"/>
      <c r="J11" s="23"/>
      <c r="K11" s="21"/>
      <c r="L11" s="21"/>
      <c r="M11" s="24"/>
      <c r="N11" s="20"/>
      <c r="O11" s="20"/>
      <c r="P11" s="25"/>
      <c r="Q11" s="26"/>
      <c r="R11" s="20"/>
      <c r="S11" s="25"/>
      <c r="T11" s="10"/>
    </row>
    <row r="12" ht="12.0" customHeight="1">
      <c r="A12" s="10"/>
      <c r="B12" s="11"/>
      <c r="C12" s="19"/>
      <c r="D12" s="21"/>
      <c r="E12" s="21"/>
      <c r="F12" s="21"/>
      <c r="G12" s="21"/>
      <c r="H12" s="21"/>
      <c r="I12" s="21"/>
      <c r="J12" s="27"/>
      <c r="K12" s="21"/>
      <c r="L12" s="21"/>
      <c r="M12" s="24"/>
      <c r="N12" s="20"/>
      <c r="O12" s="20"/>
      <c r="P12" s="25"/>
      <c r="Q12" s="26"/>
      <c r="R12" s="20"/>
      <c r="S12" s="25"/>
      <c r="T12" s="10"/>
    </row>
    <row r="13" ht="12.75" customHeight="1">
      <c r="A13" s="10"/>
      <c r="B13" s="11"/>
      <c r="C13" s="19"/>
      <c r="D13" s="21"/>
      <c r="E13" s="21"/>
      <c r="F13" s="21"/>
      <c r="G13" s="21"/>
      <c r="H13" s="21"/>
      <c r="I13" s="21"/>
      <c r="J13" s="27"/>
      <c r="K13" s="21"/>
      <c r="L13" s="21"/>
      <c r="M13" s="24"/>
      <c r="N13" s="20"/>
      <c r="O13" s="20"/>
      <c r="P13" s="25"/>
      <c r="Q13" s="26"/>
      <c r="R13" s="20"/>
      <c r="S13" s="25"/>
      <c r="T13" s="10"/>
    </row>
    <row r="14" ht="11.25" customHeight="1">
      <c r="A14" s="28"/>
      <c r="B14" s="28"/>
      <c r="C14" s="19"/>
      <c r="D14" s="21"/>
      <c r="E14" s="21"/>
      <c r="F14" s="21"/>
      <c r="G14" s="21"/>
      <c r="H14" s="21"/>
      <c r="I14" s="21"/>
      <c r="J14" s="27"/>
      <c r="K14" s="21"/>
      <c r="L14" s="21"/>
      <c r="M14" s="24"/>
      <c r="N14" s="29"/>
      <c r="O14" s="29"/>
      <c r="P14" s="30"/>
      <c r="Q14" s="31"/>
      <c r="R14" s="29"/>
      <c r="S14" s="30"/>
      <c r="T14" s="28"/>
    </row>
    <row r="15" ht="23.25" customHeight="1">
      <c r="A15" s="28"/>
      <c r="B15" s="28"/>
      <c r="C15" s="32" t="s">
        <v>19</v>
      </c>
      <c r="D15" s="33" t="s">
        <v>20</v>
      </c>
      <c r="E15" s="33" t="s">
        <v>21</v>
      </c>
      <c r="F15" s="34" t="s">
        <v>22</v>
      </c>
      <c r="G15" s="34" t="s">
        <v>23</v>
      </c>
      <c r="H15" s="33" t="s">
        <v>24</v>
      </c>
      <c r="I15" s="33" t="s">
        <v>25</v>
      </c>
      <c r="J15" s="35" t="s">
        <v>21</v>
      </c>
      <c r="K15" s="34" t="s">
        <v>26</v>
      </c>
      <c r="L15" s="34" t="s">
        <v>27</v>
      </c>
      <c r="M15" s="36" t="s">
        <v>28</v>
      </c>
      <c r="N15" s="34" t="s">
        <v>29</v>
      </c>
      <c r="O15" s="34" t="s">
        <v>30</v>
      </c>
      <c r="P15" s="36" t="s">
        <v>31</v>
      </c>
      <c r="Q15" s="37" t="s">
        <v>32</v>
      </c>
      <c r="R15" s="34" t="s">
        <v>33</v>
      </c>
      <c r="S15" s="36" t="s">
        <v>34</v>
      </c>
      <c r="T15" s="28"/>
    </row>
    <row r="16" ht="12.75" customHeight="1">
      <c r="A16" s="10"/>
      <c r="B16" s="38"/>
      <c r="C16" s="39"/>
      <c r="D16" s="40"/>
      <c r="E16" s="41"/>
      <c r="F16" s="42"/>
      <c r="G16" s="43"/>
      <c r="H16" s="44"/>
      <c r="I16" s="45"/>
      <c r="J16" s="46"/>
      <c r="K16" s="41"/>
      <c r="L16" s="47"/>
      <c r="M16" s="48"/>
      <c r="N16" s="41"/>
      <c r="O16" s="47"/>
      <c r="P16" s="48"/>
      <c r="Q16" s="49"/>
      <c r="R16" s="47"/>
      <c r="S16" s="48"/>
      <c r="T16" s="10"/>
    </row>
    <row r="17" ht="12.75" customHeight="1">
      <c r="A17" s="10"/>
      <c r="B17" s="38"/>
      <c r="C17" s="50">
        <v>43066.0</v>
      </c>
      <c r="D17" s="51" t="s">
        <v>35</v>
      </c>
      <c r="E17" s="52">
        <v>362528.65</v>
      </c>
      <c r="F17" s="53">
        <v>43100.0</v>
      </c>
      <c r="G17" s="54">
        <v>46660.0</v>
      </c>
      <c r="H17" s="55" t="s">
        <v>36</v>
      </c>
      <c r="I17" s="56" t="s">
        <v>37</v>
      </c>
      <c r="J17" s="57">
        <v>9063.21</v>
      </c>
      <c r="K17" s="52">
        <f>208453.95-36252.84</f>
        <v>172201.11</v>
      </c>
      <c r="L17" s="57">
        <f>J17*4</f>
        <v>36252.84</v>
      </c>
      <c r="M17" s="58">
        <f>K17-L17</f>
        <v>135948.27</v>
      </c>
      <c r="N17" s="52">
        <f>M17</f>
        <v>135948.27</v>
      </c>
      <c r="O17" s="57">
        <f>AMORTIZACIONES!$J17*4</f>
        <v>36252.84</v>
      </c>
      <c r="P17" s="58">
        <f>N17-O17</f>
        <v>99695.43</v>
      </c>
      <c r="Q17" s="59">
        <f>P17</f>
        <v>99695.43</v>
      </c>
      <c r="R17" s="57">
        <f>AMORTIZACIONES!$J17*4</f>
        <v>36252.84</v>
      </c>
      <c r="S17" s="58">
        <f>Q17-R17</f>
        <v>63442.59</v>
      </c>
      <c r="T17" s="10"/>
    </row>
    <row r="18" ht="12.75" customHeight="1">
      <c r="A18" s="10"/>
      <c r="B18" s="38"/>
      <c r="C18" s="60"/>
      <c r="D18" s="51"/>
      <c r="E18" s="52"/>
      <c r="F18" s="61"/>
      <c r="G18" s="62"/>
      <c r="H18" s="55"/>
      <c r="I18" s="56"/>
      <c r="J18" s="57"/>
      <c r="K18" s="52"/>
      <c r="L18" s="57"/>
      <c r="M18" s="63"/>
      <c r="N18" s="52"/>
      <c r="O18" s="57"/>
      <c r="P18" s="63"/>
      <c r="Q18" s="59"/>
      <c r="R18" s="57"/>
      <c r="S18" s="63"/>
      <c r="T18" s="10"/>
    </row>
    <row r="19" ht="12.75" customHeight="1">
      <c r="A19" s="10"/>
      <c r="B19" s="38"/>
      <c r="C19" s="50">
        <v>43455.0</v>
      </c>
      <c r="D19" s="51" t="s">
        <v>38</v>
      </c>
      <c r="E19" s="52">
        <v>2051624.51</v>
      </c>
      <c r="F19" s="53">
        <v>43555.0</v>
      </c>
      <c r="G19" s="54">
        <v>47118.0</v>
      </c>
      <c r="H19" s="55" t="s">
        <v>39</v>
      </c>
      <c r="I19" s="56" t="s">
        <v>37</v>
      </c>
      <c r="J19" s="57">
        <v>51290.61</v>
      </c>
      <c r="K19" s="52">
        <f>1436137.15-(51290.61*4)</f>
        <v>1230974.71</v>
      </c>
      <c r="L19" s="57">
        <f>J19*4</f>
        <v>205162.44</v>
      </c>
      <c r="M19" s="58">
        <f>K19-L19</f>
        <v>1025812.27</v>
      </c>
      <c r="N19" s="52">
        <f>M19</f>
        <v>1025812.27</v>
      </c>
      <c r="O19" s="57">
        <f>AMORTIZACIONES!$J19*4</f>
        <v>205162.44</v>
      </c>
      <c r="P19" s="58">
        <f>N19-O19</f>
        <v>820649.83</v>
      </c>
      <c r="Q19" s="59">
        <f>P19</f>
        <v>820649.83</v>
      </c>
      <c r="R19" s="57">
        <f>AMORTIZACIONES!$J19*4</f>
        <v>205162.44</v>
      </c>
      <c r="S19" s="58">
        <f>Q19-R19</f>
        <v>615487.39</v>
      </c>
      <c r="T19" s="10"/>
    </row>
    <row r="20" ht="12.75" customHeight="1">
      <c r="A20" s="10"/>
      <c r="B20" s="38"/>
      <c r="C20" s="60"/>
      <c r="D20" s="51"/>
      <c r="E20" s="52"/>
      <c r="F20" s="61"/>
      <c r="G20" s="62"/>
      <c r="H20" s="55"/>
      <c r="I20" s="56"/>
      <c r="J20" s="57"/>
      <c r="K20" s="62"/>
      <c r="L20" s="57"/>
      <c r="M20" s="63"/>
      <c r="N20" s="62"/>
      <c r="O20" s="57"/>
      <c r="P20" s="63"/>
      <c r="Q20" s="64"/>
      <c r="R20" s="57"/>
      <c r="S20" s="63"/>
      <c r="T20" s="10"/>
    </row>
    <row r="21" ht="12.75" customHeight="1">
      <c r="A21" s="10"/>
      <c r="B21" s="38"/>
      <c r="C21" s="50">
        <v>44440.0</v>
      </c>
      <c r="D21" s="65" t="s">
        <v>40</v>
      </c>
      <c r="E21" s="52">
        <v>2906376.85</v>
      </c>
      <c r="F21" s="53">
        <v>45291.0</v>
      </c>
      <c r="G21" s="53">
        <v>48579.0</v>
      </c>
      <c r="H21" s="66" t="s">
        <v>41</v>
      </c>
      <c r="I21" s="56" t="s">
        <v>42</v>
      </c>
      <c r="J21" s="57">
        <f>E21/10</f>
        <v>290637.685</v>
      </c>
      <c r="K21" s="52">
        <f>AMORTIZACIONES!$E21</f>
        <v>2906376.85</v>
      </c>
      <c r="L21" s="57">
        <f>AMORTIZACIONES!$J21</f>
        <v>290637.685</v>
      </c>
      <c r="M21" s="58">
        <f>AMORTIZACIONES!$K21-L21</f>
        <v>2615739.165</v>
      </c>
      <c r="N21" s="52">
        <f>M21</f>
        <v>2615739.165</v>
      </c>
      <c r="O21" s="57">
        <f>AMORTIZACIONES!$J21</f>
        <v>290637.685</v>
      </c>
      <c r="P21" s="58">
        <f>AMORTIZACIONES!$N21-O21</f>
        <v>2325101.48</v>
      </c>
      <c r="Q21" s="59">
        <f>P21</f>
        <v>2325101.48</v>
      </c>
      <c r="R21" s="57">
        <f>AMORTIZACIONES!$J21</f>
        <v>290637.685</v>
      </c>
      <c r="S21" s="58">
        <f>Q21-R21</f>
        <v>2034463.795</v>
      </c>
      <c r="T21" s="10"/>
    </row>
    <row r="22" ht="12.75" customHeight="1">
      <c r="A22" s="10"/>
      <c r="B22" s="38"/>
      <c r="C22" s="50"/>
      <c r="D22" s="51"/>
      <c r="E22" s="52"/>
      <c r="F22" s="53"/>
      <c r="G22" s="54"/>
      <c r="H22" s="55"/>
      <c r="I22" s="56"/>
      <c r="J22" s="57"/>
      <c r="K22" s="52"/>
      <c r="L22" s="57"/>
      <c r="M22" s="58"/>
      <c r="N22" s="52"/>
      <c r="O22" s="57"/>
      <c r="P22" s="58"/>
      <c r="Q22" s="59"/>
      <c r="R22" s="57"/>
      <c r="S22" s="58"/>
      <c r="T22" s="10"/>
    </row>
    <row r="23" ht="12.75" customHeight="1">
      <c r="A23" s="10"/>
      <c r="B23" s="38"/>
      <c r="C23" s="67">
        <v>45717.0</v>
      </c>
      <c r="D23" s="55" t="s">
        <v>43</v>
      </c>
      <c r="E23" s="52">
        <v>1.1E7</v>
      </c>
      <c r="F23" s="68">
        <v>46387.0</v>
      </c>
      <c r="G23" s="69">
        <v>50040.0</v>
      </c>
      <c r="H23" s="70" t="s">
        <v>44</v>
      </c>
      <c r="I23" s="62"/>
      <c r="J23" s="57"/>
      <c r="K23" s="62"/>
      <c r="L23" s="57"/>
      <c r="M23" s="63"/>
      <c r="N23" s="62"/>
      <c r="O23" s="57"/>
      <c r="P23" s="63"/>
      <c r="Q23" s="71">
        <v>0.0</v>
      </c>
      <c r="R23" s="57">
        <v>0.0</v>
      </c>
      <c r="S23" s="72">
        <v>1.1E7</v>
      </c>
      <c r="T23" s="10"/>
    </row>
    <row r="24" ht="12.75" customHeight="1">
      <c r="A24" s="10"/>
      <c r="B24" s="38"/>
      <c r="C24" s="67"/>
      <c r="D24" s="55"/>
      <c r="E24" s="52"/>
      <c r="F24" s="68"/>
      <c r="G24" s="69"/>
      <c r="H24" s="70"/>
      <c r="I24" s="62"/>
      <c r="J24" s="57"/>
      <c r="K24" s="62"/>
      <c r="L24" s="57"/>
      <c r="M24" s="63"/>
      <c r="N24" s="62"/>
      <c r="O24" s="57"/>
      <c r="P24" s="63"/>
      <c r="Q24" s="71"/>
      <c r="R24" s="57"/>
      <c r="S24" s="72"/>
      <c r="T24" s="10"/>
    </row>
    <row r="25" ht="12.75" customHeight="1">
      <c r="A25" s="10"/>
      <c r="B25" s="10"/>
      <c r="C25" s="73"/>
      <c r="D25" s="74"/>
      <c r="E25" s="75"/>
      <c r="F25" s="76"/>
      <c r="G25" s="77"/>
      <c r="H25" s="77"/>
      <c r="I25" s="77"/>
      <c r="J25" s="78"/>
      <c r="K25" s="78">
        <f t="shared" ref="K25:P25" si="1">K17+K19+K21</f>
        <v>4309552.67</v>
      </c>
      <c r="L25" s="78">
        <f t="shared" si="1"/>
        <v>532052.965</v>
      </c>
      <c r="M25" s="79">
        <f t="shared" si="1"/>
        <v>3777499.705</v>
      </c>
      <c r="N25" s="78">
        <f t="shared" si="1"/>
        <v>3777499.705</v>
      </c>
      <c r="O25" s="78">
        <f t="shared" si="1"/>
        <v>532052.965</v>
      </c>
      <c r="P25" s="79">
        <f t="shared" si="1"/>
        <v>3245446.74</v>
      </c>
      <c r="Q25" s="80"/>
      <c r="R25" s="78">
        <f>R17+R19+R21</f>
        <v>532052.965</v>
      </c>
      <c r="S25" s="79">
        <f>S17+S19+S21+S23</f>
        <v>13713393.78</v>
      </c>
      <c r="T25" s="10"/>
    </row>
    <row r="26" ht="12.75" customHeight="1">
      <c r="A26" s="10"/>
      <c r="B26" s="10"/>
      <c r="C26" s="19"/>
      <c r="D26" s="21"/>
      <c r="E26" s="21"/>
      <c r="F26" s="21"/>
      <c r="G26" s="20"/>
      <c r="H26" s="20"/>
      <c r="I26" s="20"/>
      <c r="J26" s="81"/>
      <c r="K26" s="82"/>
      <c r="L26" s="20"/>
      <c r="M26" s="24"/>
      <c r="N26" s="27"/>
      <c r="O26" s="27"/>
      <c r="P26" s="24"/>
      <c r="Q26" s="26"/>
      <c r="R26" s="20"/>
      <c r="S26" s="25"/>
      <c r="T26" s="10"/>
    </row>
    <row r="27" ht="12.75" customHeight="1">
      <c r="A27" s="10"/>
      <c r="B27" s="10"/>
      <c r="C27" s="19"/>
      <c r="D27" s="21"/>
      <c r="E27" s="21"/>
      <c r="F27" s="21"/>
      <c r="G27" s="21"/>
      <c r="H27" s="21"/>
      <c r="I27" s="21"/>
      <c r="J27" s="27"/>
      <c r="K27" s="21"/>
      <c r="L27" s="21"/>
      <c r="M27" s="24"/>
      <c r="N27" s="27"/>
      <c r="O27" s="27"/>
      <c r="P27" s="24"/>
      <c r="Q27" s="26"/>
      <c r="R27" s="20"/>
      <c r="S27" s="25"/>
      <c r="T27" s="10"/>
    </row>
    <row r="28" ht="12.75" customHeight="1">
      <c r="C28" s="83"/>
      <c r="D28" s="84"/>
      <c r="E28" s="84"/>
      <c r="F28" s="84"/>
      <c r="G28" s="84"/>
      <c r="H28" s="84"/>
      <c r="I28" s="85"/>
      <c r="J28" s="86"/>
      <c r="K28" s="85"/>
      <c r="L28" s="85"/>
      <c r="M28" s="87"/>
      <c r="N28" s="85"/>
      <c r="O28" s="85"/>
      <c r="P28" s="88"/>
      <c r="Q28" s="89"/>
      <c r="R28" s="85"/>
      <c r="S28" s="88"/>
    </row>
    <row r="29" ht="12.75" customHeight="1">
      <c r="C29" s="90"/>
      <c r="D29" s="90"/>
      <c r="E29" s="90"/>
      <c r="F29" s="90"/>
      <c r="G29" s="90"/>
      <c r="H29" s="90"/>
      <c r="J29" s="1"/>
      <c r="M29" s="1"/>
      <c r="N29" s="1"/>
    </row>
    <row r="30" ht="12.75" customHeight="1">
      <c r="C30" s="90"/>
      <c r="D30" s="90"/>
      <c r="E30" s="90"/>
      <c r="J30" s="1"/>
      <c r="M30" s="1"/>
    </row>
    <row r="31" ht="12.75" customHeight="1">
      <c r="C31" s="90"/>
      <c r="D31" s="90"/>
      <c r="E31" s="90"/>
      <c r="J31" s="1"/>
      <c r="M31" s="1"/>
    </row>
  </sheetData>
  <mergeCells count="1">
    <mergeCell ref="G5:I5"/>
  </mergeCells>
  <printOptions/>
  <pageMargins bottom="0.984251968503937" footer="0.0" header="0.0" left="0.5511811023622047" right="0.35433070866141736" top="0.984251968503937"/>
  <pageSetup fitToHeight="0" paperSize="9" orientation="landscape"/>
  <drawing r:id="rId1"/>
  <tableParts count="1">
    <tablePart r:id="rId3"/>
  </tableParts>
</worksheet>
</file>