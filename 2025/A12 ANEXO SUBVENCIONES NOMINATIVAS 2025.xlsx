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5" sheetId="1" state="visible" r:id="rId1"/>
  </sheets>
  <definedNames>
    <definedName name="sn_3373_48900">'2025'!$G$60</definedName>
    <definedName name="sn_3262_48900">'2025'!$G$44</definedName>
    <definedName name="sn_3410_48900">#REF!</definedName>
    <definedName name="sn_4330_47900">'2025'!$K$78</definedName>
    <definedName name="sn_4320_48900">'2025'!$G$74</definedName>
    <definedName name="sn_4330_48900">'2025'!$K$79</definedName>
    <definedName name="p1610_489">'2025'!$C$104</definedName>
    <definedName name="sn_2311_48900">'2025'!$G$29</definedName>
    <definedName name="sn_9240_48900">'2025'!$G$96</definedName>
    <definedName name="sn_4310_48900">'2025'!$G$65</definedName>
    <definedName name="sn_3260_48900">'2025'!$G$40</definedName>
    <definedName name="sn_2313_48900">'2025'!$G$35</definedName>
    <definedName name="sn_3340_48900">'2025'!$G$56</definedName>
    <definedName name="sn_1700_48900">'2025'!$G$9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€-1]"/>
  </numFmts>
  <fonts count="8">
    <font>
      <name val="Calibri"/>
      <color theme="1"/>
      <sz val="11"/>
      <scheme val="minor"/>
    </font>
    <font>
      <name val="Calibri"/>
      <color theme="1"/>
      <sz val="10"/>
    </font>
    <font>
      <name val="Calibri"/>
      <b val="1"/>
      <color theme="1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color rgb="FFFF0000"/>
      <sz val="10"/>
    </font>
    <font>
      <name val="Calibri"/>
      <color theme="1"/>
      <sz val="10"/>
      <scheme val="minor"/>
    </font>
  </fonts>
  <fills count="8">
    <fill>
      <patternFill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EFAF9"/>
        <bgColor rgb="FFFEFAF9"/>
      </patternFill>
    </fill>
    <fill>
      <patternFill patternType="solid">
        <fgColor rgb="FFFCECEB"/>
        <bgColor rgb="FFFCECEB"/>
      </patternFill>
    </fill>
    <fill>
      <patternFill patternType="solid">
        <fgColor rgb="FFCEEADD"/>
        <bgColor rgb="FFCEEADD"/>
      </patternFill>
    </fill>
    <fill>
      <patternFill patternType="solid">
        <fgColor rgb="FFFFFFFF"/>
        <bgColor rgb="FFFFFFFF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64" fontId="1" fillId="0" borderId="0" pivotButton="0" quotePrefix="0" xfId="0"/>
    <xf numFmtId="10" fontId="1" fillId="0" borderId="0" pivotButton="0" quotePrefix="0" xfId="0"/>
    <xf numFmtId="164" fontId="2" fillId="0" borderId="0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49" fontId="2" fillId="3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1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1" fontId="2" fillId="0" borderId="4" applyAlignment="1" pivotButton="0" quotePrefix="0" xfId="0">
      <alignment horizontal="left" vertical="bottom"/>
    </xf>
    <xf numFmtId="164" fontId="2" fillId="0" borderId="1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164" fontId="1" fillId="0" borderId="5" applyAlignment="1" pivotButton="0" quotePrefix="0" xfId="0">
      <alignment horizontal="right" vertical="bottom"/>
    </xf>
    <xf numFmtId="1" fontId="2" fillId="0" borderId="4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0" fontId="1" fillId="0" borderId="0" pivotButton="0" quotePrefix="0" xfId="0"/>
    <xf numFmtId="1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164" fontId="4" fillId="0" borderId="0" pivotButton="0" quotePrefix="0" xfId="0"/>
    <xf numFmtId="10" fontId="1" fillId="4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1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64" fontId="2" fillId="0" borderId="1" applyAlignment="1" pivotButton="0" quotePrefix="0" xfId="0">
      <alignment horizontal="right" vertical="bottom"/>
    </xf>
    <xf numFmtId="164" fontId="5" fillId="0" borderId="1" applyAlignment="1" pivotButton="0" quotePrefix="0" xfId="0">
      <alignment horizontal="right" vertical="bottom"/>
    </xf>
    <xf numFmtId="10" fontId="1" fillId="5" borderId="0" applyAlignment="1" pivotButton="0" quotePrefix="0" xfId="0">
      <alignment horizontal="right" vertical="bottom"/>
    </xf>
    <xf numFmtId="164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/>
    </xf>
    <xf numFmtId="1" fontId="2" fillId="0" borderId="4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164" fontId="1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164" fontId="1" fillId="0" borderId="5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2" fillId="0" borderId="6" applyAlignment="1" pivotButton="0" quotePrefix="0" xfId="0">
      <alignment horizontal="right" vertical="bottom"/>
    </xf>
    <xf numFmtId="164" fontId="2" fillId="0" borderId="1" applyAlignment="1" pivotButton="0" quotePrefix="0" xfId="0">
      <alignment horizontal="right" vertical="bottom"/>
    </xf>
    <xf numFmtId="164" fontId="2" fillId="0" borderId="1" applyAlignment="1" pivotButton="0" quotePrefix="0" xfId="0">
      <alignment horizontal="right" vertical="bottom"/>
    </xf>
    <xf numFmtId="10" fontId="1" fillId="6" borderId="6" applyAlignment="1" pivotButton="0" quotePrefix="0" xfId="0">
      <alignment horizontal="right" vertical="bottom"/>
    </xf>
    <xf numFmtId="0" fontId="2" fillId="7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right" vertical="bottom"/>
    </xf>
    <xf numFmtId="164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4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164" fontId="1" fillId="0" borderId="1" applyAlignment="1" pivotButton="0" quotePrefix="0" xfId="0">
      <alignment horizontal="right" vertical="bottom"/>
    </xf>
    <xf numFmtId="164" fontId="1" fillId="0" borderId="1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" fontId="2" fillId="0" borderId="4" applyAlignment="1" pivotButton="0" quotePrefix="0" xfId="0">
      <alignment vertical="bottom"/>
    </xf>
    <xf numFmtId="164" fontId="2" fillId="0" borderId="1" applyAlignment="1" pivotButton="0" quotePrefix="0" xfId="0">
      <alignment horizontal="right" vertical="bottom"/>
    </xf>
    <xf numFmtId="0" fontId="7" fillId="0" borderId="0" pivotButton="0" quotePrefix="0" xfId="0"/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4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6.71" customWidth="1" style="76" min="1" max="1"/>
    <col width="14.43" customWidth="1" style="76" min="2" max="2"/>
    <col hidden="1" width="11.43" customWidth="1" style="76" min="3" max="3"/>
    <col width="54" customWidth="1" style="76" min="4" max="4"/>
    <col width="49" customWidth="1" style="76" min="5" max="5"/>
    <col hidden="1" width="14.86" customWidth="1" style="76" min="6" max="6"/>
    <col width="15.71" customWidth="1" style="76" min="7" max="7"/>
    <col hidden="1" width="10" customWidth="1" style="76" min="8" max="10"/>
    <col width="14.29" customWidth="1" style="76" min="11" max="11"/>
  </cols>
  <sheetData>
    <row r="1">
      <c r="A1" s="52" t="inlineStr">
        <is>
          <t>s</t>
        </is>
      </c>
      <c r="B1" s="52" t="n"/>
      <c r="C1" s="24" t="n"/>
      <c r="D1" s="52" t="n"/>
      <c r="E1" s="52" t="n"/>
      <c r="F1" s="51" t="n"/>
      <c r="G1" s="24" t="n"/>
      <c r="H1" s="5" t="n"/>
      <c r="I1" s="52" t="n"/>
      <c r="J1" s="52" t="n"/>
      <c r="K1" s="52" t="n"/>
    </row>
    <row r="2">
      <c r="A2" s="52" t="n"/>
      <c r="B2" s="52" t="n"/>
      <c r="C2" s="6" t="n"/>
      <c r="D2" s="7" t="inlineStr">
        <is>
          <t>SUBVENCIONES NOMINATIVAS</t>
        </is>
      </c>
      <c r="E2" s="53" t="n"/>
      <c r="F2" s="51" t="n"/>
      <c r="G2" s="24" t="n"/>
      <c r="H2" s="5" t="n"/>
      <c r="I2" s="52" t="n"/>
      <c r="J2" s="52" t="n"/>
      <c r="K2" s="52" t="n"/>
    </row>
    <row r="3">
      <c r="A3" s="52" t="n"/>
      <c r="B3" s="52" t="n"/>
      <c r="C3" s="24" t="n"/>
      <c r="D3" s="52" t="n"/>
      <c r="E3" s="52" t="n"/>
      <c r="F3" s="51" t="n"/>
      <c r="G3" s="24" t="n"/>
      <c r="H3" s="5" t="n"/>
      <c r="I3" s="52" t="n"/>
      <c r="J3" s="52" t="n"/>
      <c r="K3" s="52" t="n"/>
    </row>
    <row r="4">
      <c r="A4" s="52" t="n"/>
      <c r="B4" s="77" t="inlineStr">
        <is>
          <t>PARTIDA</t>
        </is>
      </c>
      <c r="C4" s="78" t="inlineStr">
        <is>
          <t>CRÉDITO PARTIDA</t>
        </is>
      </c>
      <c r="D4" s="11" t="inlineStr">
        <is>
          <t>PROGRAMA</t>
        </is>
      </c>
      <c r="E4" s="11" t="inlineStr">
        <is>
          <t>OBJETO DEL CONVENIO</t>
        </is>
      </c>
      <c r="F4" s="79" t="inlineStr">
        <is>
          <t>2024</t>
        </is>
      </c>
      <c r="G4" s="79" t="inlineStr">
        <is>
          <t>2025</t>
        </is>
      </c>
      <c r="H4" s="80" t="inlineStr">
        <is>
          <t>DIFF</t>
        </is>
      </c>
      <c r="I4" s="78" t="inlineStr">
        <is>
          <t>Concurrencia Comp</t>
        </is>
      </c>
      <c r="J4" s="78" t="inlineStr">
        <is>
          <t>Aport y Cuotas</t>
        </is>
      </c>
      <c r="K4" s="52" t="n"/>
    </row>
    <row r="5">
      <c r="A5" s="52" t="n"/>
      <c r="B5" s="81" t="n"/>
      <c r="C5" s="81" t="n"/>
      <c r="D5" s="11" t="inlineStr">
        <is>
          <t>ENTIDAD BENEFICIARIA</t>
        </is>
      </c>
      <c r="E5" s="81" t="n"/>
      <c r="F5" s="81" t="n"/>
      <c r="G5" s="81" t="n"/>
      <c r="H5" s="81" t="n"/>
      <c r="I5" s="81" t="n"/>
      <c r="J5" s="81" t="n"/>
      <c r="K5" s="52" t="n"/>
    </row>
    <row r="6">
      <c r="A6" s="52" t="n"/>
      <c r="B6" s="53" t="n"/>
      <c r="C6" s="24" t="n"/>
      <c r="D6" s="17" t="n"/>
      <c r="E6" s="47" t="n"/>
      <c r="F6" s="51" t="n"/>
      <c r="G6" s="6" t="n"/>
      <c r="H6" s="5" t="n"/>
      <c r="I6" s="52" t="n"/>
      <c r="J6" s="52" t="n"/>
      <c r="K6" s="52" t="n"/>
    </row>
    <row r="7">
      <c r="A7" s="52" t="n"/>
      <c r="B7" s="45" t="inlineStr">
        <is>
          <t xml:space="preserve">1700 489.00 </t>
        </is>
      </c>
      <c r="C7" s="24" t="inlineStr">
        <is>
          <t>Loading...</t>
        </is>
      </c>
      <c r="D7" s="46" t="inlineStr">
        <is>
          <t>ADMON. GRAL MEDIO AMBIENTE</t>
        </is>
      </c>
      <c r="E7" s="47" t="n"/>
      <c r="F7" s="51" t="n"/>
      <c r="G7" s="6" t="n"/>
      <c r="H7" s="5" t="n"/>
      <c r="I7" s="52" t="n"/>
      <c r="J7" s="52" t="n"/>
      <c r="K7" s="52" t="n"/>
    </row>
    <row r="8">
      <c r="A8" s="52" t="n"/>
      <c r="B8" s="45" t="n"/>
      <c r="C8" s="24" t="n"/>
      <c r="D8" s="52" t="inlineStr">
        <is>
          <t>Club Deportivo Espeleoduero</t>
        </is>
      </c>
      <c r="E8" s="52" t="inlineStr">
        <is>
          <t>Limpieza de ríos</t>
        </is>
      </c>
      <c r="F8" s="24" t="n">
        <v>2000</v>
      </c>
      <c r="G8" s="24" t="n">
        <v>2000</v>
      </c>
      <c r="H8" s="5" t="n">
        <v>0</v>
      </c>
      <c r="I8" s="52" t="n"/>
      <c r="J8" s="52" t="n"/>
      <c r="K8" s="52" t="n"/>
    </row>
    <row r="9">
      <c r="A9" s="52" t="n"/>
      <c r="B9" s="52" t="n"/>
      <c r="C9" s="24" t="n"/>
      <c r="D9" s="52" t="n"/>
      <c r="E9" s="47" t="n">
        <v>1700</v>
      </c>
      <c r="F9" s="48" t="n">
        <v>2000</v>
      </c>
      <c r="G9" s="48" t="n">
        <v>2000</v>
      </c>
      <c r="H9" s="5" t="n">
        <v>0</v>
      </c>
      <c r="I9" s="48" t="n">
        <v>300</v>
      </c>
      <c r="J9" s="52" t="n"/>
      <c r="K9" s="52" t="n"/>
    </row>
    <row r="10">
      <c r="A10" s="52" t="n"/>
      <c r="B10" s="45" t="n"/>
      <c r="C10" s="24" t="n"/>
      <c r="D10" s="52" t="n"/>
      <c r="E10" s="52" t="n"/>
      <c r="F10" s="51" t="n"/>
      <c r="G10" s="22" t="n"/>
      <c r="H10" s="5" t="n"/>
      <c r="I10" s="52" t="n"/>
      <c r="J10" s="52" t="n"/>
      <c r="K10" s="52" t="n"/>
    </row>
    <row r="11">
      <c r="A11" s="52" t="n"/>
      <c r="B11" s="45" t="inlineStr">
        <is>
          <t>2311 489.00</t>
        </is>
      </c>
      <c r="C11" s="24" t="inlineStr">
        <is>
          <t>Loading...</t>
        </is>
      </c>
      <c r="D11" s="46" t="inlineStr">
        <is>
          <t>ASISTENCIA SOCIAL PRIMARIA</t>
        </is>
      </c>
      <c r="E11" s="52" t="n"/>
      <c r="F11" s="51" t="n"/>
      <c r="G11" s="24" t="n"/>
      <c r="H11" s="5" t="n"/>
      <c r="I11" s="52" t="n"/>
      <c r="J11" s="52" t="n"/>
      <c r="K11" s="52" t="n"/>
    </row>
    <row r="12">
      <c r="A12" s="52" t="n"/>
      <c r="B12" s="23" t="n"/>
      <c r="C12" s="24" t="n"/>
      <c r="D12" s="52" t="inlineStr">
        <is>
          <t>AFAR</t>
        </is>
      </c>
      <c r="E12" s="52" t="inlineStr">
        <is>
          <t>Actividades sociales</t>
        </is>
      </c>
      <c r="F12" s="24" t="n">
        <v>8000</v>
      </c>
      <c r="G12" s="24" t="n">
        <v>9000</v>
      </c>
      <c r="H12" s="5" t="n">
        <v>0.125</v>
      </c>
      <c r="I12" s="52" t="n"/>
      <c r="J12" s="52" t="n"/>
      <c r="K12" s="52" t="n"/>
    </row>
    <row r="13">
      <c r="A13" s="52" t="n"/>
      <c r="B13" s="23" t="n"/>
      <c r="C13" s="24" t="n"/>
      <c r="D13" s="52" t="inlineStr">
        <is>
          <t>ANDAR</t>
        </is>
      </c>
      <c r="E13" s="52" t="inlineStr">
        <is>
          <t>Actividades sociales</t>
        </is>
      </c>
      <c r="F13" s="24" t="n">
        <v>6500</v>
      </c>
      <c r="G13" s="24" t="n">
        <v>7000</v>
      </c>
      <c r="H13" s="5" t="n">
        <v>0.07692307692</v>
      </c>
      <c r="I13" s="52" t="n"/>
      <c r="J13" s="52" t="n"/>
      <c r="K13" s="52" t="n"/>
    </row>
    <row r="14">
      <c r="A14" s="52" t="n"/>
      <c r="B14" s="23" t="n"/>
      <c r="C14" s="24" t="n"/>
      <c r="D14" s="52" t="inlineStr">
        <is>
          <t>APACE</t>
        </is>
      </c>
      <c r="E14" s="52" t="inlineStr">
        <is>
          <t>Actividades sociales</t>
        </is>
      </c>
      <c r="F14" s="24" t="n">
        <v>18500</v>
      </c>
      <c r="G14" s="24" t="n">
        <v>15000</v>
      </c>
      <c r="H14" s="5" t="n">
        <v>-0.1891891892</v>
      </c>
      <c r="I14" s="52" t="n"/>
      <c r="J14" s="52" t="n"/>
      <c r="K14" s="52" t="n"/>
    </row>
    <row r="15">
      <c r="A15" s="52" t="n"/>
      <c r="B15" s="23" t="n"/>
      <c r="C15" s="24" t="n"/>
      <c r="D15" s="52" t="inlineStr">
        <is>
          <t>AREM</t>
        </is>
      </c>
      <c r="E15" s="52" t="inlineStr">
        <is>
          <t>Actividades sociales</t>
        </is>
      </c>
      <c r="F15" s="24" t="n">
        <v>5000</v>
      </c>
      <c r="G15" s="24" t="n">
        <v>7000</v>
      </c>
      <c r="H15" s="5" t="n">
        <v>0.4</v>
      </c>
      <c r="I15" s="52" t="n"/>
      <c r="J15" s="52" t="n"/>
      <c r="K15" s="52" t="n"/>
    </row>
    <row r="16">
      <c r="A16" s="52" t="n"/>
      <c r="B16" s="23" t="n"/>
      <c r="C16" s="24" t="n"/>
      <c r="D16" s="52" t="inlineStr">
        <is>
          <t>ASADEMA</t>
        </is>
      </c>
      <c r="E16" s="52" t="inlineStr">
        <is>
          <t>Transporte interurbano colectivo</t>
        </is>
      </c>
      <c r="F16" s="24" t="n">
        <v>6000</v>
      </c>
      <c r="G16" s="24" t="n">
        <v>6000</v>
      </c>
      <c r="H16" s="5" t="n">
        <v>0</v>
      </c>
      <c r="I16" s="52" t="n"/>
      <c r="J16" s="52" t="n"/>
      <c r="K16" s="52" t="n"/>
    </row>
    <row r="17">
      <c r="A17" s="52" t="n"/>
      <c r="B17" s="23" t="n"/>
      <c r="C17" s="24" t="n"/>
      <c r="D17" s="52" t="inlineStr">
        <is>
          <t>Asoc. Española de Lucha contra el Cáncer</t>
        </is>
      </c>
      <c r="E17" s="52" t="inlineStr">
        <is>
          <t>Actividades sociales y mantenimiento</t>
        </is>
      </c>
      <c r="F17" s="24" t="n">
        <v>8000</v>
      </c>
      <c r="G17" s="24" t="n">
        <v>9000</v>
      </c>
      <c r="H17" s="5" t="n">
        <v>0.125</v>
      </c>
      <c r="I17" s="52" t="n"/>
      <c r="J17" s="52" t="n"/>
      <c r="K17" s="52" t="n"/>
    </row>
    <row r="18">
      <c r="A18" s="52" t="n"/>
      <c r="B18" s="52" t="n"/>
      <c r="C18" s="24" t="n"/>
      <c r="D18" s="52" t="inlineStr">
        <is>
          <t>Autismo Burgos</t>
        </is>
      </c>
      <c r="E18" s="52" t="inlineStr">
        <is>
          <t>Actividades sociales</t>
        </is>
      </c>
      <c r="F18" s="24" t="n">
        <v>7500</v>
      </c>
      <c r="G18" s="24" t="n">
        <v>9000</v>
      </c>
      <c r="H18" s="5" t="n">
        <v>0.2</v>
      </c>
      <c r="I18" s="52" t="n"/>
      <c r="J18" s="52" t="n"/>
      <c r="K18" s="52" t="n"/>
    </row>
    <row r="19">
      <c r="A19" s="52" t="n"/>
      <c r="B19" s="52" t="n"/>
      <c r="C19" s="24" t="n"/>
      <c r="D19" s="52" t="inlineStr">
        <is>
          <t>Cáritas</t>
        </is>
      </c>
      <c r="E19" s="52" t="inlineStr">
        <is>
          <t>Programa drogas y trabajo con migrantes</t>
        </is>
      </c>
      <c r="F19" s="24" t="n">
        <v>3000</v>
      </c>
      <c r="G19" s="24" t="n">
        <v>10000</v>
      </c>
      <c r="H19" s="5" t="n">
        <v>2.333333333</v>
      </c>
      <c r="I19" s="52" t="n"/>
      <c r="J19" s="52" t="n"/>
      <c r="K19" s="52" t="n"/>
    </row>
    <row r="20">
      <c r="A20" s="52" t="n"/>
      <c r="B20" s="52" t="n"/>
      <c r="C20" s="24" t="n"/>
      <c r="D20" s="52" t="inlineStr">
        <is>
          <t>Cruz Roja</t>
        </is>
      </c>
      <c r="E20" s="52" t="inlineStr">
        <is>
          <t>Actividades sociales</t>
        </is>
      </c>
      <c r="F20" s="24" t="n">
        <v>8500</v>
      </c>
      <c r="G20" s="24" t="n">
        <v>10000</v>
      </c>
      <c r="H20" s="5" t="n">
        <v>0.1764705882</v>
      </c>
      <c r="I20" s="52" t="n"/>
      <c r="J20" s="52" t="n"/>
      <c r="K20" s="52" t="n"/>
    </row>
    <row r="21">
      <c r="A21" s="52" t="n"/>
      <c r="B21" s="52" t="n"/>
      <c r="C21" s="24" t="n"/>
      <c r="D21" s="52" t="inlineStr">
        <is>
          <t>DISFAR</t>
        </is>
      </c>
      <c r="E21" s="52" t="inlineStr">
        <is>
          <t>Fomento empleo de personas con discapacidad</t>
        </is>
      </c>
      <c r="F21" s="24" t="n">
        <v>4500</v>
      </c>
      <c r="G21" s="24" t="n">
        <v>5000</v>
      </c>
      <c r="H21" s="5" t="n">
        <v>0.1111111111</v>
      </c>
      <c r="I21" s="52" t="n"/>
      <c r="J21" s="52" t="n"/>
      <c r="K21" s="52" t="n"/>
    </row>
    <row r="22">
      <c r="A22" s="52" t="n"/>
      <c r="B22" s="52" t="n"/>
      <c r="C22" s="24" t="n"/>
      <c r="D22" s="52" t="inlineStr">
        <is>
          <t>Asociación Salud Mental Aranda</t>
        </is>
      </c>
      <c r="E22" s="52" t="inlineStr">
        <is>
          <t>Actividades, alquiler y mantenimiento del centro</t>
        </is>
      </c>
      <c r="F22" s="24" t="n">
        <v>80000</v>
      </c>
      <c r="G22" s="24" t="n">
        <v>70000</v>
      </c>
      <c r="H22" s="5" t="n">
        <v>-0.125</v>
      </c>
      <c r="I22" s="52" t="n"/>
      <c r="J22" s="52" t="n"/>
      <c r="K22" s="52" t="n"/>
    </row>
    <row r="23">
      <c r="A23" s="52" t="n"/>
      <c r="B23" s="52" t="n"/>
      <c r="C23" s="24" t="n"/>
      <c r="D23" s="52" t="inlineStr">
        <is>
          <t>Residencia Sagrada Familia</t>
        </is>
      </c>
      <c r="E23" s="52" t="inlineStr">
        <is>
          <t>Actividades sociales</t>
        </is>
      </c>
      <c r="F23" s="24" t="n">
        <v>10000</v>
      </c>
      <c r="G23" s="24" t="n">
        <v>10000</v>
      </c>
      <c r="H23" s="5" t="n">
        <v>0</v>
      </c>
      <c r="I23" s="52" t="n"/>
      <c r="J23" s="52" t="n"/>
      <c r="K23" s="52" t="n"/>
    </row>
    <row r="24">
      <c r="A24" s="52" t="n"/>
      <c r="B24" s="52" t="n"/>
      <c r="C24" s="24" t="n"/>
      <c r="D24" s="52" t="inlineStr">
        <is>
          <t>Nuevo Futuro</t>
        </is>
      </c>
      <c r="E24" s="52" t="inlineStr">
        <is>
          <t>Actividades sociales</t>
        </is>
      </c>
      <c r="F24" s="24" t="n">
        <v>2500</v>
      </c>
      <c r="G24" s="24" t="n">
        <v>3000</v>
      </c>
      <c r="H24" s="5" t="n">
        <v>0.2</v>
      </c>
      <c r="I24" s="52" t="n"/>
      <c r="J24" s="52" t="n"/>
      <c r="K24" s="52" t="n"/>
    </row>
    <row r="25">
      <c r="A25" s="52" t="n"/>
      <c r="B25" s="52" t="n"/>
      <c r="C25" s="24" t="n"/>
      <c r="D25" s="52" t="inlineStr">
        <is>
          <t>Asoc. Personas Sordas Aranda Y Ribera</t>
        </is>
      </c>
      <c r="E25" s="52" t="inlineStr">
        <is>
          <t>Actividades sociales</t>
        </is>
      </c>
      <c r="F25" s="24" t="n">
        <v>2750</v>
      </c>
      <c r="G25" s="24" t="n">
        <v>3000</v>
      </c>
      <c r="H25" s="5" t="n">
        <v>0.09090909091</v>
      </c>
      <c r="I25" s="52" t="n"/>
      <c r="J25" s="52" t="n"/>
      <c r="K25" s="52" t="n"/>
    </row>
    <row r="26">
      <c r="A26" s="52" t="n"/>
      <c r="B26" s="52" t="n"/>
      <c r="C26" s="24" t="n"/>
      <c r="D26" s="52" t="inlineStr">
        <is>
          <t>ALEA</t>
        </is>
      </c>
      <c r="E26" s="52" t="inlineStr">
        <is>
          <t>Actividades sociales</t>
        </is>
      </c>
      <c r="F26" s="24" t="n"/>
      <c r="G26" s="24" t="n">
        <v>6000</v>
      </c>
      <c r="H26" s="5" t="n"/>
      <c r="I26" s="52" t="n"/>
      <c r="J26" s="52" t="n"/>
      <c r="K26" s="52" t="n"/>
    </row>
    <row r="27">
      <c r="A27" s="52" t="n"/>
      <c r="B27" s="52" t="n"/>
      <c r="C27" s="24" t="n"/>
      <c r="D27" s="52" t="inlineStr">
        <is>
          <t>ARANSBUR</t>
        </is>
      </c>
      <c r="E27" s="52" t="inlineStr">
        <is>
          <t>Actividades sociales</t>
        </is>
      </c>
      <c r="F27" s="24" t="n"/>
      <c r="G27" s="24" t="n">
        <v>2000</v>
      </c>
      <c r="H27" s="5" t="n"/>
      <c r="I27" s="52" t="n"/>
      <c r="J27" s="52" t="n"/>
      <c r="K27" s="52" t="n"/>
    </row>
    <row r="28">
      <c r="A28" s="52" t="n"/>
      <c r="B28" s="52" t="n"/>
      <c r="C28" s="24" t="n"/>
      <c r="D28" s="52" t="inlineStr">
        <is>
          <t>AFAC (Asociación de Fibromialgia y Astenia Crónica de CyL)</t>
        </is>
      </c>
      <c r="E28" s="52" t="inlineStr">
        <is>
          <t>Actividades sociales</t>
        </is>
      </c>
      <c r="F28" s="24" t="n"/>
      <c r="G28" s="24" t="n">
        <v>2000</v>
      </c>
      <c r="H28" s="5" t="n"/>
      <c r="I28" s="52" t="n"/>
      <c r="J28" s="52" t="n"/>
      <c r="K28" s="52" t="n"/>
    </row>
    <row r="29">
      <c r="A29" s="52" t="n"/>
      <c r="B29" s="52" t="n"/>
      <c r="C29" s="24" t="n"/>
      <c r="D29" s="52" t="n"/>
      <c r="E29" s="47" t="n">
        <v>2311</v>
      </c>
      <c r="F29" s="48" t="n">
        <v>170750</v>
      </c>
      <c r="G29" s="48" t="n">
        <v>183000</v>
      </c>
      <c r="H29" s="5" t="n">
        <v>0.07174231332</v>
      </c>
      <c r="I29" s="48" t="n">
        <v>7160</v>
      </c>
      <c r="J29" s="52" t="n"/>
      <c r="K29" s="52" t="n"/>
    </row>
    <row r="30">
      <c r="A30" s="52" t="n"/>
      <c r="B30" s="53" t="n"/>
      <c r="C30" s="24" t="n"/>
      <c r="D30" s="17" t="n"/>
      <c r="E30" s="52" t="n"/>
      <c r="F30" s="51" t="n"/>
      <c r="G30" s="24" t="n"/>
      <c r="H30" s="5" t="n"/>
      <c r="I30" s="52" t="n"/>
      <c r="J30" s="52" t="n"/>
      <c r="K30" s="52" t="n"/>
    </row>
    <row r="31">
      <c r="A31" s="36" t="n"/>
      <c r="B31" s="26" t="inlineStr">
        <is>
          <t>2313 489.00</t>
        </is>
      </c>
      <c r="C31" s="55" t="inlineStr">
        <is>
          <t>Loading...</t>
        </is>
      </c>
      <c r="D31" s="28" t="inlineStr">
        <is>
          <t>PROMOCIÓN DE LA IGUALDAD</t>
        </is>
      </c>
      <c r="E31" s="36" t="n"/>
      <c r="F31" s="56" t="n"/>
      <c r="G31" s="56" t="n"/>
      <c r="H31" s="30" t="n"/>
      <c r="I31" s="36" t="n"/>
      <c r="J31" s="36" t="n"/>
      <c r="K31" s="36" t="n"/>
    </row>
    <row r="32">
      <c r="A32" s="36" t="n"/>
      <c r="B32" s="31" t="n"/>
      <c r="C32" s="56" t="n"/>
      <c r="D32" s="39" t="inlineStr">
        <is>
          <t>Asociación Mujeres Progresistas Rosa de Lima</t>
        </is>
      </c>
      <c r="E32" s="36" t="inlineStr">
        <is>
          <t>Promoción de la mujer</t>
        </is>
      </c>
      <c r="F32" s="58" t="n">
        <v>12000</v>
      </c>
      <c r="G32" s="34" t="n">
        <v>6000</v>
      </c>
      <c r="H32" s="35" t="n">
        <v>-0.5</v>
      </c>
      <c r="I32" s="36" t="n"/>
      <c r="J32" s="36" t="n"/>
      <c r="K32" s="36" t="n"/>
    </row>
    <row r="33">
      <c r="A33" s="36" t="n"/>
      <c r="B33" s="31" t="n"/>
      <c r="C33" s="56" t="n"/>
      <c r="D33" s="39" t="inlineStr">
        <is>
          <t>Asociación Amas de Casa Unae Aranda</t>
        </is>
      </c>
      <c r="E33" s="36" t="inlineStr">
        <is>
          <t>Promoción de la mujer</t>
        </is>
      </c>
      <c r="F33" s="58" t="n">
        <v>12000</v>
      </c>
      <c r="G33" s="34" t="n">
        <v>6000</v>
      </c>
      <c r="H33" s="35" t="n">
        <v>-0.5</v>
      </c>
      <c r="I33" s="36" t="n"/>
      <c r="J33" s="36" t="n"/>
      <c r="K33" s="36" t="n"/>
    </row>
    <row r="34">
      <c r="A34" s="36" t="n"/>
      <c r="B34" s="31" t="n"/>
      <c r="C34" s="56" t="n"/>
      <c r="D34" s="39" t="inlineStr">
        <is>
          <t>Asoc. feminista Ruperta Baraya</t>
        </is>
      </c>
      <c r="E34" s="36" t="inlineStr">
        <is>
          <t>Promoción de la mujer</t>
        </is>
      </c>
      <c r="F34" s="58" t="n">
        <v>12000</v>
      </c>
      <c r="G34" s="38" t="n">
        <v>6000</v>
      </c>
      <c r="H34" s="35" t="n">
        <v>-0.5</v>
      </c>
      <c r="I34" s="36" t="n"/>
      <c r="J34" s="36" t="n"/>
      <c r="K34" s="36" t="n"/>
    </row>
    <row r="35">
      <c r="A35" s="36" t="n"/>
      <c r="B35" s="36" t="n"/>
      <c r="C35" s="56" t="n"/>
      <c r="D35" s="39" t="n"/>
      <c r="E35" s="40" t="n">
        <v>2313</v>
      </c>
      <c r="F35" s="61" t="n">
        <v>36000</v>
      </c>
      <c r="G35" s="42" t="n">
        <v>18000</v>
      </c>
      <c r="H35" s="43" t="n">
        <v>-0.5</v>
      </c>
      <c r="I35" s="61" t="n">
        <v>7160</v>
      </c>
      <c r="J35" s="36" t="n"/>
      <c r="K35" s="36" t="n"/>
    </row>
    <row r="36">
      <c r="A36" s="52" t="n"/>
      <c r="B36" s="53" t="n"/>
      <c r="C36" s="24" t="n"/>
      <c r="D36" s="17" t="n"/>
      <c r="E36" s="52" t="n"/>
      <c r="F36" s="51" t="n"/>
      <c r="G36" s="24" t="n"/>
      <c r="H36" s="5" t="n"/>
      <c r="I36" s="52" t="n"/>
      <c r="J36" s="52" t="n"/>
      <c r="K36" s="52" t="n"/>
    </row>
    <row r="37">
      <c r="A37" s="52" t="n"/>
      <c r="B37" s="45" t="inlineStr">
        <is>
          <t xml:space="preserve">3260 489.00 </t>
        </is>
      </c>
      <c r="C37" s="24" t="inlineStr">
        <is>
          <t>Loading...</t>
        </is>
      </c>
      <c r="D37" s="46" t="inlineStr">
        <is>
          <t>SERVICIOS COMPLEMENTARIOS DE EDUCACIÓN</t>
        </is>
      </c>
      <c r="E37" s="47" t="n"/>
      <c r="F37" s="51" t="n"/>
      <c r="G37" s="6" t="n"/>
      <c r="H37" s="5" t="n"/>
      <c r="I37" s="52" t="n"/>
      <c r="J37" s="52" t="n"/>
      <c r="K37" s="52" t="n"/>
    </row>
    <row r="38">
      <c r="A38" s="52" t="n"/>
      <c r="B38" s="45" t="n"/>
      <c r="C38" s="24" t="n"/>
      <c r="D38" s="52" t="inlineStr">
        <is>
          <t>Convenio colaboración Romorantin-Lanthenay</t>
        </is>
      </c>
      <c r="E38" s="52" t="inlineStr">
        <is>
          <t>Convenio colaboración</t>
        </is>
      </c>
      <c r="F38" s="24" t="n">
        <v>2000</v>
      </c>
      <c r="G38" s="24" t="n">
        <v>2000</v>
      </c>
      <c r="H38" s="5" t="n">
        <v>0</v>
      </c>
      <c r="I38" s="52" t="n"/>
      <c r="J38" s="52" t="n"/>
      <c r="K38" s="52" t="n"/>
    </row>
    <row r="39">
      <c r="A39" s="52" t="n"/>
      <c r="B39" s="45" t="n"/>
      <c r="C39" s="24" t="n"/>
      <c r="D39" s="52" t="inlineStr">
        <is>
          <t>UNED</t>
        </is>
      </c>
      <c r="E39" s="52" t="inlineStr">
        <is>
          <t>Sostenimiento universidad</t>
        </is>
      </c>
      <c r="F39" s="24" t="n">
        <v>24000</v>
      </c>
      <c r="G39" s="24" t="n">
        <v>24000</v>
      </c>
      <c r="H39" s="5" t="n"/>
      <c r="I39" s="52" t="n"/>
      <c r="J39" s="52" t="n"/>
      <c r="K39" s="52" t="n"/>
    </row>
    <row r="40">
      <c r="A40" s="52" t="n"/>
      <c r="B40" s="52" t="n"/>
      <c r="C40" s="24" t="n"/>
      <c r="D40" s="52" t="n"/>
      <c r="E40" s="47" t="n">
        <v>3260</v>
      </c>
      <c r="F40" s="48" t="n">
        <v>26000</v>
      </c>
      <c r="G40" s="48" t="n">
        <v>26000</v>
      </c>
      <c r="H40" s="5" t="n">
        <v>0</v>
      </c>
      <c r="I40" s="48" t="n">
        <v>300</v>
      </c>
      <c r="J40" s="52" t="n"/>
      <c r="K40" s="52" t="n"/>
    </row>
    <row r="41">
      <c r="A41" s="52" t="n"/>
      <c r="B41" s="52" t="n"/>
      <c r="C41" s="24" t="n"/>
      <c r="D41" s="52" t="n"/>
      <c r="E41" s="47" t="n"/>
      <c r="F41" s="22" t="n"/>
      <c r="G41" s="22" t="n"/>
      <c r="H41" s="5" t="n"/>
      <c r="I41" s="22" t="n"/>
      <c r="J41" s="52" t="n"/>
      <c r="K41" s="52" t="n"/>
    </row>
    <row r="42">
      <c r="A42" s="52" t="n"/>
      <c r="B42" s="45" t="inlineStr">
        <is>
          <t xml:space="preserve">3262 489.00 </t>
        </is>
      </c>
      <c r="C42" s="24" t="inlineStr">
        <is>
          <t>Loading...</t>
        </is>
      </c>
      <c r="D42" s="46" t="inlineStr">
        <is>
          <t>ESCUELA MUNICIPAL DE FOLKLORE</t>
        </is>
      </c>
      <c r="E42" s="47" t="n"/>
      <c r="F42" s="51" t="n"/>
      <c r="G42" s="6" t="n"/>
      <c r="H42" s="5" t="n"/>
      <c r="I42" s="52" t="n"/>
      <c r="J42" s="52" t="n"/>
      <c r="K42" s="52" t="n"/>
    </row>
    <row r="43">
      <c r="A43" s="52" t="n"/>
      <c r="B43" s="45" t="n"/>
      <c r="C43" s="24" t="n"/>
      <c r="D43" s="52" t="inlineStr">
        <is>
          <t>Asociación de amigos de la indumentaria tradicional de la Ribera</t>
        </is>
      </c>
      <c r="E43" s="52" t="inlineStr">
        <is>
          <t>Implementación de un taller de trajes regionales</t>
        </is>
      </c>
      <c r="F43" s="24" t="n">
        <v>0</v>
      </c>
      <c r="G43" s="24" t="n">
        <v>16000</v>
      </c>
      <c r="H43" s="5" t="inlineStr">
        <is>
          <t>#DIV/0!</t>
        </is>
      </c>
      <c r="I43" s="52" t="n"/>
      <c r="J43" s="52" t="n"/>
      <c r="K43" s="52" t="n"/>
    </row>
    <row r="44">
      <c r="A44" s="52" t="n"/>
      <c r="B44" s="52" t="n"/>
      <c r="C44" s="24" t="n"/>
      <c r="D44" s="52" t="n"/>
      <c r="E44" s="47" t="n">
        <v>3262</v>
      </c>
      <c r="F44" s="48" t="n">
        <v>0</v>
      </c>
      <c r="G44" s="48" t="n">
        <v>16000</v>
      </c>
      <c r="H44" s="5" t="inlineStr">
        <is>
          <t>#DIV/0!</t>
        </is>
      </c>
      <c r="I44" s="48" t="n">
        <v>300</v>
      </c>
      <c r="J44" s="52" t="n"/>
      <c r="K44" s="52" t="n"/>
    </row>
    <row r="45">
      <c r="A45" s="52" t="n"/>
      <c r="B45" s="52" t="n"/>
      <c r="C45" s="24" t="n"/>
      <c r="D45" s="52" t="n"/>
      <c r="E45" s="47" t="n"/>
      <c r="F45" s="22" t="n"/>
      <c r="G45" s="22" t="n"/>
      <c r="H45" s="5" t="n"/>
      <c r="I45" s="22" t="n"/>
      <c r="J45" s="52" t="n"/>
      <c r="K45" s="52" t="n"/>
    </row>
    <row r="46">
      <c r="A46" s="52" t="n"/>
      <c r="B46" s="53" t="inlineStr">
        <is>
          <t>3340 489.00</t>
        </is>
      </c>
      <c r="C46" s="24" t="inlineStr">
        <is>
          <t>Loading...</t>
        </is>
      </c>
      <c r="D46" s="46" t="inlineStr">
        <is>
          <t>PROMOCIÓN CULTURAL</t>
        </is>
      </c>
      <c r="E46" s="52" t="n"/>
      <c r="F46" s="51" t="n"/>
      <c r="G46" s="24" t="n"/>
      <c r="H46" s="5" t="n"/>
      <c r="I46" s="52" t="n"/>
      <c r="J46" s="52" t="n"/>
      <c r="K46" s="52" t="n"/>
    </row>
    <row r="47">
      <c r="A47" s="52" t="n"/>
      <c r="B47" s="52" t="n"/>
      <c r="C47" s="24" t="n"/>
      <c r="D47" s="52" t="inlineStr">
        <is>
          <t>Cine Club Duero</t>
        </is>
      </c>
      <c r="E47" s="52" t="inlineStr">
        <is>
          <t>Semana de cine y curso cinematográfico</t>
        </is>
      </c>
      <c r="F47" s="24" t="n">
        <v>5400</v>
      </c>
      <c r="G47" s="24" t="n">
        <v>5400</v>
      </c>
      <c r="H47" s="5" t="n">
        <v>0</v>
      </c>
      <c r="I47" s="52" t="n"/>
      <c r="J47" s="52" t="n"/>
      <c r="K47" s="52" t="n"/>
    </row>
    <row r="48">
      <c r="A48" s="52" t="n"/>
      <c r="B48" s="52" t="n"/>
      <c r="C48" s="24" t="n"/>
      <c r="D48" s="52" t="inlineStr">
        <is>
          <t>Orfeón Arandino</t>
        </is>
      </c>
      <c r="E48" s="52" t="inlineStr">
        <is>
          <t>Otoño polifónico y alquiler de local</t>
        </is>
      </c>
      <c r="F48" s="24" t="n">
        <v>16200</v>
      </c>
      <c r="G48" s="24" t="n">
        <v>16200</v>
      </c>
      <c r="H48" s="5" t="n">
        <v>0</v>
      </c>
      <c r="I48" s="52" t="n"/>
      <c r="J48" s="52" t="n"/>
      <c r="K48" s="52" t="n"/>
    </row>
    <row r="49">
      <c r="A49" s="52" t="n"/>
      <c r="B49" s="52" t="n"/>
      <c r="C49" s="24" t="n"/>
      <c r="D49" s="52" t="inlineStr">
        <is>
          <t>Asociación Cultural "La Tanguilla"</t>
        </is>
      </c>
      <c r="E49" s="52" t="inlineStr">
        <is>
          <t>Actividades culturales, fiestas patronales y talleres</t>
        </is>
      </c>
      <c r="F49" s="24" t="n">
        <v>15000</v>
      </c>
      <c r="G49" s="24" t="n">
        <v>15000</v>
      </c>
      <c r="H49" s="5" t="n">
        <v>0</v>
      </c>
      <c r="I49" s="52" t="n"/>
      <c r="J49" s="52" t="n"/>
      <c r="K49" s="52" t="n"/>
    </row>
    <row r="50">
      <c r="A50" s="49" t="n"/>
      <c r="B50" s="49" t="n"/>
      <c r="C50" s="50" t="n"/>
      <c r="D50" s="52" t="inlineStr">
        <is>
          <t>Agrupación Ribereña de Las Artes</t>
        </is>
      </c>
      <c r="E50" s="52" t="inlineStr">
        <is>
          <t>Concurso de pintura rápida</t>
        </is>
      </c>
      <c r="F50" s="24" t="n">
        <v>3000</v>
      </c>
      <c r="G50" s="24" t="n">
        <v>3000</v>
      </c>
      <c r="H50" s="5" t="n">
        <v>0</v>
      </c>
      <c r="I50" s="49" t="n"/>
      <c r="J50" s="49" t="n"/>
      <c r="K50" s="49" t="n"/>
    </row>
    <row r="51">
      <c r="A51" s="52" t="n"/>
      <c r="B51" s="52" t="n"/>
      <c r="C51" s="24" t="n"/>
      <c r="D51" s="52" t="inlineStr">
        <is>
          <t>Asociación Art de Troya</t>
        </is>
      </c>
      <c r="E51" s="52" t="inlineStr">
        <is>
          <t>Jornadas del pop</t>
        </is>
      </c>
      <c r="F51" s="24" t="n">
        <v>5300</v>
      </c>
      <c r="G51" s="24" t="n">
        <v>5300</v>
      </c>
      <c r="H51" s="5" t="n">
        <v>0</v>
      </c>
      <c r="I51" s="52" t="n"/>
      <c r="J51" s="52" t="n"/>
      <c r="K51" s="52" t="n"/>
    </row>
    <row r="52">
      <c r="A52" s="52" t="n"/>
      <c r="B52" s="52" t="n"/>
      <c r="C52" s="24" t="n"/>
      <c r="D52" s="52" t="inlineStr">
        <is>
          <t>Filarmónica Aranda</t>
        </is>
      </c>
      <c r="E52" s="52" t="inlineStr">
        <is>
          <t>Conciertos musicales</t>
        </is>
      </c>
      <c r="F52" s="24" t="n">
        <v>7000</v>
      </c>
      <c r="G52" s="24" t="n">
        <v>7000</v>
      </c>
      <c r="H52" s="5" t="n">
        <v>0</v>
      </c>
      <c r="I52" s="52" t="n"/>
      <c r="J52" s="52" t="n"/>
      <c r="K52" s="52" t="n"/>
    </row>
    <row r="53">
      <c r="A53" s="52" t="n"/>
      <c r="B53" s="52" t="n"/>
      <c r="C53" s="24" t="n"/>
      <c r="D53" s="52" t="inlineStr">
        <is>
          <t>Fundacion Lola Perez Rivera</t>
        </is>
      </c>
      <c r="E53" s="52" t="inlineStr">
        <is>
          <t>Promoción música tradicional</t>
        </is>
      </c>
      <c r="F53" s="24" t="n">
        <v>10000</v>
      </c>
      <c r="G53" s="24" t="n">
        <v>10000</v>
      </c>
      <c r="H53" s="5" t="n">
        <v>0</v>
      </c>
      <c r="I53" s="52" t="n"/>
      <c r="J53" s="52" t="n"/>
      <c r="K53" s="52" t="n"/>
    </row>
    <row r="54">
      <c r="A54" s="52" t="n"/>
      <c r="B54" s="52" t="n"/>
      <c r="C54" s="24" t="n"/>
      <c r="D54" s="52" t="inlineStr">
        <is>
          <t>Filatelia Y Numismática</t>
        </is>
      </c>
      <c r="E54" s="52" t="inlineStr">
        <is>
          <t>Exposición filatelia y numismática con edición sellos</t>
        </is>
      </c>
      <c r="F54" s="51" t="n">
        <v>2500</v>
      </c>
      <c r="G54" s="24" t="n">
        <v>2500</v>
      </c>
      <c r="H54" s="5" t="n">
        <v>0</v>
      </c>
      <c r="I54" s="52" t="n"/>
      <c r="J54" s="52" t="n"/>
      <c r="K54" s="52" t="n"/>
    </row>
    <row r="55">
      <c r="A55" s="52" t="n"/>
      <c r="B55" s="52" t="n"/>
      <c r="C55" s="24" t="n"/>
      <c r="D55" s="52" t="inlineStr">
        <is>
          <t>Asociación Cultural "El Mostacho"</t>
        </is>
      </c>
      <c r="E55" s="52" t="inlineStr">
        <is>
          <t>Festival internacional de cine</t>
        </is>
      </c>
      <c r="F55" s="51" t="n">
        <v>14000</v>
      </c>
      <c r="G55" s="24" t="n">
        <v>14000</v>
      </c>
      <c r="H55" s="5" t="n">
        <v>0</v>
      </c>
      <c r="I55" s="52" t="n"/>
      <c r="J55" s="52" t="n"/>
      <c r="K55" s="52" t="n"/>
    </row>
    <row r="56">
      <c r="A56" s="52" t="n"/>
      <c r="B56" s="52" t="n"/>
      <c r="C56" s="24" t="n"/>
      <c r="D56" s="52" t="n"/>
      <c r="E56" s="47" t="n">
        <v>3340</v>
      </c>
      <c r="F56" s="48" t="n">
        <v>78400</v>
      </c>
      <c r="G56" s="48" t="n">
        <v>78400</v>
      </c>
      <c r="H56" s="5" t="n">
        <v>0</v>
      </c>
      <c r="I56" s="48" t="n">
        <v>24800</v>
      </c>
      <c r="J56" s="52" t="n"/>
      <c r="K56" s="52" t="n"/>
    </row>
    <row r="57">
      <c r="A57" s="52" t="n"/>
      <c r="B57" s="52" t="n"/>
      <c r="C57" s="24" t="n"/>
      <c r="D57" s="52" t="n"/>
      <c r="E57" s="47" t="n"/>
      <c r="F57" s="22" t="n"/>
      <c r="G57" s="22" t="n"/>
      <c r="H57" s="5" t="n"/>
      <c r="I57" s="22" t="n"/>
      <c r="J57" s="52" t="n"/>
      <c r="K57" s="52" t="n"/>
    </row>
    <row r="58">
      <c r="A58" s="36" t="n"/>
      <c r="B58" s="53" t="inlineStr">
        <is>
          <t>3373 489.00</t>
        </is>
      </c>
      <c r="C58" s="24" t="inlineStr">
        <is>
          <t>Loading...</t>
        </is>
      </c>
      <c r="D58" s="46" t="inlineStr">
        <is>
          <t>JUVENTUD</t>
        </is>
      </c>
      <c r="E58" s="36" t="n"/>
      <c r="F58" s="56" t="n"/>
      <c r="G58" s="56" t="n"/>
      <c r="H58" s="5" t="n"/>
      <c r="I58" s="36" t="n"/>
      <c r="J58" s="36" t="n"/>
      <c r="K58" s="36" t="n"/>
    </row>
    <row r="59">
      <c r="A59" s="36" t="n"/>
      <c r="B59" s="31" t="n"/>
      <c r="C59" s="56" t="n"/>
      <c r="D59" s="52" t="inlineStr">
        <is>
          <t>Asociación Músicos Ribereños</t>
        </is>
      </c>
      <c r="E59" s="52" t="inlineStr">
        <is>
          <t>Alquiler locales de ensayo</t>
        </is>
      </c>
      <c r="F59" s="58" t="n">
        <v>0</v>
      </c>
      <c r="G59" s="58" t="n">
        <v>15000</v>
      </c>
      <c r="H59" s="5" t="n"/>
      <c r="I59" s="36" t="n"/>
      <c r="J59" s="36" t="n"/>
      <c r="K59" s="36" t="n"/>
    </row>
    <row r="60">
      <c r="A60" s="52" t="n"/>
      <c r="B60" s="52" t="n"/>
      <c r="C60" s="24" t="n"/>
      <c r="D60" s="52" t="n"/>
      <c r="E60" s="47" t="n">
        <v>3373</v>
      </c>
      <c r="F60" s="48" t="n">
        <v>85000</v>
      </c>
      <c r="G60" s="48" t="n">
        <v>15000</v>
      </c>
      <c r="H60" s="5" t="n">
        <v>-0.8235294118000001</v>
      </c>
      <c r="I60" s="48" t="n">
        <v>95000</v>
      </c>
      <c r="J60" s="52" t="n"/>
      <c r="K60" s="52" t="n"/>
    </row>
    <row r="61">
      <c r="A61" s="52" t="n"/>
      <c r="B61" s="52" t="n"/>
      <c r="C61" s="24" t="n"/>
      <c r="D61" s="52" t="n"/>
      <c r="E61" s="47" t="n"/>
      <c r="F61" s="51" t="n"/>
      <c r="G61" s="22" t="n"/>
      <c r="H61" s="5" t="n"/>
      <c r="I61" s="52" t="n"/>
      <c r="J61" s="52" t="n"/>
      <c r="K61" s="52" t="n"/>
    </row>
    <row r="62">
      <c r="A62" s="52" t="n"/>
      <c r="B62" s="53" t="inlineStr">
        <is>
          <t>4310 489.00</t>
        </is>
      </c>
      <c r="C62" s="24" t="inlineStr">
        <is>
          <t>Loading...</t>
        </is>
      </c>
      <c r="D62" s="46" t="inlineStr">
        <is>
          <t>COMERCIO</t>
        </is>
      </c>
      <c r="E62" s="52" t="n"/>
      <c r="F62" s="51" t="n"/>
      <c r="G62" s="24" t="n"/>
      <c r="H62" s="5" t="n"/>
      <c r="I62" s="52" t="n"/>
      <c r="J62" s="52" t="n"/>
      <c r="K62" s="52" t="n"/>
    </row>
    <row r="63">
      <c r="A63" s="52" t="n"/>
      <c r="B63" s="52" t="n"/>
      <c r="C63" s="24" t="n"/>
      <c r="D63" s="52" t="inlineStr">
        <is>
          <t>ACOA</t>
        </is>
      </c>
      <c r="E63" s="52" t="inlineStr">
        <is>
          <t>Plan dinamización comercio local</t>
        </is>
      </c>
      <c r="F63" s="24" t="n">
        <v>30000</v>
      </c>
      <c r="G63" s="24" t="n">
        <v>20000</v>
      </c>
      <c r="H63" s="5" t="n">
        <v>-0.3333333333</v>
      </c>
      <c r="I63" s="52" t="n"/>
      <c r="J63" s="52" t="n"/>
      <c r="K63" s="52" t="n"/>
    </row>
    <row r="64">
      <c r="A64" s="49" t="n"/>
      <c r="B64" s="49" t="n"/>
      <c r="C64" s="50" t="n"/>
      <c r="D64" s="52" t="inlineStr">
        <is>
          <t>Asoc. Comerciantes Santa Catalina</t>
        </is>
      </c>
      <c r="E64" s="52" t="inlineStr">
        <is>
          <t>Dinamización comercio local</t>
        </is>
      </c>
      <c r="F64" s="24" t="n">
        <v>20000</v>
      </c>
      <c r="G64" s="24" t="n">
        <v>20000</v>
      </c>
      <c r="H64" s="5" t="n">
        <v>0</v>
      </c>
      <c r="I64" s="49" t="n"/>
      <c r="J64" s="49" t="n"/>
      <c r="K64" s="49" t="n"/>
    </row>
    <row r="65">
      <c r="A65" s="52" t="n"/>
      <c r="B65" s="52" t="n"/>
      <c r="C65" s="24" t="n"/>
      <c r="D65" s="52" t="n"/>
      <c r="E65" s="47" t="n">
        <v>4310</v>
      </c>
      <c r="F65" s="48" t="n">
        <v>50000</v>
      </c>
      <c r="G65" s="48" t="n">
        <v>40000</v>
      </c>
      <c r="H65" s="5" t="n">
        <v>-0.2</v>
      </c>
      <c r="I65" s="48" t="n">
        <v>0</v>
      </c>
      <c r="J65" s="52" t="n"/>
      <c r="K65" s="52" t="n"/>
    </row>
    <row r="66">
      <c r="A66" s="52" t="n"/>
      <c r="B66" s="52" t="n"/>
      <c r="C66" s="24" t="n"/>
      <c r="D66" s="52" t="n"/>
      <c r="E66" s="47" t="n"/>
      <c r="F66" s="22" t="n"/>
      <c r="G66" s="22" t="n"/>
      <c r="H66" s="5" t="n"/>
      <c r="I66" s="22" t="n"/>
      <c r="J66" s="52" t="n"/>
      <c r="K66" s="52" t="n"/>
    </row>
    <row r="67">
      <c r="A67" s="36" t="n"/>
      <c r="B67" s="53" t="inlineStr">
        <is>
          <t>4320 489.00</t>
        </is>
      </c>
      <c r="C67" s="24" t="inlineStr">
        <is>
          <t>Loading...</t>
        </is>
      </c>
      <c r="D67" s="46" t="inlineStr">
        <is>
          <t>TURISMO</t>
        </is>
      </c>
      <c r="E67" s="36" t="n"/>
      <c r="F67" s="56" t="n"/>
      <c r="G67" s="56" t="n"/>
      <c r="H67" s="5" t="n"/>
      <c r="I67" s="36" t="n"/>
      <c r="J67" s="36" t="n"/>
      <c r="K67" s="36" t="n"/>
    </row>
    <row r="68">
      <c r="A68" s="52" t="n"/>
      <c r="B68" s="52" t="n"/>
      <c r="C68" s="24" t="n"/>
      <c r="D68" s="52" t="inlineStr">
        <is>
          <t>Biker Racing Show Dos Leones</t>
        </is>
      </c>
      <c r="E68" s="52" t="inlineStr">
        <is>
          <t>Organización concentración motera</t>
        </is>
      </c>
      <c r="F68" s="51" t="n">
        <v>24000</v>
      </c>
      <c r="G68" s="51" t="n">
        <v>24000</v>
      </c>
      <c r="H68" s="5" t="n"/>
      <c r="I68" s="22" t="n"/>
      <c r="J68" s="52" t="n"/>
      <c r="K68" s="52" t="n"/>
    </row>
    <row r="69">
      <c r="A69" s="52" t="n"/>
      <c r="B69" s="53" t="n"/>
      <c r="C69" s="24" t="n"/>
      <c r="D69" s="52" t="inlineStr">
        <is>
          <t>C D Arandina Club de Fútbol</t>
        </is>
      </c>
      <c r="E69" s="52" t="inlineStr">
        <is>
          <t>Promoción de Aranda de Duero en Liga 3º RFEF</t>
        </is>
      </c>
      <c r="G69" s="24" t="n">
        <v>3000</v>
      </c>
      <c r="H69" s="5" t="n"/>
      <c r="I69" s="52" t="n"/>
      <c r="J69" s="52" t="n"/>
      <c r="K69" s="52" t="n"/>
    </row>
    <row r="70">
      <c r="A70" s="52" t="n"/>
      <c r="B70" s="53" t="n"/>
      <c r="C70" s="24" t="n"/>
      <c r="D70" s="52" t="inlineStr">
        <is>
          <t>C D Hockey Línea Erizos Rudos</t>
        </is>
      </c>
      <c r="E70" s="52" t="inlineStr">
        <is>
          <t>Promoción de Aranda de Duero en Liga Élite</t>
        </is>
      </c>
      <c r="F70" s="24" t="n"/>
      <c r="G70" s="24" t="n">
        <v>7000</v>
      </c>
      <c r="H70" s="5" t="n"/>
      <c r="I70" s="52" t="n"/>
      <c r="J70" s="52" t="n"/>
      <c r="K70" s="52" t="n"/>
    </row>
    <row r="71">
      <c r="A71" s="52" t="n"/>
      <c r="B71" s="53" t="n"/>
      <c r="C71" s="24" t="n"/>
      <c r="D71" s="52" t="inlineStr">
        <is>
          <t>C D Villa de Aranda Balonmano</t>
        </is>
      </c>
      <c r="E71" s="52" t="inlineStr">
        <is>
          <t>Promoción de Aranda de Duero en Liga ASOBAL</t>
        </is>
      </c>
      <c r="F71" s="24" t="n"/>
      <c r="G71" s="24" t="n">
        <v>25000</v>
      </c>
      <c r="H71" s="5" t="n"/>
      <c r="I71" s="52" t="n"/>
      <c r="J71" s="52" t="n"/>
      <c r="K71" s="52" t="n"/>
    </row>
    <row r="72">
      <c r="A72" s="52" t="n"/>
      <c r="B72" s="53" t="n"/>
      <c r="C72" s="24" t="n"/>
      <c r="D72" s="52" t="inlineStr">
        <is>
          <t>Museo del Tren</t>
        </is>
      </c>
      <c r="E72" s="52" t="inlineStr">
        <is>
          <t>Promoción del museo del tren y maquetas</t>
        </is>
      </c>
      <c r="F72" s="24" t="n"/>
      <c r="G72" s="24" t="n">
        <v>5000</v>
      </c>
      <c r="H72" s="5" t="n"/>
      <c r="I72" s="52" t="n"/>
      <c r="J72" s="52" t="n"/>
      <c r="K72" s="52" t="n"/>
    </row>
    <row r="73">
      <c r="A73" s="52" t="n"/>
      <c r="B73" s="53" t="n"/>
      <c r="C73" s="24" t="n"/>
      <c r="D73" s="52" t="inlineStr">
        <is>
          <t>Hermandad de Cofradías</t>
        </is>
      </c>
      <c r="E73" s="52" t="inlineStr">
        <is>
          <t>Bajada del Ángel, Semana santa y alquiler almacén</t>
        </is>
      </c>
      <c r="F73" s="24" t="n">
        <v>9000</v>
      </c>
      <c r="G73" s="24" t="n">
        <v>12000</v>
      </c>
      <c r="H73" s="5" t="n">
        <v>0.3333333333</v>
      </c>
      <c r="I73" s="52" t="n"/>
      <c r="J73" s="52" t="n"/>
      <c r="K73" s="52" t="n"/>
    </row>
    <row r="74">
      <c r="A74" s="52" t="n"/>
      <c r="B74" s="52" t="n"/>
      <c r="C74" s="24" t="n"/>
      <c r="D74" s="52" t="n"/>
      <c r="E74" s="47" t="n">
        <v>4320</v>
      </c>
      <c r="F74" s="48" t="n">
        <v>33000</v>
      </c>
      <c r="G74" s="48" t="n">
        <v>76000</v>
      </c>
      <c r="H74" s="5" t="n">
        <v>1.303030303</v>
      </c>
      <c r="I74" s="48" t="n">
        <v>95000</v>
      </c>
      <c r="J74" s="52" t="n"/>
      <c r="K74" s="52" t="n"/>
    </row>
    <row r="75">
      <c r="A75" s="52" t="n"/>
      <c r="B75" s="52" t="n"/>
      <c r="C75" s="24" t="n"/>
      <c r="D75" s="52" t="n"/>
      <c r="E75" s="47" t="n"/>
      <c r="F75" s="22" t="n"/>
      <c r="G75" s="22" t="n"/>
      <c r="H75" s="5" t="n"/>
      <c r="I75" s="22" t="n"/>
      <c r="J75" s="52" t="n"/>
      <c r="K75" s="52" t="n"/>
    </row>
    <row r="76">
      <c r="A76" s="52" t="n"/>
      <c r="B76" s="52" t="n"/>
      <c r="C76" s="24" t="n"/>
      <c r="D76" s="52" t="n"/>
      <c r="E76" s="47" t="n"/>
      <c r="F76" s="22" t="n"/>
      <c r="G76" s="22" t="n"/>
      <c r="H76" s="5" t="n"/>
      <c r="I76" s="22" t="n"/>
      <c r="J76" s="52" t="n"/>
      <c r="K76" s="52" t="n"/>
    </row>
    <row r="77">
      <c r="A77" s="52" t="n"/>
      <c r="B77" s="53" t="n"/>
      <c r="C77" s="24" t="n"/>
      <c r="D77" s="46" t="inlineStr">
        <is>
          <t>DESARROLLO ECONÓMICO</t>
        </is>
      </c>
      <c r="E77" s="52" t="n"/>
      <c r="F77" s="51" t="n"/>
      <c r="G77" s="24" t="n"/>
      <c r="H77" s="5" t="n"/>
      <c r="I77" s="52" t="n"/>
      <c r="J77" s="52" t="n"/>
      <c r="K77" s="52" t="n"/>
    </row>
    <row r="78">
      <c r="A78" s="52" t="n"/>
      <c r="B78" s="53" t="inlineStr">
        <is>
          <t>4330 479.00</t>
        </is>
      </c>
      <c r="C78" s="24" t="inlineStr">
        <is>
          <t>Loading...</t>
        </is>
      </c>
      <c r="D78" s="36" t="inlineStr">
        <is>
          <t>Sonorama Producciones SL</t>
        </is>
      </c>
      <c r="E78" s="52" t="inlineStr">
        <is>
          <t>Subvención festival</t>
        </is>
      </c>
      <c r="F78" s="51" t="n">
        <v>0</v>
      </c>
      <c r="G78" s="24" t="n">
        <v>145200</v>
      </c>
      <c r="H78" s="5" t="inlineStr">
        <is>
          <t>#DIV/0!</t>
        </is>
      </c>
      <c r="I78" s="52" t="n"/>
      <c r="J78" s="52" t="n"/>
      <c r="K78" s="24" t="n">
        <v>145200</v>
      </c>
    </row>
    <row r="79">
      <c r="A79" s="52" t="n"/>
      <c r="B79" s="53" t="inlineStr">
        <is>
          <t>4330 489.00</t>
        </is>
      </c>
      <c r="C79" s="24" t="inlineStr">
        <is>
          <t>Loading...</t>
        </is>
      </c>
      <c r="D79" s="52" t="inlineStr">
        <is>
          <t xml:space="preserve">ASOHAR </t>
        </is>
      </c>
      <c r="E79" s="52" t="inlineStr">
        <is>
          <t>Plan dinamización hostelería</t>
        </is>
      </c>
      <c r="F79" s="24" t="n">
        <v>30000</v>
      </c>
      <c r="G79" s="24" t="n">
        <v>22000</v>
      </c>
      <c r="H79" s="5" t="n">
        <v>-0.2666666667</v>
      </c>
      <c r="I79" s="52" t="n"/>
      <c r="J79" s="52" t="n"/>
      <c r="K79" s="24" t="n">
        <v>42000</v>
      </c>
    </row>
    <row r="80">
      <c r="A80" s="52" t="n"/>
      <c r="B80" s="52" t="n"/>
      <c r="C80" s="24" t="n"/>
      <c r="D80" s="52" t="inlineStr">
        <is>
          <t>JEARCO</t>
        </is>
      </c>
      <c r="E80" s="52" t="inlineStr">
        <is>
          <t>Desarrollo proyectos emprendedores</t>
        </is>
      </c>
      <c r="F80" s="24" t="n">
        <v>3500</v>
      </c>
      <c r="G80" s="24" t="n">
        <v>4500</v>
      </c>
      <c r="H80" s="5" t="n">
        <v>0.2857142857</v>
      </c>
      <c r="I80" s="52" t="n"/>
      <c r="J80" s="52" t="n"/>
      <c r="K80" s="52" t="n"/>
    </row>
    <row r="81">
      <c r="A81" s="52" t="n"/>
      <c r="B81" s="52" t="n"/>
      <c r="C81" s="24" t="n"/>
      <c r="D81" s="52" t="inlineStr">
        <is>
          <t>ASEMAR</t>
        </is>
      </c>
      <c r="E81" s="52" t="inlineStr">
        <is>
          <t>Premio iniciativa empresarial</t>
        </is>
      </c>
      <c r="F81" s="24" t="n">
        <v>3000</v>
      </c>
      <c r="G81" s="24" t="n">
        <v>3500</v>
      </c>
      <c r="H81" s="5" t="n">
        <v>0.1666666667</v>
      </c>
      <c r="I81" s="52" t="n"/>
      <c r="J81" s="52" t="n"/>
      <c r="K81" s="52" t="n"/>
    </row>
    <row r="82">
      <c r="A82" s="52" t="n"/>
      <c r="B82" s="52" t="n"/>
      <c r="C82" s="24" t="n"/>
      <c r="D82" s="52" t="inlineStr">
        <is>
          <t>Plataforma por el Ferrocarril Directo Madrid - Aranda</t>
        </is>
      </c>
      <c r="E82" s="52" t="inlineStr">
        <is>
          <t>Apoyo a la plataforma</t>
        </is>
      </c>
      <c r="F82" s="24" t="n">
        <v>12000</v>
      </c>
      <c r="G82" s="24" t="n">
        <v>12000</v>
      </c>
      <c r="H82" s="5" t="n">
        <v>0</v>
      </c>
      <c r="I82" s="52" t="n"/>
      <c r="J82" s="52" t="n"/>
      <c r="K82" s="52" t="n"/>
    </row>
    <row r="83">
      <c r="A83" s="52" t="n"/>
      <c r="B83" s="52" t="n"/>
      <c r="C83" s="24" t="n"/>
      <c r="D83" s="52" t="n"/>
      <c r="E83" s="47" t="n">
        <v>4330</v>
      </c>
      <c r="F83" s="48" t="n">
        <v>52500</v>
      </c>
      <c r="G83" s="48" t="n">
        <v>187200</v>
      </c>
      <c r="H83" s="5" t="n">
        <v>2.565714286</v>
      </c>
      <c r="I83" s="48" t="n">
        <v>0</v>
      </c>
      <c r="J83" s="52" t="n"/>
      <c r="K83" s="52" t="n"/>
    </row>
    <row r="84">
      <c r="A84" s="52" t="n"/>
      <c r="B84" s="52" t="n"/>
      <c r="C84" s="31" t="n"/>
      <c r="D84" s="52" t="n"/>
      <c r="E84" s="52" t="n"/>
      <c r="F84" s="51" t="n"/>
      <c r="G84" s="24" t="n"/>
      <c r="H84" s="5" t="n"/>
      <c r="I84" s="52" t="n"/>
      <c r="J84" s="52" t="n"/>
      <c r="K84" s="24" t="n">
        <v>11500</v>
      </c>
    </row>
    <row r="85">
      <c r="A85" s="36" t="n"/>
      <c r="B85" s="54" t="inlineStr">
        <is>
          <t>9240 489.00</t>
        </is>
      </c>
      <c r="C85" s="55" t="inlineStr">
        <is>
          <t>Loading...</t>
        </is>
      </c>
      <c r="D85" s="28" t="inlineStr">
        <is>
          <t>PARTICIPACIÓN CIUDADANA</t>
        </is>
      </c>
      <c r="E85" s="36" t="n"/>
      <c r="F85" s="56" t="n"/>
      <c r="G85" s="56" t="n"/>
      <c r="H85" s="30" t="n"/>
      <c r="I85" s="36" t="n"/>
      <c r="J85" s="36" t="n"/>
      <c r="K85" s="36" t="n"/>
    </row>
    <row r="86">
      <c r="A86" s="36" t="n"/>
      <c r="B86" s="36" t="n"/>
      <c r="C86" s="56" t="n"/>
      <c r="D86" s="36" t="inlineStr">
        <is>
          <t>Asociación Vecinos La Estación</t>
        </is>
      </c>
      <c r="E86" s="36" t="inlineStr">
        <is>
          <t>Proyectos vecinales</t>
        </is>
      </c>
      <c r="F86" s="58" t="n">
        <v>5000</v>
      </c>
      <c r="G86" s="58" t="n">
        <v>4000</v>
      </c>
      <c r="H86" s="30" t="n"/>
      <c r="I86" s="36" t="n"/>
      <c r="J86" s="36" t="n"/>
      <c r="K86" s="36" t="n"/>
    </row>
    <row r="87">
      <c r="A87" s="36" t="n"/>
      <c r="B87" s="36" t="n"/>
      <c r="C87" s="56" t="n"/>
      <c r="D87" s="36" t="inlineStr">
        <is>
          <t>Asociación Vecinos El Polígono</t>
        </is>
      </c>
      <c r="E87" s="36" t="inlineStr">
        <is>
          <t>Proyectos vecinales</t>
        </is>
      </c>
      <c r="F87" s="58" t="n">
        <v>5000</v>
      </c>
      <c r="G87" s="58" t="n">
        <v>4000</v>
      </c>
      <c r="H87" s="30" t="n"/>
      <c r="I87" s="36" t="n"/>
      <c r="J87" s="36" t="n"/>
      <c r="K87" s="36" t="n"/>
    </row>
    <row r="88">
      <c r="A88" s="36" t="n"/>
      <c r="B88" s="36" t="n"/>
      <c r="C88" s="56" t="n"/>
      <c r="D88" s="36" t="inlineStr">
        <is>
          <t>Asociación Vecinos Allendeduero</t>
        </is>
      </c>
      <c r="E88" s="36" t="inlineStr">
        <is>
          <t>Proyectos vecinales</t>
        </is>
      </c>
      <c r="F88" s="58" t="n">
        <v>5000</v>
      </c>
      <c r="G88" s="58" t="n">
        <v>4000</v>
      </c>
      <c r="H88" s="30" t="n"/>
      <c r="I88" s="36" t="n"/>
      <c r="J88" s="36" t="n"/>
      <c r="K88" s="36" t="n"/>
    </row>
    <row r="89">
      <c r="A89" s="36" t="n"/>
      <c r="B89" s="36" t="n"/>
      <c r="C89" s="56" t="n"/>
      <c r="D89" s="36" t="inlineStr">
        <is>
          <t>Asociación Vecinos Centro</t>
        </is>
      </c>
      <c r="E89" s="36" t="inlineStr">
        <is>
          <t>Proyectos vecinales</t>
        </is>
      </c>
      <c r="F89" s="58" t="n">
        <v>5000</v>
      </c>
      <c r="G89" s="58" t="n">
        <v>4000</v>
      </c>
      <c r="H89" s="30" t="n"/>
      <c r="I89" s="36" t="n"/>
      <c r="J89" s="36" t="n"/>
      <c r="K89" s="36" t="n"/>
    </row>
    <row r="90">
      <c r="A90" s="36" t="n"/>
      <c r="B90" s="36" t="n"/>
      <c r="C90" s="56" t="n"/>
      <c r="D90" s="36" t="inlineStr">
        <is>
          <t>Asociación Vecinos Ferial Bañuelos</t>
        </is>
      </c>
      <c r="E90" s="36" t="inlineStr">
        <is>
          <t>Proyectos vecinales</t>
        </is>
      </c>
      <c r="F90" s="58" t="n">
        <v>5000</v>
      </c>
      <c r="G90" s="58" t="n">
        <v>4000</v>
      </c>
      <c r="H90" s="30" t="n"/>
      <c r="I90" s="36" t="n"/>
      <c r="J90" s="36" t="n"/>
      <c r="K90" s="36" t="n"/>
    </row>
    <row r="91">
      <c r="A91" s="36" t="n"/>
      <c r="B91" s="36" t="n"/>
      <c r="C91" s="56" t="n"/>
      <c r="D91" s="36" t="inlineStr">
        <is>
          <t>Asociación Vecinos Santa Catalina</t>
        </is>
      </c>
      <c r="E91" s="36" t="inlineStr">
        <is>
          <t>Proyectos vecinales</t>
        </is>
      </c>
      <c r="F91" s="58" t="n">
        <v>5000</v>
      </c>
      <c r="G91" s="58" t="n">
        <v>4000</v>
      </c>
      <c r="H91" s="30" t="n"/>
      <c r="I91" s="36" t="n"/>
      <c r="J91" s="36" t="n"/>
      <c r="K91" s="36" t="n"/>
    </row>
    <row r="92">
      <c r="A92" s="36" t="n"/>
      <c r="B92" s="36" t="n"/>
      <c r="C92" s="56" t="n"/>
      <c r="D92" s="36" t="inlineStr">
        <is>
          <t>Asociación Vecinos Sinovas</t>
        </is>
      </c>
      <c r="E92" s="36" t="inlineStr">
        <is>
          <t>Proyectos vecinales</t>
        </is>
      </c>
      <c r="F92" s="58" t="n">
        <v>5000</v>
      </c>
      <c r="G92" s="58" t="n">
        <v>4000</v>
      </c>
      <c r="H92" s="30" t="n"/>
      <c r="I92" s="36" t="n"/>
      <c r="J92" s="36" t="n"/>
      <c r="K92" s="36" t="n"/>
    </row>
    <row r="93">
      <c r="A93" s="36" t="n"/>
      <c r="B93" s="36" t="n"/>
      <c r="C93" s="56" t="n"/>
      <c r="D93" s="36" t="inlineStr">
        <is>
          <t>Asociación Vecinos Costaján</t>
        </is>
      </c>
      <c r="E93" s="36" t="inlineStr">
        <is>
          <t>Proyectos vecinales</t>
        </is>
      </c>
      <c r="F93" s="58" t="n">
        <v>0</v>
      </c>
      <c r="G93" s="58" t="n">
        <v>4000</v>
      </c>
      <c r="H93" s="30" t="n"/>
      <c r="I93" s="36" t="n"/>
      <c r="J93" s="36" t="n"/>
      <c r="K93" s="36" t="n"/>
    </row>
    <row r="94">
      <c r="A94" s="36" t="n"/>
      <c r="B94" s="36" t="n"/>
      <c r="C94" s="56" t="n"/>
      <c r="D94" s="36" t="inlineStr">
        <is>
          <t>Asociación Vecinos Calabaza</t>
        </is>
      </c>
      <c r="E94" s="36" t="inlineStr">
        <is>
          <t>Proyectos vecinales</t>
        </is>
      </c>
      <c r="F94" s="58" t="n">
        <v>0</v>
      </c>
      <c r="G94" s="58" t="n">
        <v>4000</v>
      </c>
      <c r="H94" s="30" t="n"/>
      <c r="I94" s="36" t="n"/>
      <c r="J94" s="36" t="n"/>
      <c r="K94" s="36" t="n"/>
    </row>
    <row r="95">
      <c r="A95" s="36" t="n"/>
      <c r="B95" s="36" t="n"/>
      <c r="C95" s="56" t="n"/>
      <c r="D95" s="36" t="inlineStr">
        <is>
          <t>Asociación Vecinos La Aguilera (Asoc Cultural Cuesta Del Águila)</t>
        </is>
      </c>
      <c r="E95" s="36" t="inlineStr">
        <is>
          <t>Proyectos vecinales</t>
        </is>
      </c>
      <c r="F95" s="58" t="n">
        <v>0</v>
      </c>
      <c r="G95" s="58" t="n">
        <v>4000</v>
      </c>
      <c r="H95" s="30" t="n"/>
      <c r="I95" s="36" t="n"/>
      <c r="J95" s="36" t="n"/>
      <c r="K95" s="36" t="n"/>
    </row>
    <row r="96">
      <c r="A96" s="36" t="n"/>
      <c r="B96" s="36" t="n"/>
      <c r="C96" s="56" t="n"/>
      <c r="D96" s="36" t="n"/>
      <c r="E96" s="59" t="n">
        <v>9240</v>
      </c>
      <c r="F96" s="61" t="n">
        <v>35000</v>
      </c>
      <c r="G96" s="61" t="n">
        <v>40000</v>
      </c>
      <c r="H96" s="62" t="n">
        <v>0.1428571429</v>
      </c>
      <c r="I96" s="61" t="n">
        <v>0</v>
      </c>
      <c r="J96" s="36" t="n"/>
      <c r="K96" s="36" t="n"/>
    </row>
    <row r="97">
      <c r="A97" s="52" t="n"/>
      <c r="B97" s="52" t="n"/>
      <c r="C97" s="24" t="n"/>
      <c r="D97" s="63" t="n"/>
      <c r="E97" s="52" t="n"/>
      <c r="F97" s="51" t="n"/>
      <c r="G97" s="24" t="n"/>
      <c r="H97" s="5" t="n"/>
      <c r="I97" s="52" t="n"/>
      <c r="J97" s="52" t="n"/>
      <c r="K97" s="52" t="n"/>
    </row>
    <row r="98">
      <c r="A98" s="52" t="n"/>
      <c r="B98" s="52" t="n"/>
      <c r="C98" s="24" t="n"/>
      <c r="D98" s="63" t="n"/>
      <c r="E98" s="64" t="inlineStr">
        <is>
          <t>TOTAL SUBVENCIONES NOMINATIVAS</t>
        </is>
      </c>
      <c r="F98" s="66" t="n">
        <v>752250</v>
      </c>
      <c r="G98" s="66" t="n">
        <v>681600</v>
      </c>
      <c r="H98" s="5" t="n">
        <v>-0.09391824526000001</v>
      </c>
      <c r="I98" s="48" t="inlineStr">
        <is>
          <t>#REF!</t>
        </is>
      </c>
      <c r="J98" s="52" t="n"/>
      <c r="K98" s="52" t="n"/>
    </row>
    <row r="99">
      <c r="A99" s="52" t="n"/>
      <c r="B99" s="52" t="n"/>
      <c r="C99" s="24" t="n"/>
      <c r="D99" s="63" t="n"/>
      <c r="E99" s="52" t="n"/>
      <c r="F99" s="51" t="n"/>
      <c r="G99" s="24" t="n"/>
      <c r="H99" s="5" t="n"/>
      <c r="I99" s="52" t="n"/>
      <c r="J99" s="52" t="n"/>
      <c r="K99" s="52" t="n"/>
    </row>
    <row r="100">
      <c r="A100" s="52" t="n"/>
      <c r="B100" s="52" t="n"/>
      <c r="C100" s="24" t="n"/>
      <c r="D100" s="7" t="inlineStr">
        <is>
          <t>APORTACIONES Y CUOTAS ASOCIACIONES</t>
        </is>
      </c>
      <c r="E100" s="52" t="n"/>
      <c r="F100" s="51" t="n"/>
      <c r="G100" s="24" t="n"/>
      <c r="H100" s="5" t="n"/>
      <c r="I100" s="52" t="n"/>
      <c r="J100" s="52" t="n"/>
      <c r="K100" s="52" t="n"/>
    </row>
    <row r="101">
      <c r="A101" s="52" t="n"/>
      <c r="B101" s="52" t="n"/>
      <c r="C101" s="24" t="n"/>
      <c r="D101" s="67" t="n"/>
      <c r="E101" s="52" t="n"/>
      <c r="F101" s="51" t="n"/>
      <c r="G101" s="24" t="n"/>
      <c r="H101" s="5" t="n"/>
      <c r="I101" s="52" t="n"/>
      <c r="J101" s="52" t="n"/>
      <c r="K101" s="52" t="n"/>
    </row>
    <row r="102">
      <c r="A102" s="52" t="n"/>
      <c r="B102" s="77" t="inlineStr">
        <is>
          <t>PARTIDA</t>
        </is>
      </c>
      <c r="C102" s="78" t="inlineStr">
        <is>
          <t>CRÉDITO PARTIDA</t>
        </is>
      </c>
      <c r="D102" s="11" t="inlineStr">
        <is>
          <t>PROGRAMA</t>
        </is>
      </c>
      <c r="E102" s="11" t="inlineStr">
        <is>
          <t>CONCEPTO</t>
        </is>
      </c>
      <c r="F102" s="79" t="inlineStr">
        <is>
          <t>2024</t>
        </is>
      </c>
      <c r="G102" s="79" t="inlineStr">
        <is>
          <t>2025</t>
        </is>
      </c>
      <c r="H102" s="5" t="n"/>
      <c r="I102" s="52" t="n"/>
      <c r="J102" s="52" t="n"/>
      <c r="K102" s="52" t="n"/>
    </row>
    <row r="103">
      <c r="A103" s="52" t="n"/>
      <c r="B103" s="81" t="n"/>
      <c r="C103" s="81" t="n"/>
      <c r="D103" s="11" t="inlineStr">
        <is>
          <t>ENTIDAD BENEFICIARIA</t>
        </is>
      </c>
      <c r="E103" s="81" t="n"/>
      <c r="F103" s="81" t="n"/>
      <c r="G103" s="81" t="n"/>
      <c r="H103" s="5" t="n"/>
      <c r="I103" s="52" t="n"/>
      <c r="J103" s="52" t="n"/>
      <c r="K103" s="52" t="n"/>
    </row>
    <row r="104">
      <c r="A104" s="52" t="n"/>
      <c r="B104" s="53" t="inlineStr">
        <is>
          <t xml:space="preserve">1610 489.00 </t>
        </is>
      </c>
      <c r="C104" s="24" t="inlineStr">
        <is>
          <t>Loading...</t>
        </is>
      </c>
      <c r="D104" s="68" t="inlineStr">
        <is>
          <t>ABASTECIMIENTO Y DISTRIBUCIÓN DE AGUAS</t>
        </is>
      </c>
      <c r="E104" s="47" t="n"/>
      <c r="F104" s="51" t="n"/>
      <c r="G104" s="6" t="n"/>
      <c r="H104" s="5" t="n"/>
      <c r="I104" s="52" t="n"/>
      <c r="J104" s="52" t="n"/>
      <c r="K104" s="52" t="n"/>
    </row>
    <row r="105">
      <c r="A105" s="52" t="n"/>
      <c r="B105" s="53" t="n"/>
      <c r="C105" s="6" t="n"/>
      <c r="D105" s="52" t="inlineStr">
        <is>
          <t>Asociación española de abastecimiento de aguas y saneamiento</t>
        </is>
      </c>
      <c r="E105" s="52" t="inlineStr">
        <is>
          <t>Cuota</t>
        </is>
      </c>
      <c r="F105" s="69" t="n">
        <v>2200</v>
      </c>
      <c r="G105" s="69" t="n">
        <v>2200</v>
      </c>
      <c r="H105" s="5" t="n">
        <v>0</v>
      </c>
      <c r="I105" s="52" t="n"/>
      <c r="J105" s="52" t="n"/>
      <c r="K105" s="52" t="n"/>
    </row>
    <row r="106">
      <c r="A106" s="52" t="n"/>
      <c r="B106" s="53" t="n"/>
      <c r="C106" s="53" t="n"/>
      <c r="D106" s="52" t="n"/>
      <c r="E106" s="52" t="n"/>
      <c r="F106" s="24" t="n"/>
      <c r="G106" s="24" t="n"/>
      <c r="H106" s="5" t="n"/>
      <c r="I106" s="52" t="n"/>
      <c r="J106" s="52" t="n"/>
      <c r="K106" s="52" t="n"/>
    </row>
    <row r="107">
      <c r="A107" s="52" t="n"/>
      <c r="B107" s="53" t="inlineStr">
        <is>
          <t xml:space="preserve">1700 489.00 </t>
        </is>
      </c>
      <c r="C107" s="24" t="inlineStr">
        <is>
          <t>Loading...</t>
        </is>
      </c>
      <c r="D107" s="46" t="inlineStr">
        <is>
          <t>ADMON. GRAL MEDIO AMBIENTE</t>
        </is>
      </c>
      <c r="E107" s="47" t="n"/>
      <c r="F107" s="6" t="n"/>
      <c r="G107" s="6" t="n"/>
      <c r="H107" s="5" t="n"/>
      <c r="I107" s="52" t="n"/>
      <c r="J107" s="52" t="n"/>
      <c r="K107" s="52" t="n"/>
    </row>
    <row r="108">
      <c r="A108" s="52" t="n"/>
      <c r="B108" s="52" t="n"/>
      <c r="C108" s="24" t="n"/>
      <c r="D108" s="52" t="inlineStr">
        <is>
          <t>Federación Española de Municipios y Provincias</t>
        </is>
      </c>
      <c r="E108" s="52" t="inlineStr">
        <is>
          <t>Cuota Red Española de Ciudades por el Clima</t>
        </is>
      </c>
      <c r="F108" s="71" t="n">
        <v>150</v>
      </c>
      <c r="G108" s="71" t="n">
        <v>300</v>
      </c>
      <c r="H108" s="5" t="n">
        <v>1</v>
      </c>
      <c r="I108" s="52" t="n"/>
      <c r="J108" s="52" t="n"/>
      <c r="K108" s="52" t="n"/>
    </row>
    <row r="109">
      <c r="A109" s="52" t="n"/>
      <c r="B109" s="52" t="n"/>
      <c r="C109" s="24" t="n"/>
      <c r="D109" s="52" t="n"/>
      <c r="E109" s="52" t="n"/>
      <c r="F109" s="72" t="n"/>
      <c r="G109" s="72" t="n"/>
      <c r="H109" s="5" t="n"/>
      <c r="I109" s="52" t="n"/>
      <c r="J109" s="52" t="n"/>
      <c r="K109" s="52" t="n"/>
    </row>
    <row r="110">
      <c r="A110" s="52" t="n"/>
      <c r="B110" s="53" t="inlineStr">
        <is>
          <t xml:space="preserve">1710 489.00 </t>
        </is>
      </c>
      <c r="C110" s="24" t="inlineStr">
        <is>
          <t>Loading...</t>
        </is>
      </c>
      <c r="D110" s="46" t="inlineStr">
        <is>
          <t>PARQUES Y JARDINES</t>
        </is>
      </c>
      <c r="E110" s="47" t="n"/>
      <c r="F110" s="6" t="n"/>
      <c r="G110" s="6" t="n"/>
      <c r="H110" s="5" t="n"/>
      <c r="I110" s="52" t="n"/>
      <c r="J110" s="52" t="n"/>
      <c r="K110" s="52" t="n"/>
    </row>
    <row r="111">
      <c r="A111" s="52" t="n"/>
      <c r="B111" s="52" t="n"/>
      <c r="C111" s="24" t="n"/>
      <c r="D111" s="52" t="inlineStr">
        <is>
          <t>Asociación española de parques y jardines</t>
        </is>
      </c>
      <c r="E111" s="52" t="inlineStr">
        <is>
          <t>Cuota</t>
        </is>
      </c>
      <c r="F111" s="71" t="n">
        <v>210</v>
      </c>
      <c r="G111" s="71" t="n">
        <v>210</v>
      </c>
      <c r="H111" s="5" t="n">
        <v>0</v>
      </c>
      <c r="I111" s="52" t="n"/>
      <c r="J111" s="52" t="n"/>
      <c r="K111" s="52" t="n"/>
    </row>
    <row r="112">
      <c r="A112" s="52" t="n"/>
      <c r="B112" s="52" t="n"/>
      <c r="C112" s="24" t="n"/>
      <c r="D112" s="52" t="n"/>
      <c r="E112" s="52" t="n"/>
      <c r="F112" s="72" t="n"/>
      <c r="G112" s="72" t="n"/>
      <c r="H112" s="5" t="n"/>
      <c r="I112" s="52" t="n"/>
      <c r="J112" s="52" t="n"/>
      <c r="K112" s="52" t="n"/>
    </row>
    <row r="113">
      <c r="A113" s="52" t="n"/>
      <c r="B113" s="53" t="inlineStr">
        <is>
          <t>3260 489.00</t>
        </is>
      </c>
      <c r="C113" s="24" t="inlineStr">
        <is>
          <t>Loading...</t>
        </is>
      </c>
      <c r="D113" s="73" t="inlineStr">
        <is>
          <t>SERVICIOS COMPLEMENTARIOS EDUCACIÓN</t>
        </is>
      </c>
      <c r="E113" s="52" t="n"/>
      <c r="F113" s="24" t="n"/>
      <c r="G113" s="24" t="n"/>
      <c r="H113" s="5" t="n"/>
      <c r="I113" s="52" t="n"/>
      <c r="J113" s="52" t="n"/>
      <c r="K113" s="52" t="n"/>
    </row>
    <row r="114">
      <c r="A114" s="52" t="n"/>
      <c r="B114" s="53" t="n"/>
      <c r="C114" s="31" t="n"/>
      <c r="D114" s="52" t="inlineStr">
        <is>
          <t>Fundación Universidad de Burgos</t>
        </is>
      </c>
      <c r="E114" s="52" t="inlineStr">
        <is>
          <t>Cuota</t>
        </is>
      </c>
      <c r="F114" s="69" t="n">
        <v>800</v>
      </c>
      <c r="G114" s="69" t="n">
        <v>800</v>
      </c>
      <c r="H114" s="5" t="n">
        <v>0</v>
      </c>
      <c r="I114" s="52" t="n"/>
      <c r="J114" s="52" t="n"/>
      <c r="K114" s="52" t="n"/>
    </row>
    <row r="115">
      <c r="A115" s="52" t="n"/>
      <c r="B115" s="53" t="n"/>
      <c r="C115" s="24" t="n"/>
      <c r="D115" s="52" t="n"/>
      <c r="E115" s="52" t="n"/>
      <c r="F115" s="24" t="n"/>
      <c r="G115" s="24" t="n"/>
      <c r="H115" s="5" t="n"/>
      <c r="I115" s="52" t="n"/>
      <c r="J115" s="52" t="n"/>
      <c r="K115" s="52" t="n"/>
    </row>
    <row r="116">
      <c r="A116" s="52" t="n"/>
      <c r="B116" s="53" t="inlineStr">
        <is>
          <t>3340 489.00</t>
        </is>
      </c>
      <c r="C116" s="24" t="inlineStr">
        <is>
          <t>Loading...</t>
        </is>
      </c>
      <c r="D116" s="46" t="inlineStr">
        <is>
          <t>PROMOCIÓN CULTURAL</t>
        </is>
      </c>
      <c r="E116" s="52" t="n"/>
      <c r="F116" s="24" t="n"/>
      <c r="G116" s="24" t="n"/>
      <c r="H116" s="5" t="n"/>
      <c r="I116" s="52" t="n"/>
      <c r="J116" s="52" t="n"/>
      <c r="K116" s="52" t="n"/>
    </row>
    <row r="117">
      <c r="A117" s="52" t="n"/>
      <c r="B117" s="52" t="n"/>
      <c r="C117" s="24" t="n"/>
      <c r="D117" s="52" t="inlineStr">
        <is>
          <t>Instituto Castellano y Leonés de la Lengua</t>
        </is>
      </c>
      <c r="E117" s="52" t="inlineStr">
        <is>
          <t>Cuota patronato</t>
        </is>
      </c>
      <c r="F117" s="69" t="n">
        <v>12000</v>
      </c>
      <c r="G117" s="69" t="n">
        <v>12000</v>
      </c>
      <c r="H117" s="5" t="n">
        <v>0</v>
      </c>
      <c r="I117" s="52" t="n"/>
      <c r="J117" s="52" t="n"/>
      <c r="K117" s="52" t="n"/>
    </row>
    <row r="118">
      <c r="A118" s="52" t="n"/>
      <c r="B118" s="52" t="n"/>
      <c r="C118" s="24" t="n"/>
      <c r="D118" s="52" t="n"/>
      <c r="E118" s="52" t="n"/>
      <c r="F118" s="24" t="n"/>
      <c r="G118" s="24" t="n"/>
      <c r="H118" s="5" t="n"/>
      <c r="I118" s="52" t="n"/>
      <c r="J118" s="52" t="n"/>
      <c r="K118" s="52" t="n"/>
    </row>
    <row r="119">
      <c r="A119" s="52" t="n"/>
      <c r="B119" s="53" t="inlineStr">
        <is>
          <t>3341 489.00</t>
        </is>
      </c>
      <c r="C119" s="24" t="inlineStr">
        <is>
          <t>Loading...</t>
        </is>
      </c>
      <c r="D119" s="46" t="inlineStr">
        <is>
          <t>BANDA DE MÚSICA</t>
        </is>
      </c>
      <c r="E119" s="52" t="n"/>
      <c r="F119" s="24" t="n"/>
      <c r="G119" s="24" t="n"/>
      <c r="H119" s="5" t="n"/>
      <c r="I119" s="52" t="n"/>
      <c r="J119" s="52" t="n"/>
      <c r="K119" s="52" t="n"/>
    </row>
    <row r="120">
      <c r="A120" s="52" t="n"/>
      <c r="B120" s="52" t="n"/>
      <c r="C120" s="31" t="n"/>
      <c r="D120" s="52" t="inlineStr">
        <is>
          <t>Federación bandas de música</t>
        </is>
      </c>
      <c r="E120" s="52" t="inlineStr">
        <is>
          <t>Cuota</t>
        </is>
      </c>
      <c r="F120" s="69" t="n">
        <v>100</v>
      </c>
      <c r="G120" s="69" t="n">
        <v>100</v>
      </c>
      <c r="H120" s="5" t="n">
        <v>0</v>
      </c>
      <c r="I120" s="52" t="n"/>
      <c r="J120" s="52" t="n"/>
      <c r="K120" s="52" t="n"/>
    </row>
    <row r="121">
      <c r="A121" s="52" t="n"/>
      <c r="B121" s="52" t="n"/>
      <c r="C121" s="24" t="n"/>
      <c r="D121" s="52" t="n"/>
      <c r="E121" s="52" t="n"/>
      <c r="F121" s="22" t="n"/>
      <c r="G121" s="22" t="n"/>
      <c r="H121" s="5" t="n"/>
      <c r="I121" s="52" t="n"/>
      <c r="J121" s="52" t="n"/>
      <c r="K121" s="52" t="n"/>
    </row>
    <row r="122">
      <c r="A122" s="52" t="n"/>
      <c r="B122" s="52" t="n"/>
      <c r="C122" s="31" t="n"/>
      <c r="D122" s="46" t="inlineStr">
        <is>
          <t>TURISMO</t>
        </is>
      </c>
      <c r="E122" s="52" t="n"/>
      <c r="F122" s="24" t="n"/>
      <c r="G122" s="24" t="n"/>
      <c r="H122" s="5" t="n"/>
      <c r="I122" s="52" t="n"/>
      <c r="J122" s="52" t="n"/>
      <c r="K122" s="52" t="n"/>
    </row>
    <row r="123">
      <c r="A123" s="52" t="n"/>
      <c r="B123" s="53" t="inlineStr">
        <is>
          <t>4320 467.00</t>
        </is>
      </c>
      <c r="C123" s="24" t="inlineStr">
        <is>
          <t>Loading...</t>
        </is>
      </c>
      <c r="D123" s="52" t="inlineStr">
        <is>
          <t>Consorcio Ruta del vino Ribera del Duero</t>
        </is>
      </c>
      <c r="E123" s="52" t="inlineStr">
        <is>
          <t>Cuota</t>
        </is>
      </c>
      <c r="F123" s="24" t="n">
        <v>18000</v>
      </c>
      <c r="G123" s="24" t="n">
        <v>18000</v>
      </c>
      <c r="H123" s="5" t="n">
        <v>0</v>
      </c>
      <c r="I123" s="52" t="n"/>
      <c r="J123" s="52" t="n"/>
      <c r="K123" s="52" t="n"/>
    </row>
    <row r="124">
      <c r="A124" s="52" t="n"/>
      <c r="B124" s="53" t="inlineStr">
        <is>
          <t>4320 489.00</t>
        </is>
      </c>
      <c r="C124" s="24" t="inlineStr">
        <is>
          <t>Loading...</t>
        </is>
      </c>
      <c r="D124" s="52" t="inlineStr">
        <is>
          <t>Asociación de museos del vino</t>
        </is>
      </c>
      <c r="E124" s="52" t="inlineStr">
        <is>
          <t>Cuota</t>
        </is>
      </c>
      <c r="F124" s="24" t="n">
        <v>300</v>
      </c>
      <c r="G124" s="24" t="n">
        <v>300</v>
      </c>
      <c r="H124" s="5" t="n">
        <v>0</v>
      </c>
      <c r="I124" s="52" t="n"/>
      <c r="J124" s="52" t="n"/>
      <c r="K124" s="52" t="n"/>
    </row>
    <row r="125">
      <c r="A125" s="52" t="n"/>
      <c r="B125" s="52" t="n"/>
      <c r="C125" s="31" t="n"/>
      <c r="D125" s="52" t="n"/>
      <c r="E125" s="47" t="n">
        <v>4320</v>
      </c>
      <c r="F125" s="48" t="n">
        <v>18300</v>
      </c>
      <c r="G125" s="48" t="n">
        <v>18300</v>
      </c>
      <c r="H125" s="5" t="n">
        <v>0</v>
      </c>
      <c r="I125" s="52" t="n"/>
      <c r="J125" s="52" t="n"/>
      <c r="K125" s="52" t="n"/>
    </row>
    <row r="126">
      <c r="A126" s="52" t="n"/>
      <c r="B126" s="52" t="n"/>
      <c r="C126" s="24" t="n"/>
      <c r="D126" s="52" t="n"/>
      <c r="E126" s="47" t="n"/>
      <c r="F126" s="51" t="n"/>
      <c r="G126" s="22" t="n"/>
      <c r="H126" s="5" t="n"/>
      <c r="I126" s="52" t="n"/>
      <c r="J126" s="52" t="n"/>
      <c r="K126" s="52" t="n"/>
    </row>
    <row r="127">
      <c r="A127" s="52" t="n"/>
      <c r="B127" s="53" t="inlineStr">
        <is>
          <t>4330 489.00</t>
        </is>
      </c>
      <c r="C127" s="24" t="inlineStr">
        <is>
          <t>Loading...</t>
        </is>
      </c>
      <c r="D127" s="46" t="inlineStr">
        <is>
          <t>DESARROLLO ECONÓMICO</t>
        </is>
      </c>
      <c r="E127" s="52" t="n"/>
      <c r="F127" s="51" t="n"/>
      <c r="G127" s="24" t="n"/>
      <c r="H127" s="5" t="n"/>
      <c r="I127" s="52" t="n"/>
      <c r="J127" s="52" t="n"/>
      <c r="K127" s="52" t="n"/>
    </row>
    <row r="128">
      <c r="A128" s="52" t="n"/>
      <c r="B128" s="52" t="n"/>
      <c r="C128" s="31" t="n"/>
      <c r="D128" s="52" t="inlineStr">
        <is>
          <t>Asociación Ibérica de Municipios Ribereños</t>
        </is>
      </c>
      <c r="E128" s="52" t="inlineStr">
        <is>
          <t>Cuota</t>
        </is>
      </c>
      <c r="F128" s="24" t="n">
        <v>5000</v>
      </c>
      <c r="G128" s="24" t="n">
        <v>5000</v>
      </c>
      <c r="H128" s="5" t="n">
        <v>0</v>
      </c>
      <c r="I128" s="52" t="n"/>
      <c r="J128" s="52" t="n"/>
      <c r="K128" s="52" t="n"/>
    </row>
    <row r="129">
      <c r="A129" s="52" t="n"/>
      <c r="B129" s="52" t="n"/>
      <c r="C129" s="24" t="n"/>
      <c r="D129" s="52" t="inlineStr">
        <is>
          <t>ACEVIN</t>
        </is>
      </c>
      <c r="E129" s="52" t="inlineStr">
        <is>
          <t>Cuota</t>
        </is>
      </c>
      <c r="F129" s="24" t="n">
        <v>2000</v>
      </c>
      <c r="G129" s="24" t="n">
        <v>2000</v>
      </c>
      <c r="H129" s="5" t="n">
        <v>0</v>
      </c>
      <c r="I129" s="52" t="n"/>
      <c r="J129" s="52" t="n"/>
      <c r="K129" s="52" t="n"/>
    </row>
    <row r="130">
      <c r="A130" s="52" t="n"/>
      <c r="B130" s="52" t="n"/>
      <c r="C130" s="24" t="n"/>
      <c r="D130" s="52" t="inlineStr">
        <is>
          <t>Red Impulso</t>
        </is>
      </c>
      <c r="E130" s="52" t="inlineStr">
        <is>
          <t>Cuota</t>
        </is>
      </c>
      <c r="F130" s="24" t="n">
        <v>1500</v>
      </c>
      <c r="G130" s="24" t="n">
        <v>1500</v>
      </c>
      <c r="H130" s="5" t="n">
        <v>0</v>
      </c>
      <c r="I130" s="52" t="n"/>
      <c r="J130" s="52" t="n"/>
      <c r="K130" s="52" t="n"/>
    </row>
    <row r="131">
      <c r="A131" s="52" t="n"/>
      <c r="B131" s="52" t="n"/>
      <c r="C131" s="24" t="n"/>
      <c r="D131" s="52" t="inlineStr">
        <is>
          <t>Red Ciudades Michelin</t>
        </is>
      </c>
      <c r="E131" s="52" t="inlineStr">
        <is>
          <t>Cuota</t>
        </is>
      </c>
      <c r="F131" s="24" t="n">
        <v>1500</v>
      </c>
      <c r="G131" s="24" t="n">
        <v>1500</v>
      </c>
      <c r="H131" s="5" t="n">
        <v>0</v>
      </c>
      <c r="I131" s="52" t="n"/>
      <c r="J131" s="52" t="n"/>
      <c r="K131" s="52" t="n"/>
    </row>
    <row r="132">
      <c r="A132" s="49" t="n"/>
      <c r="B132" s="49" t="n"/>
      <c r="C132" s="50" t="n"/>
      <c r="D132" s="52" t="inlineStr">
        <is>
          <t>H2CyL</t>
        </is>
      </c>
      <c r="E132" s="52" t="inlineStr">
        <is>
          <t>Cuota</t>
        </is>
      </c>
      <c r="F132" s="24" t="n">
        <v>3000</v>
      </c>
      <c r="G132" s="24" t="n">
        <v>1200</v>
      </c>
      <c r="H132" s="5" t="n">
        <v>-0.6</v>
      </c>
      <c r="I132" s="49" t="n"/>
      <c r="J132" s="49" t="n"/>
      <c r="K132" s="49" t="n"/>
    </row>
    <row r="133">
      <c r="A133" s="52" t="n"/>
      <c r="B133" s="52" t="n"/>
      <c r="C133" s="24" t="n"/>
      <c r="D133" s="52" t="n"/>
      <c r="E133" s="47" t="n">
        <v>4330</v>
      </c>
      <c r="F133" s="48" t="n">
        <v>13000</v>
      </c>
      <c r="G133" s="48" t="n">
        <v>11200</v>
      </c>
      <c r="H133" s="5" t="n">
        <v>-0.1384615385</v>
      </c>
      <c r="I133" s="52" t="n"/>
      <c r="J133" s="52" t="n"/>
      <c r="K133" s="52" t="n"/>
    </row>
    <row r="134">
      <c r="A134" s="52" t="n"/>
      <c r="B134" s="53" t="n"/>
      <c r="C134" s="24" t="n"/>
      <c r="D134" s="17" t="n"/>
      <c r="E134" s="52" t="n"/>
      <c r="F134" s="24" t="n"/>
      <c r="G134" s="24" t="n"/>
      <c r="H134" s="5" t="n"/>
      <c r="I134" s="52" t="n"/>
      <c r="J134" s="52" t="n"/>
      <c r="K134" s="52" t="n"/>
    </row>
    <row r="135">
      <c r="A135" s="52" t="n"/>
      <c r="B135" s="53" t="inlineStr">
        <is>
          <t>9200 489.00</t>
        </is>
      </c>
      <c r="C135" s="24" t="inlineStr">
        <is>
          <t>Loading...</t>
        </is>
      </c>
      <c r="D135" s="46" t="inlineStr">
        <is>
          <t>ADMINISTRACIÓN GENERAL</t>
        </is>
      </c>
      <c r="E135" s="52" t="n"/>
      <c r="F135" s="24" t="n"/>
      <c r="G135" s="24" t="n"/>
      <c r="H135" s="5" t="n"/>
      <c r="I135" s="52" t="n"/>
      <c r="J135" s="52" t="n"/>
      <c r="K135" s="52" t="n"/>
    </row>
    <row r="136">
      <c r="A136" s="52" t="n"/>
      <c r="B136" s="52" t="n"/>
      <c r="C136" s="31" t="n"/>
      <c r="D136" s="52" t="inlineStr">
        <is>
          <t>Federación Española de Municipios y Provincias</t>
        </is>
      </c>
      <c r="E136" s="52" t="inlineStr">
        <is>
          <t>Cuota por habitante</t>
        </is>
      </c>
      <c r="F136" s="24" t="n">
        <v>1883.74</v>
      </c>
      <c r="G136" s="24" t="n">
        <v>1883.74</v>
      </c>
      <c r="H136" s="5" t="n">
        <v>0</v>
      </c>
      <c r="I136" s="52" t="n"/>
      <c r="J136" s="52" t="n"/>
      <c r="K136" s="52" t="n"/>
    </row>
    <row r="137">
      <c r="A137" s="52" t="n"/>
      <c r="B137" s="52" t="n"/>
      <c r="C137" s="24" t="n"/>
      <c r="D137" s="52" t="inlineStr">
        <is>
          <t>Federación Regional de Municipios y provincias de Castilla y León</t>
        </is>
      </c>
      <c r="E137" s="52" t="inlineStr">
        <is>
          <t>Cuota por habitante</t>
        </is>
      </c>
      <c r="F137" s="24" t="n">
        <v>1343.36</v>
      </c>
      <c r="G137" s="24" t="n">
        <v>1343.36</v>
      </c>
      <c r="H137" s="5" t="n">
        <v>0</v>
      </c>
      <c r="I137" s="52" t="n"/>
      <c r="J137" s="52" t="n"/>
      <c r="K137" s="52" t="n"/>
    </row>
    <row r="138">
      <c r="A138" s="52" t="n"/>
      <c r="B138" s="52" t="n"/>
      <c r="C138" s="24" t="n"/>
      <c r="D138" s="52" t="inlineStr">
        <is>
          <t>Federación Española de Municipios y Provincias</t>
        </is>
      </c>
      <c r="E138" s="52" t="inlineStr">
        <is>
          <t>Cuota red esp. Ciudades saludables</t>
        </is>
      </c>
      <c r="F138" s="24" t="n">
        <v>1000</v>
      </c>
      <c r="G138" s="24" t="n">
        <v>1000</v>
      </c>
      <c r="H138" s="5" t="n">
        <v>0</v>
      </c>
      <c r="I138" s="52" t="n"/>
      <c r="J138" s="52" t="n"/>
      <c r="K138" s="52" t="n"/>
    </row>
    <row r="139">
      <c r="A139" s="52" t="n"/>
      <c r="B139" s="52" t="n"/>
      <c r="C139" s="24" t="n"/>
      <c r="D139" s="52" t="n"/>
      <c r="E139" s="47" t="n">
        <v>9200</v>
      </c>
      <c r="F139" s="74" t="n">
        <v>4227.1</v>
      </c>
      <c r="G139" s="74" t="n">
        <v>4227.1</v>
      </c>
      <c r="H139" s="5" t="n">
        <v>0</v>
      </c>
      <c r="I139" s="52" t="n"/>
      <c r="J139" s="52" t="n"/>
      <c r="K139" s="52" t="n"/>
    </row>
    <row r="140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</row>
  </sheetData>
  <mergeCells count="13">
    <mergeCell ref="C102:C103"/>
    <mergeCell ref="B4:B5"/>
    <mergeCell ref="C4:C5"/>
    <mergeCell ref="F4:F5"/>
    <mergeCell ref="E4:E5"/>
    <mergeCell ref="G4:G5"/>
    <mergeCell ref="H4:H5"/>
    <mergeCell ref="I4:I5"/>
    <mergeCell ref="J4:J5"/>
    <mergeCell ref="B102:B103"/>
    <mergeCell ref="F102:F103"/>
    <mergeCell ref="E102:E103"/>
    <mergeCell ref="G102:G103"/>
  </mergeCells>
  <conditionalFormatting sqref="H1:H139 I4:J5">
    <cfRule type="colorScale" priority="1">
      <colorScale>
        <cfvo type="formula" val="-1"/>
        <cfvo type="formula" val="0"/>
        <cfvo type="formula" val="1"/>
        <color rgb="FFB7E1CD"/>
        <color rgb="FFFFFFFF"/>
        <color rgb="FFE67C73"/>
      </colorScale>
    </cfRule>
  </conditionalFormatting>
  <pageMargins left="0.7" right="0.7" top="0.75" bottom="0.75" header="0" footer="0"/>
  <pageSetup orientation="portrait" paperSize="9" fitToHeight="0"/>
  <headerFooter>
    <oddHeader>&amp;L&amp;F</oddHeader>
    <oddFooter>&amp;CPresupuesto Ayuntamiento Aranda de Duero 2025&amp;R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2026-10-19T07:43:15Z</dcterms:created>
  <dcterms:modified xsi:type="dcterms:W3CDTF">2026-10-19T07:43:15Z</dcterms:modified>
</cp:coreProperties>
</file>