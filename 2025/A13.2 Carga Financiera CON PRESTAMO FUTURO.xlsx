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<sst xmlns="http://schemas.openxmlformats.org/spreadsheetml/2006/main" count="90" uniqueCount="43">
  <si>
    <t>PREVISIÓN CARGA FINANCIERA 2025</t>
  </si>
  <si>
    <t>Columna1</t>
  </si>
  <si>
    <t>Columna2</t>
  </si>
  <si>
    <t>Columna3</t>
  </si>
  <si>
    <t>Columna4</t>
  </si>
  <si>
    <t>Columna5</t>
  </si>
  <si>
    <t>Columna6</t>
  </si>
  <si>
    <t>PRESTAMO 2017</t>
  </si>
  <si>
    <t>DIFERENCIAL:</t>
  </si>
  <si>
    <t xml:space="preserve">                  AMORTIZ TRIMESTRAL:</t>
  </si>
  <si>
    <t>(EURIBOR TRIM)</t>
  </si>
  <si>
    <t>PRIMER TRIMESTRE:</t>
  </si>
  <si>
    <t>CAPITAL VIVO:</t>
  </si>
  <si>
    <t>TIPO DE INTERES (EURIBOR +0,600)</t>
  </si>
  <si>
    <t>INTERESES PRIMER TRIMESTRE:</t>
  </si>
  <si>
    <t>SEGUNDO TRIMESTRE</t>
  </si>
  <si>
    <t>INTERESES SEGUNDO TRIMESTRE:</t>
  </si>
  <si>
    <t>TERCER TRIMESTRE</t>
  </si>
  <si>
    <t>INTERESES TERCER TRIMESTRE:</t>
  </si>
  <si>
    <t>CUARTO TRIMESTRE</t>
  </si>
  <si>
    <t>INTERESES CUARTO TRIMESTRE:</t>
  </si>
  <si>
    <t>INTERESES PRESTAMO PTO. 2017</t>
  </si>
  <si>
    <t>AMORTIZ. PRESTAMO PTO. 2017</t>
  </si>
  <si>
    <t>PRESTAMO 2018</t>
  </si>
  <si>
    <t>TIPO DE INTERES (EURIBOR +0,35%)</t>
  </si>
  <si>
    <t>INTERESES PRESTAMO PTO. 2025</t>
  </si>
  <si>
    <t>AMORTIZ. PRESTAMO PTO. 2025</t>
  </si>
  <si>
    <t>PRESTAMO 2021</t>
  </si>
  <si>
    <t xml:space="preserve">FIN CARENCIA Y DISPOSICION: </t>
  </si>
  <si>
    <t>(EURIBOR ANUAL)</t>
  </si>
  <si>
    <t>AMORTIZACION ANUAL</t>
  </si>
  <si>
    <t>TOTAL INTERESES 2024</t>
  </si>
  <si>
    <t>TOTAL  AMORTIZACIÓN 2024</t>
  </si>
  <si>
    <t>PREVISIÓN EVOLUCIÓN TIPOS DE INTERÉS</t>
  </si>
  <si>
    <t>EURIBOR ANUAL (DIC 2024)</t>
  </si>
  <si>
    <t>EURIBOR TRIMESTRAL</t>
  </si>
  <si>
    <t>1º TRIM</t>
  </si>
  <si>
    <t>2º TRIM</t>
  </si>
  <si>
    <t>3º TRIM</t>
  </si>
  <si>
    <t>4º TRIM</t>
  </si>
  <si>
    <t>PRESTAMO 2025</t>
  </si>
  <si>
    <t>TOTAL INTERESES 2025</t>
  </si>
  <si>
    <t>TOTAL  AMORTIZACIÓN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</si>
</sst>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%"/>
    <numFmt numFmtId="165" formatCode="d/m/yyyy"/>
  </numFmts>
  <fonts count="16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0"/>
      <name val="Arial"/>
    </font>
    <font/>
    <font>
      <sz val="10.0"/>
      <color rgb="FF993300"/>
      <name val="Arial"/>
    </font>
    <font>
      <b/>
      <sz val="9.0"/>
      <color theme="0"/>
      <name val="Arial"/>
    </font>
    <font>
      <b/>
      <sz val="9.0"/>
      <color theme="1"/>
      <name val="Arial"/>
    </font>
    <font>
      <b/>
      <sz val="10.0"/>
      <color theme="1"/>
      <name val="Arial"/>
    </font>
    <font>
      <sz val="9.0"/>
      <color theme="1"/>
      <name val="Arial"/>
    </font>
    <font>
      <b/>
      <sz val="5.0"/>
      <color theme="1"/>
      <name val="Arial"/>
    </font>
    <font>
      <b/>
      <sz val="6.0"/>
      <color theme="1"/>
      <name val="Arial"/>
    </font>
    <font>
      <b/>
      <sz val="10.0"/>
      <color rgb="FF548DD4"/>
      <name val="Arial"/>
    </font>
    <font>
      <b/>
      <sz val="7.0"/>
      <color theme="1"/>
      <name val="Arial"/>
    </font>
    <font>
      <sz val="7.0"/>
      <color theme="1"/>
      <name val="Arial"/>
    </font>
    <font>
      <sz val="8.0"/>
      <color theme="1"/>
      <name val="Arial"/>
    </font>
    <font>
      <b/>
      <sz val="9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  <fill>
      <patternFill patternType="solid">
        <fgColor rgb="FF95B3D7"/>
        <bgColor rgb="FF95B3D7"/>
      </patternFill>
    </fill>
    <fill>
      <patternFill patternType="solid">
        <fgColor rgb="FF548DD4"/>
        <bgColor rgb="FF548DD4"/>
      </patternFill>
    </fill>
  </fills>
  <borders count="1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4" numFmtId="4" xfId="0" applyFont="1" applyNumberFormat="1"/>
    <xf borderId="4" fillId="3" fontId="5" numFmtId="0" xfId="0" applyBorder="1" applyFill="1" applyFont="1"/>
    <xf borderId="5" fillId="3" fontId="5" numFmtId="4" xfId="0" applyBorder="1" applyFill="1" applyFont="1" applyNumberFormat="1"/>
    <xf borderId="0" fillId="0" fontId="6" numFmtId="4" xfId="0" applyAlignment="1" applyFont="1" applyNumberFormat="1">
      <alignment horizontal="center"/>
    </xf>
    <xf borderId="0" fillId="0" fontId="1" numFmtId="0" xfId="0" applyFont="1"/>
    <xf borderId="0" fillId="0" fontId="7" numFmtId="4" xfId="0" applyFont="1" applyNumberFormat="1"/>
    <xf borderId="6" fillId="4" fontId="5" numFmtId="0" xfId="0" applyBorder="1" applyFill="1" applyFont="1"/>
    <xf borderId="7" fillId="4" fontId="5" numFmtId="4" xfId="0" applyBorder="1" applyFill="1" applyFont="1" applyNumberFormat="1"/>
    <xf borderId="8" fillId="0" fontId="6" numFmtId="4" xfId="0" applyAlignment="1" applyBorder="1" applyFont="1" applyNumberFormat="1">
      <alignment horizontal="center"/>
    </xf>
    <xf borderId="8" fillId="0" fontId="1" numFmtId="0" xfId="0" applyBorder="1" applyFont="1"/>
    <xf borderId="8" fillId="0" fontId="7" numFmtId="4" xfId="0" applyBorder="1" applyFont="1" applyNumberFormat="1"/>
    <xf borderId="0" fillId="0" fontId="8" numFmtId="0" xfId="0" applyFont="1"/>
    <xf borderId="0" fillId="0" fontId="8" numFmtId="164" xfId="0" applyFont="1" applyNumberFormat="1"/>
    <xf borderId="0" fillId="0" fontId="6" numFmtId="0" xfId="0" applyAlignment="1" applyFont="1">
      <alignment horizontal="left"/>
    </xf>
    <xf borderId="0" fillId="0" fontId="6" numFmtId="4" xfId="0" applyFont="1" applyNumberFormat="1"/>
    <xf borderId="0" fillId="0" fontId="8" numFmtId="0" xfId="0" applyFont="1"/>
    <xf borderId="0" fillId="0" fontId="8" numFmtId="4" xfId="0" applyFont="1" applyNumberFormat="1"/>
    <xf borderId="0" fillId="0" fontId="1" numFmtId="4" xfId="0" applyFont="1" applyNumberFormat="1"/>
    <xf borderId="0" fillId="0" fontId="6" numFmtId="4" xfId="0" applyAlignment="1" applyFont="1" applyNumberFormat="1">
      <alignment horizontal="center"/>
    </xf>
    <xf borderId="0" fillId="0" fontId="8" numFmtId="4" xfId="0" applyFont="1" applyNumberFormat="1"/>
    <xf borderId="0" fillId="0" fontId="6" numFmtId="0" xfId="0" applyFont="1"/>
    <xf borderId="0" fillId="0" fontId="6" numFmtId="0" xfId="0" applyAlignment="1" applyFont="1">
      <alignment horizontal="right"/>
    </xf>
    <xf borderId="0" fillId="0" fontId="7" numFmtId="49" xfId="0" applyAlignment="1" applyFont="1" applyNumberFormat="1">
      <alignment horizontal="left"/>
    </xf>
    <xf borderId="0" fillId="0" fontId="6" numFmtId="0" xfId="0" applyFont="1"/>
    <xf borderId="0" fillId="0" fontId="6" numFmtId="4" xfId="0" applyFont="1" applyNumberFormat="1"/>
    <xf borderId="9" fillId="3" fontId="5" numFmtId="0" xfId="0" applyBorder="1" applyFill="1" applyFont="1"/>
    <xf borderId="9" fillId="3" fontId="5" numFmtId="4" xfId="0" applyBorder="1" applyFill="1" applyFont="1" applyNumberFormat="1"/>
    <xf borderId="4" fillId="4" fontId="5" numFmtId="0" xfId="0" applyBorder="1" applyFill="1" applyFont="1"/>
    <xf borderId="5" fillId="4" fontId="5" numFmtId="4" xfId="0" applyBorder="1" applyFill="1" applyFont="1" applyNumberFormat="1"/>
    <xf borderId="0" fillId="0" fontId="6" numFmtId="0" xfId="0" applyAlignment="1" applyFont="1">
      <alignment horizontal="right"/>
    </xf>
    <xf borderId="0" fillId="0" fontId="9" numFmtId="4" xfId="0" applyAlignment="1" applyFont="1" applyNumberFormat="1">
      <alignment horizontal="right"/>
    </xf>
    <xf borderId="0" fillId="0" fontId="6" numFmtId="165" xfId="0" applyFont="1" applyNumberFormat="1"/>
    <xf borderId="8" fillId="0" fontId="9" numFmtId="4" xfId="0" applyAlignment="1" applyBorder="1" applyFont="1" applyNumberFormat="1">
      <alignment horizontal="right"/>
    </xf>
    <xf borderId="8" fillId="0" fontId="6" numFmtId="165" xfId="0" applyBorder="1" applyFont="1" applyNumberFormat="1"/>
    <xf borderId="0" fillId="0" fontId="10" numFmtId="4" xfId="0" applyAlignment="1" applyFont="1" applyNumberFormat="1">
      <alignment horizontal="right"/>
    </xf>
    <xf borderId="0" fillId="0" fontId="7" numFmtId="165" xfId="0" applyFont="1" applyNumberFormat="1"/>
    <xf borderId="0" fillId="0" fontId="8" numFmtId="165" xfId="0" applyFont="1" applyNumberFormat="1"/>
    <xf borderId="0" fillId="0" fontId="1" numFmtId="4" xfId="0" applyFont="1" applyNumberFormat="1"/>
    <xf borderId="10" fillId="4" fontId="5" numFmtId="0" xfId="0" applyAlignment="1" applyBorder="1" applyFill="1" applyFont="1">
      <alignment vertical="center"/>
    </xf>
    <xf borderId="6" fillId="4" fontId="5" numFmtId="0" xfId="0" applyAlignment="1" applyBorder="1" applyFill="1" applyFont="1">
      <alignment vertical="center"/>
    </xf>
    <xf borderId="10" fillId="4" fontId="5" numFmtId="0" xfId="0" applyAlignment="1" applyBorder="1" applyFill="1" applyFont="1">
      <alignment horizontal="right" vertical="center"/>
    </xf>
    <xf borderId="11" fillId="4" fontId="5" numFmtId="4" xfId="0" applyAlignment="1" applyBorder="1" applyFill="1" applyFont="1" applyNumberFormat="1">
      <alignment horizontal="right" vertical="center"/>
    </xf>
    <xf borderId="0" fillId="0" fontId="11" numFmtId="0" xfId="0" applyFont="1"/>
    <xf borderId="12" fillId="0" fontId="12" numFmtId="0" xfId="0" applyAlignment="1" applyBorder="1" applyFont="1">
      <alignment horizontal="center"/>
    </xf>
    <xf borderId="13" fillId="0" fontId="3" numFmtId="0" xfId="0" applyBorder="1" applyFont="1"/>
    <xf borderId="14" fillId="0" fontId="3" numFmtId="0" xfId="0" applyBorder="1" applyFont="1"/>
    <xf borderId="15" fillId="0" fontId="1" numFmtId="10" xfId="0" applyAlignment="1" applyBorder="1" applyFont="1" applyNumberFormat="1">
      <alignment horizontal="center"/>
    </xf>
    <xf borderId="16" fillId="0" fontId="3" numFmtId="0" xfId="0" applyBorder="1" applyFont="1"/>
    <xf borderId="17" fillId="0" fontId="13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1" numFmtId="10" xfId="0" applyAlignment="1" applyFont="1" applyNumberFormat="1">
      <alignment horizontal="center"/>
    </xf>
    <xf borderId="0" fillId="0" fontId="14" numFmtId="0" xfId="0" applyAlignment="1" applyFont="1">
      <alignment horizontal="right"/>
    </xf>
    <xf borderId="0" fillId="0" fontId="14" numFmtId="164" xfId="0" applyFont="1" applyNumberFormat="1"/>
    <xf borderId="6" fillId="4" fontId="15" numFmtId="0" xfId="0" applyAlignment="1" applyBorder="1" applyFill="1" applyFont="1">
      <alignment readingOrder="0"/>
    </xf>
    <xf borderId="6" fillId="4" fontId="5" numFmtId="0" xfId="0" applyBorder="1" applyFill="1" applyFont="1"/>
    <xf borderId="7" fillId="4" fontId="5" numFmtId="4" xfId="0" applyBorder="1" applyFill="1" applyFont="1" applyNumberFormat="1"/>
    <xf borderId="8" fillId="0" fontId="1" numFmtId="0" xfId="0" applyBorder="1" applyFont="1"/>
    <xf borderId="8" fillId="0" fontId="9" numFmtId="4" xfId="0" applyAlignment="1" applyBorder="1" applyFont="1" applyNumberFormat="1">
      <alignment horizontal="right"/>
    </xf>
    <xf borderId="8" fillId="0" fontId="6" numFmtId="165" xfId="0" applyBorder="1" applyFont="1" applyNumberFormat="1"/>
    <xf borderId="0" fillId="0" fontId="8" numFmtId="164" xfId="0" applyFont="1" applyNumberFormat="1"/>
    <xf borderId="0" fillId="0" fontId="10" numFmtId="4" xfId="0" applyAlignment="1" applyFont="1" applyNumberFormat="1">
      <alignment horizontal="right"/>
    </xf>
    <xf borderId="0" fillId="0" fontId="7" numFmtId="165" xfId="0" applyFont="1" applyNumberFormat="1"/>
    <xf borderId="0" fillId="0" fontId="8" numFmtId="165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3">
    <tableStyle count="4" pivot="0" name="Hoja1-style">
      <tableStyleElement dxfId="1" type="headerRow"/>
      <tableStyleElement dxfId="2" type="firstRowStripe"/>
      <tableStyleElement dxfId="2" type="secondRowStripe"/>
      <tableStyleElement dxfId="1" type="totalRow"/>
    </tableStyle>
    <tableStyle count="4" pivot="0" name="Hoja1-style 2">
      <tableStyleElement dxfId="1" type="headerRow"/>
      <tableStyleElement dxfId="2" type="firstRowStripe"/>
      <tableStyleElement dxfId="2" type="secondRowStripe"/>
      <tableStyleElement dxfId="1" type="totalRow"/>
    </tableStyle>
    <tableStyle count="4" pivot="0" name="Hoja1-style 3">
      <tableStyleElement dxfId="1" type="headerRow"/>
      <tableStyleElement dxfId="2" type="firstRowStripe"/>
      <tableStyleElement dxfId="2" type="secondRowStripe"/>
      <tableStyleElement dxfId="1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B3:G32" displayName="Table_1" name="Table_1" id="1">
  <tableColumns count="6">
    <tableColumn name="Columna1" id="1"/>
    <tableColumn name="Columna2" id="2"/>
    <tableColumn name="Columna3" id="3"/>
    <tableColumn name="Columna4" id="4"/>
    <tableColumn totalsRowLabel="AMORTIZ. PRESTAMO PTO. 2017" name="Columna5" id="5"/>
    <tableColumn totalsRowFunction="custom" name="Columna6" id="6"/>
  </tableColumns>
  <tableStyleInfo name="Hoja1-style" showColumnStripes="0" showFirstColumn="1" showLastColumn="1" showRowStripes="1"/>
</table>
</file>

<file path=xl/tables/table2.xml><?xml version="1.0" encoding="utf-8"?>
<table xmlns="http://schemas.openxmlformats.org/spreadsheetml/2006/main" totalsRowCount="1" ref="B35:G64" displayName="Table_2" name="Table_2" id="2">
  <tableColumns count="6">
    <tableColumn name="Columna1" id="1"/>
    <tableColumn name="Columna2" id="2"/>
    <tableColumn name="Columna3" id="3"/>
    <tableColumn name="Columna4" id="4"/>
    <tableColumn totalsRowLabel="AMORTIZ. PRESTAMO PTO. 2025" name="Columna5" id="5"/>
    <tableColumn totalsRowFunction="custom" name="Columna6" id="6"/>
  </tableColumns>
  <tableStyleInfo name="Hoja1-style 2" showColumnStripes="0" showFirstColumn="1" showLastColumn="1" showRowStripes="1"/>
</table>
</file>

<file path=xl/tables/table3.xml><?xml version="1.0" encoding="utf-8"?>
<table xmlns="http://schemas.openxmlformats.org/spreadsheetml/2006/main" totalsRowCount="1" ref="B66:G73" displayName="Table_3" name="Table_3" id="3">
  <tableColumns count="6">
    <tableColumn name="Columna1" id="1"/>
    <tableColumn name="Columna2" id="2"/>
    <tableColumn name="Columna3" id="3"/>
    <tableColumn name="Columna4" id="4"/>
    <tableColumn totalsRowLabel="AMORTIZ. PRESTAMO PTO. 2025" name="Columna5" id="5"/>
    <tableColumn totalsRowFunction="custom" name="Columna6" id="6"/>
  </tableColumns>
  <tableStyleInfo name="Hoja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3" width="11.38"/>
    <col customWidth="1" min="4" max="4" width="17.63"/>
    <col customWidth="1" min="5" max="5" width="10.88"/>
    <col customWidth="1" min="6" max="6" width="9.0"/>
    <col customWidth="1" min="7" max="7" width="15.63"/>
    <col customWidth="1" min="8" max="8" width="11.38"/>
  </cols>
  <sheetData>
    <row r="1" ht="17.25" customHeight="1">
      <c r="A1" s="1"/>
      <c r="B1" s="1"/>
      <c r="C1" s="2" t="s">
        <v>0</v>
      </c>
      <c r="D1" s="3"/>
      <c r="E1" s="3"/>
      <c r="F1" s="4"/>
      <c r="G1" s="1"/>
      <c r="H1" s="1"/>
    </row>
    <row r="2" ht="13.5" customHeight="1">
      <c r="A2" s="1"/>
      <c r="B2" s="1"/>
      <c r="C2" s="1"/>
      <c r="D2" s="1"/>
      <c r="E2" s="1"/>
      <c r="F2" s="1"/>
      <c r="G2" s="1"/>
      <c r="H2" s="5"/>
    </row>
    <row r="3" ht="13.5" hidden="1" customHeight="1">
      <c r="A3" s="1"/>
      <c r="B3" s="6" t="s">
        <v>1</v>
      </c>
      <c r="C3" s="6" t="s">
        <v>2</v>
      </c>
      <c r="D3" s="7" t="s">
        <v>3</v>
      </c>
      <c r="E3" s="8" t="s">
        <v>4</v>
      </c>
      <c r="F3" s="9" t="s">
        <v>5</v>
      </c>
      <c r="G3" s="10" t="s">
        <v>6</v>
      </c>
      <c r="H3" s="5"/>
    </row>
    <row r="4" ht="13.5" customHeight="1">
      <c r="A4" s="1"/>
      <c r="B4" s="11" t="s">
        <v>7</v>
      </c>
      <c r="C4" s="11"/>
      <c r="D4" s="12">
        <v>362528.65</v>
      </c>
      <c r="E4" s="13"/>
      <c r="F4" s="14"/>
      <c r="G4" s="15"/>
      <c r="H4" s="5"/>
    </row>
    <row r="5" ht="12.75" customHeight="1">
      <c r="A5" s="1"/>
      <c r="B5" s="16" t="s">
        <v>8</v>
      </c>
      <c r="C5" s="17">
        <v>0.006</v>
      </c>
      <c r="D5" s="18" t="s">
        <v>9</v>
      </c>
      <c r="E5" s="9"/>
      <c r="F5" s="19"/>
      <c r="G5" s="10">
        <v>9063.21</v>
      </c>
      <c r="H5" s="20"/>
    </row>
    <row r="6" ht="12.75" customHeight="1">
      <c r="A6" s="1"/>
      <c r="B6" s="16" t="s">
        <v>10</v>
      </c>
      <c r="C6" s="16"/>
      <c r="D6" s="16"/>
      <c r="E6" s="16"/>
      <c r="F6" s="16"/>
      <c r="G6" s="21"/>
      <c r="H6" s="20"/>
    </row>
    <row r="7" ht="12.75" customHeight="1">
      <c r="A7" s="1"/>
      <c r="B7" s="16" t="s">
        <v>11</v>
      </c>
      <c r="C7" s="16"/>
      <c r="D7" s="16" t="s">
        <v>12</v>
      </c>
      <c r="E7" s="16"/>
      <c r="F7" s="16"/>
      <c r="G7" s="22">
        <v>99695.43000000002</v>
      </c>
      <c r="H7" s="20"/>
    </row>
    <row r="8" ht="12.75" customHeight="1">
      <c r="A8" s="1"/>
      <c r="B8" s="16"/>
      <c r="C8" s="16"/>
      <c r="D8" s="16"/>
      <c r="E8" s="16"/>
      <c r="F8" s="16"/>
      <c r="G8" s="21"/>
      <c r="H8" s="20"/>
    </row>
    <row r="9" ht="12.75" customHeight="1">
      <c r="A9" s="1"/>
      <c r="B9" s="16"/>
      <c r="C9" s="16"/>
      <c r="D9" s="16" t="s">
        <v>13</v>
      </c>
      <c r="E9" s="16"/>
      <c r="F9" s="16"/>
      <c r="G9" s="17">
        <f>D83+C5</f>
        <v>0.036</v>
      </c>
      <c r="H9" s="20"/>
    </row>
    <row r="10" ht="12.75" customHeight="1">
      <c r="A10" s="1"/>
      <c r="B10" s="16"/>
      <c r="C10" s="16"/>
      <c r="D10" s="16"/>
      <c r="E10" s="16"/>
      <c r="F10" s="16"/>
      <c r="G10" s="21"/>
      <c r="H10" s="20"/>
    </row>
    <row r="11" ht="12.75" customHeight="1">
      <c r="A11" s="1"/>
      <c r="B11" s="16"/>
      <c r="C11" s="16"/>
      <c r="D11" s="16" t="s">
        <v>14</v>
      </c>
      <c r="E11" s="16"/>
      <c r="F11" s="16"/>
      <c r="G11" s="21">
        <f>((G7*G9)/365)*90</f>
        <v>884.9676526</v>
      </c>
      <c r="H11" s="20"/>
    </row>
    <row r="12" ht="12.75" customHeight="1">
      <c r="A12" s="1"/>
      <c r="B12" s="16"/>
      <c r="C12" s="16"/>
      <c r="D12" s="16"/>
      <c r="E12" s="16"/>
      <c r="F12" s="16"/>
      <c r="G12" s="21"/>
      <c r="H12" s="1"/>
    </row>
    <row r="13" ht="12.75" customHeight="1">
      <c r="A13" s="1"/>
      <c r="B13" s="16" t="s">
        <v>15</v>
      </c>
      <c r="C13" s="16"/>
      <c r="D13" s="16" t="s">
        <v>12</v>
      </c>
      <c r="E13" s="16"/>
      <c r="F13" s="16"/>
      <c r="G13" s="21">
        <f>G7-G5</f>
        <v>90632.22</v>
      </c>
      <c r="H13" s="20"/>
    </row>
    <row r="14" ht="12.75" customHeight="1">
      <c r="A14" s="1"/>
      <c r="B14" s="16"/>
      <c r="C14" s="16"/>
      <c r="D14" s="16"/>
      <c r="E14" s="16"/>
      <c r="F14" s="16"/>
      <c r="G14" s="21"/>
      <c r="H14" s="20"/>
    </row>
    <row r="15" ht="12.75" customHeight="1">
      <c r="A15" s="1"/>
      <c r="B15" s="16"/>
      <c r="C15" s="16"/>
      <c r="D15" s="16" t="s">
        <v>13</v>
      </c>
      <c r="E15" s="16"/>
      <c r="F15" s="16"/>
      <c r="G15" s="17">
        <f>E83+C5</f>
        <v>0.034</v>
      </c>
      <c r="H15" s="20"/>
    </row>
    <row r="16" ht="12.75" customHeight="1">
      <c r="A16" s="1"/>
      <c r="B16" s="16"/>
      <c r="C16" s="16"/>
      <c r="D16" s="16"/>
      <c r="E16" s="16"/>
      <c r="F16" s="16"/>
      <c r="G16" s="21"/>
      <c r="H16" s="20"/>
    </row>
    <row r="17" ht="12.75" customHeight="1">
      <c r="A17" s="1"/>
      <c r="B17" s="16"/>
      <c r="C17" s="16"/>
      <c r="D17" s="16" t="s">
        <v>16</v>
      </c>
      <c r="E17" s="16"/>
      <c r="F17" s="16"/>
      <c r="G17" s="21">
        <f>((G13*G15)/365)*90</f>
        <v>759.8208033</v>
      </c>
      <c r="H17" s="20"/>
    </row>
    <row r="18" ht="12.75" customHeight="1">
      <c r="A18" s="1"/>
      <c r="B18" s="16"/>
      <c r="C18" s="16"/>
      <c r="D18" s="16"/>
      <c r="E18" s="16"/>
      <c r="F18" s="16"/>
      <c r="G18" s="21"/>
      <c r="H18" s="20"/>
    </row>
    <row r="19" ht="12.75" customHeight="1">
      <c r="A19" s="1"/>
      <c r="B19" s="16" t="s">
        <v>17</v>
      </c>
      <c r="C19" s="16"/>
      <c r="D19" s="16" t="s">
        <v>12</v>
      </c>
      <c r="E19" s="16"/>
      <c r="F19" s="16"/>
      <c r="G19" s="21">
        <f>G13-G5</f>
        <v>81569.01</v>
      </c>
      <c r="H19" s="20"/>
    </row>
    <row r="20" ht="12.75" customHeight="1">
      <c r="A20" s="1"/>
      <c r="B20" s="16"/>
      <c r="C20" s="16"/>
      <c r="D20" s="16"/>
      <c r="E20" s="16"/>
      <c r="F20" s="16"/>
      <c r="G20" s="21"/>
      <c r="H20" s="20"/>
    </row>
    <row r="21" ht="12.75" customHeight="1">
      <c r="A21" s="1"/>
      <c r="B21" s="16"/>
      <c r="C21" s="16"/>
      <c r="D21" s="16" t="s">
        <v>13</v>
      </c>
      <c r="E21" s="16"/>
      <c r="F21" s="16"/>
      <c r="G21" s="17">
        <f>C5+F83</f>
        <v>0.032</v>
      </c>
      <c r="H21" s="23"/>
    </row>
    <row r="22" ht="12.75" customHeight="1">
      <c r="A22" s="1"/>
      <c r="B22" s="16"/>
      <c r="C22" s="16"/>
      <c r="D22" s="16"/>
      <c r="E22" s="16"/>
      <c r="F22" s="16"/>
      <c r="G22" s="21"/>
      <c r="H22" s="23"/>
    </row>
    <row r="23" ht="12.75" customHeight="1">
      <c r="A23" s="1"/>
      <c r="B23" s="16"/>
      <c r="C23" s="16"/>
      <c r="D23" s="16" t="s">
        <v>18</v>
      </c>
      <c r="E23" s="16"/>
      <c r="F23" s="16"/>
      <c r="G23" s="21">
        <f>((G19*G21)/365)*90</f>
        <v>643.6130104</v>
      </c>
      <c r="H23" s="23"/>
    </row>
    <row r="24" ht="12.75" customHeight="1">
      <c r="A24" s="1"/>
      <c r="B24" s="16"/>
      <c r="C24" s="16"/>
      <c r="D24" s="16"/>
      <c r="E24" s="16"/>
      <c r="F24" s="16"/>
      <c r="G24" s="21"/>
      <c r="H24" s="20"/>
    </row>
    <row r="25" ht="12.75" customHeight="1">
      <c r="A25" s="1"/>
      <c r="B25" s="16" t="s">
        <v>19</v>
      </c>
      <c r="C25" s="16"/>
      <c r="D25" s="16" t="s">
        <v>12</v>
      </c>
      <c r="E25" s="16"/>
      <c r="F25" s="16"/>
      <c r="G25" s="21">
        <f>G19-G5</f>
        <v>72505.8</v>
      </c>
      <c r="H25" s="24"/>
    </row>
    <row r="26" ht="12.75" customHeight="1">
      <c r="A26" s="1"/>
      <c r="B26" s="16"/>
      <c r="C26" s="16"/>
      <c r="D26" s="16"/>
      <c r="E26" s="16"/>
      <c r="F26" s="16"/>
      <c r="G26" s="21"/>
      <c r="H26" s="24"/>
    </row>
    <row r="27" ht="12.75" customHeight="1">
      <c r="A27" s="1"/>
      <c r="B27" s="16"/>
      <c r="C27" s="16"/>
      <c r="D27" s="16" t="s">
        <v>13</v>
      </c>
      <c r="E27" s="16"/>
      <c r="F27" s="16"/>
      <c r="G27" s="17">
        <f>G83+C5</f>
        <v>0.03</v>
      </c>
      <c r="H27" s="20"/>
    </row>
    <row r="28" ht="12.75" customHeight="1">
      <c r="A28" s="1"/>
      <c r="B28" s="16"/>
      <c r="C28" s="16"/>
      <c r="D28" s="16"/>
      <c r="E28" s="16"/>
      <c r="F28" s="16"/>
      <c r="G28" s="21"/>
      <c r="H28" s="20"/>
    </row>
    <row r="29" ht="12.75" customHeight="1">
      <c r="A29" s="1"/>
      <c r="B29" s="16"/>
      <c r="C29" s="16"/>
      <c r="D29" s="16" t="s">
        <v>20</v>
      </c>
      <c r="E29" s="16"/>
      <c r="F29" s="16"/>
      <c r="G29" s="21">
        <f>((G25*G27)/365)*90</f>
        <v>536.344274</v>
      </c>
      <c r="H29" s="20"/>
    </row>
    <row r="30" ht="12.75" customHeight="1">
      <c r="A30" s="1"/>
      <c r="B30" s="16"/>
      <c r="C30" s="16"/>
      <c r="D30" s="16"/>
      <c r="E30" s="16"/>
      <c r="F30" s="16"/>
      <c r="G30" s="21"/>
      <c r="H30" s="20"/>
    </row>
    <row r="31" ht="12.75" customHeight="1">
      <c r="A31" s="1"/>
      <c r="B31" s="16"/>
      <c r="C31" s="25"/>
      <c r="D31" s="25"/>
      <c r="E31" s="25"/>
      <c r="F31" s="26" t="s">
        <v>21</v>
      </c>
      <c r="G31" s="19">
        <f>G11+G17+G23+G29</f>
        <v>2824.74574</v>
      </c>
      <c r="H31" s="20"/>
    </row>
    <row r="32" ht="12.75" customHeight="1">
      <c r="A32" s="1"/>
      <c r="B32" s="16"/>
      <c r="C32" s="25"/>
      <c r="D32" s="25"/>
      <c r="E32" s="25"/>
      <c r="F32" s="26" t="s">
        <v>22</v>
      </c>
      <c r="G32" s="19">
        <f>G5*4</f>
        <v>36252.84</v>
      </c>
      <c r="H32" s="20"/>
    </row>
    <row r="33" ht="12.75" customHeight="1">
      <c r="A33" s="1"/>
      <c r="B33" s="27"/>
      <c r="C33" s="28"/>
      <c r="D33" s="28"/>
      <c r="E33" s="28"/>
      <c r="F33" s="28"/>
      <c r="G33" s="29"/>
      <c r="H33" s="20"/>
    </row>
    <row r="34" ht="13.5" hidden="1" customHeight="1">
      <c r="A34" s="1"/>
      <c r="B34" s="27"/>
      <c r="C34" s="28"/>
      <c r="D34" s="28"/>
      <c r="E34" s="28"/>
      <c r="F34" s="28"/>
      <c r="G34" s="29"/>
      <c r="H34" s="20"/>
    </row>
    <row r="35" ht="12.75" hidden="1" customHeight="1">
      <c r="A35" s="1"/>
      <c r="B35" s="30" t="s">
        <v>1</v>
      </c>
      <c r="C35" s="30" t="s">
        <v>2</v>
      </c>
      <c r="D35" s="31" t="s">
        <v>3</v>
      </c>
      <c r="E35" s="8" t="s">
        <v>4</v>
      </c>
      <c r="F35" s="9" t="s">
        <v>5</v>
      </c>
      <c r="G35" s="10" t="s">
        <v>6</v>
      </c>
      <c r="H35" s="1"/>
    </row>
    <row r="36" ht="13.5" customHeight="1">
      <c r="A36" s="1"/>
      <c r="B36" s="32" t="s">
        <v>23</v>
      </c>
      <c r="C36" s="32"/>
      <c r="D36" s="33">
        <v>2051624.51</v>
      </c>
      <c r="E36" s="8"/>
      <c r="F36" s="9"/>
      <c r="G36" s="10"/>
      <c r="H36" s="1"/>
    </row>
    <row r="37" ht="12.75" customHeight="1">
      <c r="A37" s="1"/>
      <c r="B37" s="16" t="s">
        <v>8</v>
      </c>
      <c r="C37" s="17">
        <v>0.0035</v>
      </c>
      <c r="D37" s="18" t="s">
        <v>9</v>
      </c>
      <c r="E37" s="9"/>
      <c r="F37" s="19"/>
      <c r="G37" s="10">
        <f>D36/40</f>
        <v>51290.61275</v>
      </c>
      <c r="H37" s="1"/>
    </row>
    <row r="38" ht="12.75" customHeight="1">
      <c r="A38" s="1"/>
      <c r="B38" s="16" t="s">
        <v>10</v>
      </c>
      <c r="C38" s="16"/>
      <c r="D38" s="16"/>
      <c r="E38" s="16"/>
      <c r="F38" s="16"/>
      <c r="G38" s="21"/>
      <c r="H38" s="1"/>
    </row>
    <row r="39" ht="12.75" customHeight="1">
      <c r="A39" s="1"/>
      <c r="B39" s="16" t="s">
        <v>11</v>
      </c>
      <c r="C39" s="16"/>
      <c r="D39" s="16" t="s">
        <v>12</v>
      </c>
      <c r="E39" s="16"/>
      <c r="F39" s="16"/>
      <c r="G39" s="22">
        <v>820649.8300000001</v>
      </c>
      <c r="H39" s="1"/>
    </row>
    <row r="40" ht="12.75" customHeight="1">
      <c r="A40" s="1"/>
      <c r="B40" s="16"/>
      <c r="C40" s="16"/>
      <c r="D40" s="16"/>
      <c r="E40" s="16"/>
      <c r="F40" s="16"/>
      <c r="G40" s="21"/>
      <c r="H40" s="1"/>
    </row>
    <row r="41" ht="12.75" customHeight="1">
      <c r="A41" s="1"/>
      <c r="B41" s="16"/>
      <c r="C41" s="16"/>
      <c r="D41" s="16" t="s">
        <v>24</v>
      </c>
      <c r="E41" s="16"/>
      <c r="F41" s="16"/>
      <c r="G41" s="17">
        <f>C37+D83</f>
        <v>0.0335</v>
      </c>
      <c r="H41" s="1"/>
    </row>
    <row r="42" ht="12.75" customHeight="1">
      <c r="A42" s="1"/>
      <c r="B42" s="16"/>
      <c r="C42" s="16"/>
      <c r="D42" s="16"/>
      <c r="E42" s="16"/>
      <c r="F42" s="16"/>
      <c r="G42" s="21"/>
      <c r="H42" s="1"/>
    </row>
    <row r="43" ht="12.75" customHeight="1">
      <c r="A43" s="1"/>
      <c r="B43" s="16"/>
      <c r="C43" s="16"/>
      <c r="D43" s="16" t="s">
        <v>14</v>
      </c>
      <c r="E43" s="16"/>
      <c r="F43" s="16"/>
      <c r="G43" s="21">
        <f>G39*G41*90/365</f>
        <v>6778.792431</v>
      </c>
      <c r="H43" s="1"/>
    </row>
    <row r="44" ht="12.75" customHeight="1">
      <c r="A44" s="1"/>
      <c r="B44" s="16"/>
      <c r="C44" s="16"/>
      <c r="D44" s="16"/>
      <c r="E44" s="16"/>
      <c r="F44" s="16"/>
      <c r="G44" s="21"/>
      <c r="H44" s="1"/>
    </row>
    <row r="45" ht="12.75" customHeight="1">
      <c r="A45" s="1"/>
      <c r="B45" s="16" t="s">
        <v>15</v>
      </c>
      <c r="C45" s="16"/>
      <c r="D45" s="16" t="s">
        <v>12</v>
      </c>
      <c r="E45" s="16"/>
      <c r="F45" s="16"/>
      <c r="G45" s="22">
        <f>G39-G37</f>
        <v>769359.2173</v>
      </c>
      <c r="H45" s="1"/>
    </row>
    <row r="46" ht="12.75" customHeight="1">
      <c r="A46" s="1"/>
      <c r="B46" s="16"/>
      <c r="C46" s="16"/>
      <c r="D46" s="16"/>
      <c r="E46" s="16"/>
      <c r="F46" s="16"/>
      <c r="G46" s="21"/>
      <c r="H46" s="1"/>
    </row>
    <row r="47" ht="12.75" customHeight="1">
      <c r="A47" s="1"/>
      <c r="B47" s="16"/>
      <c r="C47" s="16"/>
      <c r="D47" s="16" t="s">
        <v>24</v>
      </c>
      <c r="E47" s="16"/>
      <c r="F47" s="16"/>
      <c r="G47" s="17">
        <f>C37+E83</f>
        <v>0.0315</v>
      </c>
      <c r="H47" s="1"/>
    </row>
    <row r="48" ht="12.75" customHeight="1">
      <c r="A48" s="1"/>
      <c r="B48" s="16"/>
      <c r="C48" s="16"/>
      <c r="D48" s="16"/>
      <c r="E48" s="16"/>
      <c r="F48" s="16"/>
      <c r="G48" s="21"/>
      <c r="H48" s="1"/>
    </row>
    <row r="49" ht="12.75" customHeight="1">
      <c r="A49" s="1"/>
      <c r="B49" s="16"/>
      <c r="C49" s="16"/>
      <c r="D49" s="16" t="s">
        <v>16</v>
      </c>
      <c r="E49" s="16"/>
      <c r="F49" s="16"/>
      <c r="G49" s="21">
        <f>G45*G47*90/365</f>
        <v>5975.707893</v>
      </c>
      <c r="H49" s="1"/>
    </row>
    <row r="50" ht="12.75" customHeight="1">
      <c r="A50" s="1"/>
      <c r="B50" s="16"/>
      <c r="C50" s="16"/>
      <c r="D50" s="16"/>
      <c r="E50" s="16"/>
      <c r="F50" s="16"/>
      <c r="G50" s="21"/>
      <c r="H50" s="1"/>
    </row>
    <row r="51" ht="12.75" customHeight="1">
      <c r="A51" s="1"/>
      <c r="B51" s="16" t="s">
        <v>17</v>
      </c>
      <c r="C51" s="16"/>
      <c r="D51" s="16" t="s">
        <v>12</v>
      </c>
      <c r="E51" s="16"/>
      <c r="F51" s="16"/>
      <c r="G51" s="21">
        <f>G45-G37</f>
        <v>718068.6045</v>
      </c>
      <c r="H51" s="1"/>
    </row>
    <row r="52" ht="12.75" customHeight="1">
      <c r="A52" s="1"/>
      <c r="B52" s="16"/>
      <c r="C52" s="16"/>
      <c r="D52" s="16"/>
      <c r="E52" s="16"/>
      <c r="F52" s="16"/>
      <c r="G52" s="21"/>
      <c r="H52" s="1"/>
    </row>
    <row r="53" ht="12.75" customHeight="1">
      <c r="A53" s="1"/>
      <c r="B53" s="16"/>
      <c r="C53" s="16"/>
      <c r="D53" s="16" t="s">
        <v>24</v>
      </c>
      <c r="E53" s="16"/>
      <c r="F53" s="16"/>
      <c r="G53" s="17">
        <f>C37+F83</f>
        <v>0.0295</v>
      </c>
      <c r="H53" s="1"/>
    </row>
    <row r="54" ht="12.75" customHeight="1">
      <c r="A54" s="1"/>
      <c r="B54" s="16"/>
      <c r="C54" s="16"/>
      <c r="D54" s="16"/>
      <c r="E54" s="16"/>
      <c r="F54" s="16"/>
      <c r="G54" s="21"/>
      <c r="H54" s="1"/>
    </row>
    <row r="55" ht="12.75" customHeight="1">
      <c r="A55" s="1"/>
      <c r="B55" s="16"/>
      <c r="C55" s="16"/>
      <c r="D55" s="16" t="s">
        <v>18</v>
      </c>
      <c r="E55" s="16"/>
      <c r="F55" s="16"/>
      <c r="G55" s="21">
        <f>G51*G53*90/365</f>
        <v>5223.211356</v>
      </c>
      <c r="H55" s="1"/>
    </row>
    <row r="56" ht="12.75" customHeight="1">
      <c r="A56" s="1"/>
      <c r="B56" s="16"/>
      <c r="C56" s="16"/>
      <c r="D56" s="16"/>
      <c r="E56" s="16"/>
      <c r="F56" s="16"/>
      <c r="G56" s="21"/>
      <c r="H56" s="1"/>
    </row>
    <row r="57" ht="12.75" customHeight="1">
      <c r="A57" s="1"/>
      <c r="B57" s="16" t="s">
        <v>19</v>
      </c>
      <c r="C57" s="16"/>
      <c r="D57" s="16" t="s">
        <v>12</v>
      </c>
      <c r="E57" s="16"/>
      <c r="F57" s="16"/>
      <c r="G57" s="21">
        <f>G51-G37</f>
        <v>666777.9918</v>
      </c>
      <c r="H57" s="1"/>
    </row>
    <row r="58" ht="12.75" customHeight="1">
      <c r="A58" s="1"/>
      <c r="B58" s="16"/>
      <c r="C58" s="16"/>
      <c r="D58" s="16"/>
      <c r="E58" s="16"/>
      <c r="F58" s="16"/>
      <c r="G58" s="21"/>
      <c r="H58" s="1"/>
    </row>
    <row r="59" ht="12.75" customHeight="1">
      <c r="A59" s="1"/>
      <c r="B59" s="16"/>
      <c r="C59" s="16"/>
      <c r="D59" s="16" t="s">
        <v>24</v>
      </c>
      <c r="E59" s="16"/>
      <c r="F59" s="16"/>
      <c r="G59" s="17">
        <f>C37+G83</f>
        <v>0.0275</v>
      </c>
      <c r="H59" s="1"/>
    </row>
    <row r="60" ht="12.75" customHeight="1">
      <c r="A60" s="1"/>
      <c r="B60" s="16"/>
      <c r="C60" s="16"/>
      <c r="D60" s="16"/>
      <c r="E60" s="16"/>
      <c r="F60" s="16"/>
      <c r="G60" s="21"/>
      <c r="H60" s="1"/>
    </row>
    <row r="61" ht="12.75" customHeight="1">
      <c r="A61" s="1"/>
      <c r="B61" s="16"/>
      <c r="C61" s="16"/>
      <c r="D61" s="16" t="s">
        <v>20</v>
      </c>
      <c r="E61" s="16"/>
      <c r="F61" s="16"/>
      <c r="G61" s="21">
        <f>G57*G59*90/365</f>
        <v>4521.302821</v>
      </c>
      <c r="H61" s="1"/>
    </row>
    <row r="62" ht="12.75" customHeight="1">
      <c r="A62" s="1"/>
      <c r="B62" s="16"/>
      <c r="C62" s="16"/>
      <c r="D62" s="16"/>
      <c r="E62" s="16"/>
      <c r="F62" s="16"/>
      <c r="G62" s="21"/>
      <c r="H62" s="1"/>
    </row>
    <row r="63" ht="12.75" customHeight="1">
      <c r="A63" s="1"/>
      <c r="B63" s="16"/>
      <c r="C63" s="9"/>
      <c r="D63" s="25"/>
      <c r="E63" s="25"/>
      <c r="F63" s="26" t="s">
        <v>25</v>
      </c>
      <c r="G63" s="19">
        <f>G43+G49+G55+G61</f>
        <v>22499.0145</v>
      </c>
      <c r="H63" s="1"/>
    </row>
    <row r="64" ht="12.75" customHeight="1">
      <c r="A64" s="1"/>
      <c r="B64" s="16"/>
      <c r="C64" s="9"/>
      <c r="D64" s="25"/>
      <c r="E64" s="25"/>
      <c r="F64" s="26" t="s">
        <v>26</v>
      </c>
      <c r="G64" s="19">
        <f>G37*4</f>
        <v>205162.451</v>
      </c>
      <c r="H64" s="1"/>
    </row>
    <row r="65" ht="13.5" customHeight="1">
      <c r="A65" s="1"/>
      <c r="B65" s="20"/>
      <c r="C65" s="1"/>
      <c r="D65" s="28"/>
      <c r="E65" s="28"/>
      <c r="F65" s="34"/>
      <c r="G65" s="29"/>
      <c r="H65" s="1"/>
    </row>
    <row r="66" ht="13.5" hidden="1" customHeight="1">
      <c r="A66" s="1"/>
      <c r="B66" s="6" t="s">
        <v>1</v>
      </c>
      <c r="C66" s="6" t="s">
        <v>2</v>
      </c>
      <c r="D66" s="7" t="s">
        <v>3</v>
      </c>
      <c r="E66" s="9" t="s">
        <v>4</v>
      </c>
      <c r="F66" s="35" t="s">
        <v>5</v>
      </c>
      <c r="G66" s="36" t="s">
        <v>6</v>
      </c>
      <c r="H66" s="1"/>
    </row>
    <row r="67" ht="13.5" customHeight="1">
      <c r="A67" s="1"/>
      <c r="B67" s="11" t="s">
        <v>27</v>
      </c>
      <c r="C67" s="11"/>
      <c r="D67" s="12">
        <v>2906376.85</v>
      </c>
      <c r="E67" s="14"/>
      <c r="F67" s="37" t="s">
        <v>28</v>
      </c>
      <c r="G67" s="38">
        <v>44926.0</v>
      </c>
      <c r="H67" s="1"/>
    </row>
    <row r="68" ht="12.75" customHeight="1">
      <c r="A68" s="1"/>
      <c r="B68" s="16" t="s">
        <v>8</v>
      </c>
      <c r="C68" s="17">
        <v>0.0026</v>
      </c>
      <c r="D68" s="19"/>
      <c r="E68" s="9"/>
      <c r="F68" s="39"/>
      <c r="G68" s="40"/>
      <c r="H68" s="1"/>
    </row>
    <row r="69" ht="12.75" customHeight="1">
      <c r="A69" s="1"/>
      <c r="B69" s="16" t="s">
        <v>29</v>
      </c>
      <c r="C69" s="16"/>
      <c r="D69" s="19"/>
      <c r="E69" s="9"/>
      <c r="F69" s="39"/>
      <c r="G69" s="40"/>
      <c r="H69" s="1"/>
    </row>
    <row r="70" ht="12.75" customHeight="1">
      <c r="A70" s="1"/>
      <c r="B70" s="41"/>
      <c r="C70" s="16"/>
      <c r="D70" s="16" t="s">
        <v>12</v>
      </c>
      <c r="E70" s="16"/>
      <c r="F70" s="16"/>
      <c r="G70" s="22">
        <v>2325101.48</v>
      </c>
      <c r="H70" s="1"/>
    </row>
    <row r="71" ht="12.75" customHeight="1">
      <c r="A71" s="1"/>
      <c r="B71" s="16"/>
      <c r="C71" s="16"/>
      <c r="D71" s="16" t="s">
        <v>30</v>
      </c>
      <c r="E71" s="16"/>
      <c r="F71" s="16"/>
      <c r="G71" s="21">
        <f>D67/10</f>
        <v>290637.685</v>
      </c>
      <c r="H71" s="1"/>
    </row>
    <row r="72" ht="12.75" customHeight="1">
      <c r="A72" s="1"/>
      <c r="B72" s="16"/>
      <c r="C72" s="9"/>
      <c r="D72" s="25"/>
      <c r="E72" s="25"/>
      <c r="F72" s="26" t="s">
        <v>25</v>
      </c>
      <c r="G72" s="19">
        <f>G70*(B82+C68)</f>
        <v>75798.30825</v>
      </c>
      <c r="H72" s="1"/>
    </row>
    <row r="73" ht="12.75" customHeight="1">
      <c r="A73" s="1"/>
      <c r="B73" s="16"/>
      <c r="C73" s="9"/>
      <c r="D73" s="25"/>
      <c r="E73" s="25"/>
      <c r="F73" s="26" t="s">
        <v>26</v>
      </c>
      <c r="G73" s="19">
        <f>D67/10</f>
        <v>290637.685</v>
      </c>
      <c r="H73" s="1"/>
    </row>
    <row r="74" ht="13.5" customHeight="1">
      <c r="A74" s="1"/>
      <c r="B74" s="1"/>
      <c r="C74" s="1"/>
      <c r="D74" s="1"/>
      <c r="E74" s="1"/>
      <c r="F74" s="1"/>
      <c r="G74" s="42"/>
      <c r="H74" s="1"/>
    </row>
    <row r="75" ht="13.5" customHeight="1">
      <c r="A75" s="1"/>
      <c r="B75" s="1"/>
      <c r="C75" s="43"/>
      <c r="D75" s="44"/>
      <c r="E75" s="44"/>
      <c r="F75" s="45" t="s">
        <v>31</v>
      </c>
      <c r="G75" s="46">
        <f t="shared" ref="G75:G76" si="1">G31+G63+G72</f>
        <v>101122.0685</v>
      </c>
      <c r="H75" s="1"/>
    </row>
    <row r="76" ht="13.5" customHeight="1">
      <c r="A76" s="1"/>
      <c r="B76" s="1"/>
      <c r="C76" s="43"/>
      <c r="D76" s="44"/>
      <c r="E76" s="44"/>
      <c r="F76" s="45" t="s">
        <v>32</v>
      </c>
      <c r="G76" s="46">
        <f t="shared" si="1"/>
        <v>532052.976</v>
      </c>
      <c r="H76" s="1"/>
    </row>
    <row r="77" ht="12.75" customHeight="1">
      <c r="A77" s="1"/>
      <c r="B77" s="1"/>
      <c r="C77" s="1"/>
      <c r="D77" s="1"/>
      <c r="E77" s="1"/>
      <c r="F77" s="1"/>
      <c r="G77" s="1"/>
      <c r="H77" s="1"/>
    </row>
    <row r="78" ht="12.75" customHeight="1">
      <c r="A78" s="1"/>
      <c r="B78" s="1"/>
      <c r="C78" s="1"/>
      <c r="D78" s="1"/>
      <c r="E78" s="1"/>
      <c r="F78" s="1"/>
      <c r="G78" s="1"/>
      <c r="H78" s="1"/>
    </row>
    <row r="79" ht="12.75" customHeight="1">
      <c r="A79" s="1"/>
      <c r="B79" s="1"/>
      <c r="C79" s="1"/>
      <c r="D79" s="1"/>
      <c r="E79" s="1"/>
      <c r="F79" s="1"/>
      <c r="G79" s="1"/>
      <c r="H79" s="1"/>
    </row>
    <row r="80" ht="14.25" customHeight="1">
      <c r="A80" s="1"/>
      <c r="B80" s="47" t="s">
        <v>33</v>
      </c>
      <c r="C80" s="1"/>
      <c r="D80" s="1"/>
      <c r="E80" s="1"/>
      <c r="F80" s="1"/>
      <c r="G80" s="1"/>
      <c r="H80" s="1"/>
    </row>
    <row r="81" ht="14.25" customHeight="1">
      <c r="A81" s="1"/>
      <c r="B81" s="48" t="s">
        <v>34</v>
      </c>
      <c r="C81" s="49"/>
      <c r="D81" s="48" t="s">
        <v>35</v>
      </c>
      <c r="E81" s="49"/>
      <c r="F81" s="49"/>
      <c r="G81" s="50"/>
      <c r="H81" s="1"/>
    </row>
    <row r="82" ht="12.75" customHeight="1">
      <c r="A82" s="1"/>
      <c r="B82" s="51">
        <v>0.03</v>
      </c>
      <c r="C82" s="52"/>
      <c r="D82" s="53" t="s">
        <v>36</v>
      </c>
      <c r="E82" s="53" t="s">
        <v>37</v>
      </c>
      <c r="F82" s="53" t="s">
        <v>38</v>
      </c>
      <c r="G82" s="53" t="s">
        <v>39</v>
      </c>
      <c r="H82" s="1"/>
    </row>
    <row r="83" ht="12.75" customHeight="1">
      <c r="A83" s="54"/>
      <c r="B83" s="55"/>
      <c r="D83" s="55">
        <v>0.03</v>
      </c>
      <c r="E83" s="55">
        <v>0.028</v>
      </c>
      <c r="F83" s="55">
        <v>0.026</v>
      </c>
      <c r="G83" s="55">
        <v>0.024</v>
      </c>
      <c r="H83" s="54"/>
    </row>
    <row r="84" ht="12.75" customHeight="1">
      <c r="A84" s="1"/>
      <c r="B84" s="56"/>
      <c r="C84" s="1"/>
      <c r="D84" s="55"/>
      <c r="E84" s="1"/>
      <c r="F84" s="57"/>
      <c r="G84" s="1"/>
      <c r="H84" s="1"/>
    </row>
    <row r="85" ht="13.5" customHeight="1">
      <c r="A85" s="1"/>
      <c r="B85" s="58" t="s">
        <v>40</v>
      </c>
      <c r="C85" s="59"/>
      <c r="D85" s="60">
        <v>1.1E7</v>
      </c>
      <c r="E85" s="61"/>
      <c r="F85" s="62" t="s">
        <v>28</v>
      </c>
      <c r="G85" s="63">
        <v>46022.0</v>
      </c>
      <c r="H85" s="1"/>
    </row>
    <row r="86" ht="12.75" customHeight="1">
      <c r="A86" s="1"/>
      <c r="B86" s="20" t="s">
        <v>8</v>
      </c>
      <c r="C86" s="64">
        <v>0.003</v>
      </c>
      <c r="D86" s="29"/>
      <c r="E86" s="1"/>
      <c r="F86" s="65"/>
      <c r="G86" s="66"/>
      <c r="H86" s="1"/>
    </row>
    <row r="87" ht="12.75" customHeight="1">
      <c r="A87" s="1"/>
      <c r="B87" s="20" t="s">
        <v>29</v>
      </c>
      <c r="C87" s="20"/>
      <c r="D87" s="29"/>
      <c r="E87" s="1"/>
      <c r="F87" s="65"/>
      <c r="G87" s="66"/>
      <c r="H87" s="1"/>
    </row>
    <row r="88" ht="12.75" customHeight="1">
      <c r="A88" s="1"/>
      <c r="B88" s="67"/>
      <c r="C88" s="20"/>
      <c r="D88" s="20" t="s">
        <v>12</v>
      </c>
      <c r="E88" s="20"/>
      <c r="F88" s="20"/>
      <c r="G88" s="42">
        <v>1.1E7</v>
      </c>
      <c r="H88" s="1"/>
    </row>
    <row r="89" ht="12.75" customHeight="1">
      <c r="A89" s="1"/>
      <c r="B89" s="20"/>
      <c r="C89" s="20"/>
      <c r="D89" s="20" t="s">
        <v>30</v>
      </c>
      <c r="E89" s="20"/>
      <c r="F89" s="20"/>
      <c r="G89" s="24">
        <v>1100000.0</v>
      </c>
      <c r="H89" s="1"/>
    </row>
    <row r="90" ht="12.75" customHeight="1">
      <c r="A90" s="1"/>
      <c r="B90" s="20"/>
      <c r="C90" s="1"/>
      <c r="D90" s="28"/>
      <c r="E90" s="28"/>
      <c r="F90" s="34" t="s">
        <v>25</v>
      </c>
      <c r="G90" s="29">
        <f>G88*(C86+B82)</f>
        <v>363000</v>
      </c>
      <c r="H90" s="1"/>
    </row>
    <row r="91" ht="12.75" customHeight="1">
      <c r="A91" s="1"/>
      <c r="B91" s="20"/>
      <c r="C91" s="1"/>
      <c r="D91" s="28"/>
      <c r="E91" s="28"/>
      <c r="F91" s="34" t="s">
        <v>26</v>
      </c>
      <c r="G91" s="29">
        <v>0.0</v>
      </c>
      <c r="H91" s="1"/>
    </row>
    <row r="92" ht="13.5" customHeight="1">
      <c r="A92" s="1"/>
      <c r="B92" s="1"/>
      <c r="C92" s="1"/>
      <c r="D92" s="1"/>
      <c r="E92" s="1"/>
      <c r="F92" s="1"/>
      <c r="G92" s="42"/>
      <c r="H92" s="1"/>
    </row>
    <row r="93" ht="13.5" customHeight="1">
      <c r="A93" s="1"/>
      <c r="B93" s="1"/>
      <c r="C93" s="43"/>
      <c r="D93" s="44"/>
      <c r="E93" s="44"/>
      <c r="F93" s="45" t="s">
        <v>41</v>
      </c>
      <c r="G93" s="46">
        <f>G31+G63+G75+G90</f>
        <v>489445.8287</v>
      </c>
      <c r="H93" s="1"/>
    </row>
    <row r="94" ht="13.5" customHeight="1">
      <c r="A94" s="1"/>
      <c r="B94" s="1"/>
      <c r="C94" s="43"/>
      <c r="D94" s="44"/>
      <c r="E94" s="44"/>
      <c r="F94" s="45" t="s">
        <v>42</v>
      </c>
      <c r="G94" s="46">
        <f>G32+G64+G73+G91</f>
        <v>532052.976</v>
      </c>
      <c r="H94" s="1"/>
    </row>
    <row r="95" ht="12.75" customHeight="1">
      <c r="A95" s="1"/>
      <c r="B95" s="1"/>
      <c r="C95" s="1"/>
      <c r="D95" s="1"/>
      <c r="E95" s="1"/>
      <c r="F95" s="1"/>
      <c r="G95" s="1"/>
      <c r="H95" s="1"/>
    </row>
    <row r="96" ht="12.75" customHeight="1">
      <c r="A96" s="1"/>
      <c r="B96" s="1"/>
      <c r="C96" s="1"/>
      <c r="D96" s="1"/>
      <c r="E96" s="1"/>
      <c r="F96" s="1"/>
      <c r="G96" s="1"/>
      <c r="H96" s="1"/>
    </row>
    <row r="97" ht="12.75" customHeight="1">
      <c r="A97" s="1"/>
      <c r="B97" s="1"/>
      <c r="C97" s="1"/>
      <c r="D97" s="1"/>
      <c r="E97" s="1"/>
      <c r="F97" s="1"/>
      <c r="G97" s="1"/>
      <c r="H97" s="1"/>
    </row>
  </sheetData>
  <mergeCells count="5">
    <mergeCell ref="C1:F1"/>
    <mergeCell ref="B81:C81"/>
    <mergeCell ref="D81:G81"/>
    <mergeCell ref="B82:C82"/>
    <mergeCell ref="B83:C83"/>
  </mergeCells>
  <printOptions/>
  <pageMargins bottom="0.75" footer="0.0" header="0.0" left="0.7" right="0.7" top="0.75"/>
  <pageSetup fitToHeight="0" paperSize="9" orientation="portrait"/>
  <drawing r:id="rId1"/>
  <tableParts count="3">
    <tablePart r:id="rId5"/>
    <tablePart r:id="rId6"/>
    <tablePart r:id="rId7"/>
  </tableParts>
</worksheet>
</file>