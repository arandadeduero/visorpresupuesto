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5"/>
  </sheets>
  <definedNames>
    <definedName name="diff_ingreso_gasto">'2025'!$L$14</definedName>
  </definedNames>
  <calcPr/>
</workbook>
</file>

<file path=xl/sharedStrings.xml><?xml version="1.0" encoding="utf-8"?>
<sst xmlns="http://schemas.openxmlformats.org/spreadsheetml/2006/main" count="53" uniqueCount="42">
  <si>
    <t>PRESUPUESTO GENERAL AYUNTAMIENTO 2025</t>
  </si>
  <si>
    <t>ESTADO DE GASTOS</t>
  </si>
  <si>
    <t xml:space="preserve">CAP. </t>
  </si>
  <si>
    <t>DESCRIPCIÓN</t>
  </si>
  <si>
    <t>PREVISIONES 2025</t>
  </si>
  <si>
    <t>CRÉDITOS 2024</t>
  </si>
  <si>
    <t>Resumen</t>
  </si>
  <si>
    <t>GASTOS DE PERSONAL</t>
  </si>
  <si>
    <t>Ingresos 1-5</t>
  </si>
  <si>
    <t>Gastos de 1 a 5, 7 y 9</t>
  </si>
  <si>
    <t>Diff para Cap 6</t>
  </si>
  <si>
    <t>GASTOS CTES BIENES Y SERVICIOS</t>
  </si>
  <si>
    <t>GASTOS FINANCIEROS</t>
  </si>
  <si>
    <t>TRANSFERENCIAS CORRIENTES</t>
  </si>
  <si>
    <t xml:space="preserve">Cap 7 </t>
  </si>
  <si>
    <t>Al cap 6</t>
  </si>
  <si>
    <t>FONDO DE CONTINGENCIA</t>
  </si>
  <si>
    <t>Cap 8 (Remanente Tesorería Afectado, RTA)</t>
  </si>
  <si>
    <t xml:space="preserve">INVERSIONES REALES </t>
  </si>
  <si>
    <t>TRANSFERENCIAS DE CAPITAL</t>
  </si>
  <si>
    <t>Cap 9 (Préstamos)</t>
  </si>
  <si>
    <t>Pasivos, remanente</t>
  </si>
  <si>
    <t>TOTAL OP. NO FINANCIERAS</t>
  </si>
  <si>
    <t>ACTIVOS FINANCIEROS</t>
  </si>
  <si>
    <t>CUENTA REMUNERADA</t>
  </si>
  <si>
    <t>PASIVOS FINANCIEROS</t>
  </si>
  <si>
    <t>DIFERENCIA INGRESOS-GASTOS</t>
  </si>
  <si>
    <t>TOTAL OP. FINANCIERAS</t>
  </si>
  <si>
    <t>INGRESOS CORRIENTES</t>
  </si>
  <si>
    <t>TOTAL GASTOS</t>
  </si>
  <si>
    <t>UNESPA</t>
  </si>
  <si>
    <t>ESTADO DE INGRESOS</t>
  </si>
  <si>
    <t>IMPUESTOS DIRECTOS</t>
  </si>
  <si>
    <t>IMPUESTOS INDIRECTOS</t>
  </si>
  <si>
    <t>Diff total</t>
  </si>
  <si>
    <t>TASAS Y OTROS INGRESOS</t>
  </si>
  <si>
    <t>INGRESOS PATRIMONIALES</t>
  </si>
  <si>
    <t xml:space="preserve">ENAJENACIÓN INVERSIONES REALES </t>
  </si>
  <si>
    <t>Ingreso ARU</t>
  </si>
  <si>
    <t>GASTO ARU de ingreso</t>
  </si>
  <si>
    <t>TOTAL INGRESOS</t>
  </si>
  <si>
    <t>DIFF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</si>
</sst>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* #,##0.00\ [$€-1]_-;\-* #,##0.00\ [$€-1]_-;_-* &quot;-&quot;??\ [$€-1]_-;_-@"/>
    <numFmt numFmtId="165" formatCode="#,##0.00\ &quot;€&quot;"/>
    <numFmt numFmtId="166" formatCode="#,##0.00\ [$€-1]"/>
    <numFmt numFmtId="167" formatCode="_-* #,##0.00\ &quot;€&quot;_-;\-* #,##0.00\ &quot;€&quot;_-;_-* &quot;-&quot;??\ &quot;€&quot;_-;_-@"/>
    <numFmt numFmtId="168" formatCode="#,##0.00&quot;€&quot;"/>
  </numFmts>
  <fonts count="17">
    <font>
      <sz val="11.0"/>
      <color theme="1"/>
      <name val="Calibri"/>
      <scheme val="minor"/>
    </font>
    <font>
      <sz val="10.0"/>
      <color theme="1"/>
      <name val="Calibri"/>
      <scheme val="minor"/>
    </font>
    <font>
      <color theme="1"/>
      <name val="Calibri"/>
    </font>
    <font>
      <b/>
      <sz val="11.0"/>
      <color theme="1"/>
      <name val="Calibri"/>
    </font>
    <font/>
    <font>
      <b/>
      <sz val="9.0"/>
      <color theme="1"/>
      <name val="Calibri"/>
    </font>
    <font>
      <b/>
      <sz val="10.0"/>
      <color theme="1"/>
      <name val="Calibri"/>
      <scheme val="minor"/>
    </font>
    <font>
      <b/>
      <color theme="1"/>
      <name val="Calibri"/>
    </font>
    <font>
      <sz val="10.0"/>
      <color theme="1"/>
      <name val="Calibri"/>
    </font>
    <font>
      <sz val="9.0"/>
      <color rgb="FF000000"/>
      <name val="Calibri"/>
    </font>
    <font>
      <color theme="1"/>
      <name val="Calibri"/>
      <scheme val="minor"/>
    </font>
    <font>
      <b/>
      <sz val="10.0"/>
      <color theme="1"/>
      <name val="Calibri"/>
    </font>
    <font>
      <sz val="11.0"/>
      <color theme="1"/>
      <name val="Calibri"/>
    </font>
    <font>
      <sz val="11.0"/>
      <color rgb="FFFF0000"/>
      <name val="Calibri"/>
    </font>
    <font>
      <sz val="11.0"/>
      <color theme="0"/>
      <name val="Calibri"/>
    </font>
    <font>
      <sz val="10.0"/>
      <color rgb="FF000000"/>
      <name val="Calibri"/>
      <scheme val="minor"/>
    </font>
    <font>
      <sz val="30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FBD4B4"/>
        <bgColor rgb="FFFBD4B4"/>
      </patternFill>
    </fill>
    <fill>
      <patternFill patternType="solid">
        <fgColor rgb="FFE5E5E5"/>
        <bgColor rgb="FFE5E5E5"/>
      </patternFill>
    </fill>
    <fill>
      <patternFill patternType="solid">
        <fgColor rgb="FFF2F2F2"/>
        <bgColor rgb="FFF2F2F2"/>
      </patternFill>
    </fill>
    <fill>
      <patternFill patternType="solid">
        <fgColor theme="8"/>
        <bgColor theme="8"/>
      </patternFill>
    </fill>
    <fill>
      <patternFill patternType="solid">
        <fgColor rgb="FFFFFF00"/>
        <bgColor rgb="FFFFFF00"/>
      </patternFill>
    </fill>
    <fill>
      <patternFill patternType="solid">
        <fgColor rgb="FFC2D69B"/>
        <bgColor rgb="FFC2D69B"/>
      </patternFill>
    </fill>
    <fill>
      <patternFill patternType="solid">
        <fgColor rgb="FFFFFFFF"/>
        <bgColor rgb="FFFFFFFF"/>
      </patternFill>
    </fill>
  </fills>
  <borders count="32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/>
      <right/>
      <top/>
      <bottom/>
    </border>
    <border>
      <left style="medium">
        <color rgb="FF000000"/>
      </left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10" xfId="0" applyFont="1" applyNumberFormat="1"/>
    <xf borderId="1" fillId="2" fontId="3" numFmtId="0" xfId="0" applyAlignment="1" applyBorder="1" applyFill="1" applyFont="1">
      <alignment horizontal="center" readingOrder="0" shrinkToFit="0" vertical="center" wrapText="0"/>
    </xf>
    <xf borderId="2" fillId="0" fontId="4" numFmtId="0" xfId="0" applyBorder="1" applyFont="1"/>
    <xf borderId="3" fillId="0" fontId="4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4" fillId="2" fontId="5" numFmtId="0" xfId="0" applyAlignment="1" applyBorder="1" applyFill="1" applyFont="1">
      <alignment horizontal="center" shrinkToFit="0" vertical="bottom" wrapText="0"/>
    </xf>
    <xf borderId="5" fillId="2" fontId="5" numFmtId="0" xfId="0" applyAlignment="1" applyBorder="1" applyFill="1" applyFont="1">
      <alignment horizontal="center" shrinkToFit="0" vertical="bottom" wrapText="0"/>
    </xf>
    <xf borderId="6" fillId="2" fontId="6" numFmtId="164" xfId="0" applyAlignment="1" applyBorder="1" applyFill="1" applyFont="1" applyNumberFormat="1">
      <alignment horizontal="center" readingOrder="0" shrinkToFit="0" vertical="bottom" wrapText="0"/>
    </xf>
    <xf borderId="7" fillId="2" fontId="6" numFmtId="164" xfId="0" applyAlignment="1" applyBorder="1" applyFill="1" applyFont="1" applyNumberFormat="1">
      <alignment horizontal="center" readingOrder="0" shrinkToFit="0" vertical="bottom" wrapText="0"/>
    </xf>
    <xf borderId="0" fillId="0" fontId="7" numFmtId="0" xfId="0" applyAlignment="1" applyFont="1">
      <alignment horizontal="center"/>
    </xf>
    <xf borderId="8" fillId="0" fontId="3" numFmtId="0" xfId="0" applyAlignment="1" applyBorder="1" applyFont="1">
      <alignment horizontal="center" shrinkToFit="0" vertical="bottom" wrapText="0"/>
    </xf>
    <xf borderId="9" fillId="0" fontId="8" numFmtId="0" xfId="0" applyAlignment="1" applyBorder="1" applyFont="1">
      <alignment shrinkToFit="0" vertical="bottom" wrapText="0"/>
    </xf>
    <xf borderId="10" fillId="0" fontId="1" numFmtId="164" xfId="0" applyAlignment="1" applyBorder="1" applyFont="1" applyNumberFormat="1">
      <alignment shrinkToFit="0" vertical="bottom" wrapText="0"/>
    </xf>
    <xf borderId="11" fillId="0" fontId="1" numFmtId="164" xfId="0" applyAlignment="1" applyBorder="1" applyFont="1" applyNumberFormat="1">
      <alignment readingOrder="0" shrinkToFit="0" vertical="bottom" wrapText="0"/>
    </xf>
    <xf borderId="0" fillId="0" fontId="9" numFmtId="10" xfId="0" applyFont="1" applyNumberFormat="1"/>
    <xf borderId="0" fillId="4" fontId="9" numFmtId="10" xfId="0" applyFill="1" applyFont="1" applyNumberFormat="1"/>
    <xf borderId="0" fillId="0" fontId="10" numFmtId="165" xfId="0" applyFont="1" applyNumberFormat="1"/>
    <xf borderId="0" fillId="0" fontId="2" numFmtId="0" xfId="0" applyAlignment="1" applyFont="1">
      <alignment horizontal="left"/>
    </xf>
    <xf borderId="0" fillId="0" fontId="2" numFmtId="0" xfId="0" applyFont="1"/>
    <xf borderId="0" fillId="0" fontId="7" numFmtId="0" xfId="0" applyFont="1"/>
    <xf borderId="12" fillId="0" fontId="3" numFmtId="0" xfId="0" applyAlignment="1" applyBorder="1" applyFont="1">
      <alignment horizontal="center" shrinkToFit="0" vertical="bottom" wrapText="0"/>
    </xf>
    <xf borderId="0" fillId="0" fontId="2" numFmtId="165" xfId="0" applyAlignment="1" applyFont="1" applyNumberFormat="1">
      <alignment horizontal="left"/>
    </xf>
    <xf borderId="0" fillId="0" fontId="2" numFmtId="165" xfId="0" applyFont="1" applyNumberFormat="1"/>
    <xf borderId="13" fillId="5" fontId="3" numFmtId="0" xfId="0" applyAlignment="1" applyBorder="1" applyFill="1" applyFont="1">
      <alignment horizontal="center" shrinkToFit="0" vertical="bottom" wrapText="0"/>
    </xf>
    <xf borderId="14" fillId="5" fontId="11" numFmtId="0" xfId="0" applyAlignment="1" applyBorder="1" applyFill="1" applyFont="1">
      <alignment horizontal="right" shrinkToFit="0" vertical="bottom" wrapText="0"/>
    </xf>
    <xf borderId="15" fillId="5" fontId="1" numFmtId="164" xfId="0" applyAlignment="1" applyBorder="1" applyFill="1" applyFont="1" applyNumberFormat="1">
      <alignment shrinkToFit="0" vertical="bottom" wrapText="0"/>
    </xf>
    <xf borderId="16" fillId="5" fontId="1" numFmtId="164" xfId="0" applyAlignment="1" applyBorder="1" applyFill="1" applyFont="1" applyNumberFormat="1">
      <alignment shrinkToFit="0" vertical="bottom" wrapText="0"/>
    </xf>
    <xf borderId="17" fillId="0" fontId="1" numFmtId="164" xfId="0" applyAlignment="1" applyBorder="1" applyFont="1" applyNumberFormat="1">
      <alignment horizontal="right" vertical="bottom"/>
    </xf>
    <xf borderId="18" fillId="6" fontId="3" numFmtId="166" xfId="0" applyAlignment="1" applyBorder="1" applyFill="1" applyFont="1" applyNumberFormat="1">
      <alignment horizontal="center" readingOrder="0" shrinkToFit="0" vertical="center" wrapText="1"/>
    </xf>
    <xf borderId="19" fillId="0" fontId="1" numFmtId="164" xfId="0" applyAlignment="1" applyBorder="1" applyFont="1" applyNumberFormat="1">
      <alignment horizontal="right" vertical="bottom"/>
    </xf>
    <xf borderId="0" fillId="0" fontId="12" numFmtId="0" xfId="0" applyAlignment="1" applyFont="1">
      <alignment shrinkToFit="0" vertical="bottom" wrapText="0"/>
    </xf>
    <xf borderId="20" fillId="7" fontId="13" numFmtId="0" xfId="0" applyAlignment="1" applyBorder="1" applyFill="1" applyFont="1">
      <alignment shrinkToFit="0" vertical="bottom" wrapText="0"/>
    </xf>
    <xf borderId="20" fillId="7" fontId="13" numFmtId="165" xfId="0" applyAlignment="1" applyBorder="1" applyFill="1" applyFont="1" applyNumberFormat="1">
      <alignment shrinkToFit="0" vertical="bottom" wrapText="0"/>
    </xf>
    <xf borderId="0" fillId="0" fontId="10" numFmtId="166" xfId="0" applyFont="1" applyNumberFormat="1"/>
    <xf borderId="21" fillId="5" fontId="8" numFmtId="0" xfId="0" applyAlignment="1" applyBorder="1" applyFill="1" applyFont="1">
      <alignment shrinkToFit="0" vertical="bottom" wrapText="0"/>
    </xf>
    <xf borderId="22" fillId="5" fontId="11" numFmtId="0" xfId="0" applyAlignment="1" applyBorder="1" applyFill="1" applyFont="1">
      <alignment horizontal="right" shrinkToFit="0" vertical="bottom" wrapText="0"/>
    </xf>
    <xf borderId="23" fillId="5" fontId="1" numFmtId="164" xfId="0" applyAlignment="1" applyBorder="1" applyFill="1" applyFont="1" applyNumberFormat="1">
      <alignment shrinkToFit="0" vertical="bottom" wrapText="0"/>
    </xf>
    <xf borderId="24" fillId="5" fontId="1" numFmtId="164" xfId="0" applyAlignment="1" applyBorder="1" applyFill="1" applyFont="1" applyNumberFormat="1">
      <alignment shrinkToFit="0" vertical="bottom" wrapText="0"/>
    </xf>
    <xf borderId="18" fillId="3" fontId="3" numFmtId="166" xfId="0" applyAlignment="1" applyBorder="1" applyFill="1" applyFont="1" applyNumberFormat="1">
      <alignment horizontal="center" shrinkToFit="0" vertical="center" wrapText="1"/>
    </xf>
    <xf borderId="1" fillId="3" fontId="3" numFmtId="0" xfId="0" applyAlignment="1" applyBorder="1" applyFill="1" applyFont="1">
      <alignment horizontal="right" shrinkToFit="0" vertical="bottom" wrapText="0"/>
    </xf>
    <xf borderId="18" fillId="3" fontId="6" numFmtId="164" xfId="0" applyAlignment="1" applyBorder="1" applyFill="1" applyFont="1" applyNumberFormat="1">
      <alignment shrinkToFit="0" vertical="bottom" wrapText="0"/>
    </xf>
    <xf borderId="0" fillId="0" fontId="14" numFmtId="0" xfId="0" applyAlignment="1" applyFont="1">
      <alignment shrinkToFit="0" vertical="bottom" wrapText="0"/>
    </xf>
    <xf borderId="2" fillId="0" fontId="3" numFmtId="0" xfId="0" applyAlignment="1" applyBorder="1" applyFont="1">
      <alignment horizontal="right" shrinkToFit="0" vertical="bottom" wrapText="0"/>
    </xf>
    <xf borderId="2" fillId="0" fontId="6" numFmtId="164" xfId="0" applyAlignment="1" applyBorder="1" applyFont="1" applyNumberFormat="1">
      <alignment shrinkToFit="0" vertical="bottom" wrapText="0"/>
    </xf>
    <xf borderId="0" fillId="0" fontId="6" numFmtId="164" xfId="0" applyAlignment="1" applyFont="1" applyNumberFormat="1">
      <alignment shrinkToFit="0" vertical="bottom" wrapText="0"/>
    </xf>
    <xf borderId="18" fillId="3" fontId="3" numFmtId="166" xfId="0" applyAlignment="1" applyBorder="1" applyFill="1" applyFont="1" applyNumberFormat="1">
      <alignment horizontal="center" readingOrder="0" shrinkToFit="0" vertical="center" wrapText="1"/>
    </xf>
    <xf borderId="1" fillId="8" fontId="3" numFmtId="0" xfId="0" applyAlignment="1" applyBorder="1" applyFill="1" applyFont="1">
      <alignment horizontal="center" shrinkToFit="0" vertical="center" wrapText="0"/>
    </xf>
    <xf borderId="0" fillId="0" fontId="2" numFmtId="0" xfId="0" applyAlignment="1" applyFont="1">
      <alignment horizontal="right"/>
    </xf>
    <xf borderId="0" fillId="0" fontId="10" numFmtId="166" xfId="0" applyAlignment="1" applyFont="1" applyNumberFormat="1">
      <alignment readingOrder="0"/>
    </xf>
    <xf borderId="25" fillId="2" fontId="5" numFmtId="0" xfId="0" applyAlignment="1" applyBorder="1" applyFill="1" applyFont="1">
      <alignment horizontal="center" shrinkToFit="0" vertical="bottom" wrapText="0"/>
    </xf>
    <xf borderId="26" fillId="2" fontId="5" numFmtId="0" xfId="0" applyAlignment="1" applyBorder="1" applyFill="1" applyFont="1">
      <alignment horizontal="center" shrinkToFit="0" vertical="bottom" wrapText="0"/>
    </xf>
    <xf borderId="26" fillId="2" fontId="6" numFmtId="164" xfId="0" applyAlignment="1" applyBorder="1" applyFill="1" applyFont="1" applyNumberFormat="1">
      <alignment horizontal="center" readingOrder="0" shrinkToFit="0" vertical="bottom" wrapText="0"/>
    </xf>
    <xf borderId="0" fillId="0" fontId="5" numFmtId="0" xfId="0" applyAlignment="1" applyFont="1">
      <alignment horizontal="center" shrinkToFit="0" vertical="bottom" wrapText="0"/>
    </xf>
    <xf borderId="27" fillId="9" fontId="15" numFmtId="164" xfId="0" applyAlignment="1" applyBorder="1" applyFill="1" applyFont="1" applyNumberFormat="1">
      <alignment readingOrder="0"/>
    </xf>
    <xf borderId="0" fillId="0" fontId="12" numFmtId="165" xfId="0" applyAlignment="1" applyFont="1" applyNumberFormat="1">
      <alignment shrinkToFit="0" vertical="bottom" wrapText="0"/>
    </xf>
    <xf borderId="28" fillId="5" fontId="1" numFmtId="164" xfId="0" applyAlignment="1" applyBorder="1" applyFill="1" applyFont="1" applyNumberFormat="1">
      <alignment shrinkToFit="0" vertical="bottom" wrapText="0"/>
    </xf>
    <xf borderId="0" fillId="0" fontId="8" numFmtId="0" xfId="0" applyAlignment="1" applyFont="1">
      <alignment shrinkToFit="0" vertical="bottom" wrapText="0"/>
    </xf>
    <xf borderId="28" fillId="0" fontId="1" numFmtId="164" xfId="0" applyAlignment="1" applyBorder="1" applyFont="1" applyNumberFormat="1">
      <alignment shrinkToFit="0" vertical="bottom" wrapText="0"/>
    </xf>
    <xf borderId="0" fillId="0" fontId="10" numFmtId="0" xfId="0" applyAlignment="1" applyFont="1">
      <alignment readingOrder="0"/>
    </xf>
    <xf borderId="26" fillId="0" fontId="1" numFmtId="164" xfId="0" applyAlignment="1" applyBorder="1" applyFont="1" applyNumberFormat="1">
      <alignment readingOrder="0"/>
    </xf>
    <xf borderId="0" fillId="0" fontId="12" numFmtId="167" xfId="0" applyAlignment="1" applyFont="1" applyNumberFormat="1">
      <alignment shrinkToFit="0" vertical="bottom" wrapText="0"/>
    </xf>
    <xf borderId="0" fillId="0" fontId="10" numFmtId="168" xfId="0" applyFont="1" applyNumberFormat="1"/>
    <xf borderId="29" fillId="5" fontId="12" numFmtId="0" xfId="0" applyAlignment="1" applyBorder="1" applyFill="1" applyFont="1">
      <alignment shrinkToFit="0" vertical="bottom" wrapText="0"/>
    </xf>
    <xf borderId="30" fillId="5" fontId="11" numFmtId="0" xfId="0" applyAlignment="1" applyBorder="1" applyFill="1" applyFont="1">
      <alignment horizontal="right" shrinkToFit="0" vertical="bottom" wrapText="0"/>
    </xf>
    <xf borderId="31" fillId="5" fontId="1" numFmtId="164" xfId="0" applyAlignment="1" applyBorder="1" applyFill="1" applyFont="1" applyNumberFormat="1">
      <alignment shrinkToFit="0" vertical="bottom" wrapText="0"/>
    </xf>
    <xf borderId="1" fillId="8" fontId="3" numFmtId="0" xfId="0" applyAlignment="1" applyBorder="1" applyFill="1" applyFont="1">
      <alignment horizontal="right" shrinkToFit="0" vertical="bottom" wrapText="0"/>
    </xf>
    <xf borderId="18" fillId="8" fontId="6" numFmtId="164" xfId="0" applyAlignment="1" applyBorder="1" applyFill="1" applyFont="1" applyNumberFormat="1">
      <alignment shrinkToFit="0" vertical="bottom" wrapText="0"/>
    </xf>
    <xf borderId="0" fillId="0" fontId="16" numFmtId="165" xfId="0" applyFont="1" applyNumberFormat="1"/>
    <xf borderId="0" fillId="0" fontId="1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6.57"/>
    <col customWidth="1" min="3" max="3" width="40.71"/>
    <col customWidth="1" min="4" max="4" width="19.0"/>
    <col customWidth="1" min="5" max="5" width="16.43"/>
    <col customWidth="1" min="6" max="8" width="10.0"/>
    <col customWidth="1" min="9" max="9" width="14.57"/>
    <col customWidth="1" min="10" max="10" width="17.71"/>
    <col customWidth="1" min="11" max="11" width="40.29"/>
    <col customWidth="1" min="12" max="12" width="19.43"/>
    <col customWidth="1" min="13" max="13" width="18.57"/>
    <col customWidth="1" min="14" max="14" width="23.43"/>
  </cols>
  <sheetData>
    <row r="1" ht="15.75" customHeight="1">
      <c r="D1" s="1"/>
      <c r="E1" s="1"/>
      <c r="F1" s="2"/>
      <c r="G1" s="2"/>
    </row>
    <row r="2" ht="20.25" customHeight="1">
      <c r="B2" s="3" t="s">
        <v>0</v>
      </c>
      <c r="C2" s="4"/>
      <c r="D2" s="5"/>
      <c r="E2" s="1"/>
      <c r="F2" s="2"/>
      <c r="G2" s="2"/>
    </row>
    <row r="3" ht="20.25" customHeight="1">
      <c r="B3" s="6" t="s">
        <v>1</v>
      </c>
      <c r="C3" s="4"/>
      <c r="D3" s="5"/>
      <c r="E3" s="1"/>
      <c r="F3" s="2"/>
      <c r="G3" s="2"/>
    </row>
    <row r="4">
      <c r="B4" s="7" t="s">
        <v>2</v>
      </c>
      <c r="C4" s="8" t="s">
        <v>3</v>
      </c>
      <c r="D4" s="9" t="s">
        <v>4</v>
      </c>
      <c r="E4" s="10" t="s">
        <v>5</v>
      </c>
      <c r="F4" s="2"/>
      <c r="G4" s="2"/>
      <c r="J4" s="11"/>
      <c r="K4" s="11" t="s">
        <v>6</v>
      </c>
    </row>
    <row r="5">
      <c r="B5" s="12">
        <v>1.0</v>
      </c>
      <c r="C5" s="13" t="s">
        <v>7</v>
      </c>
      <c r="D5" s="14">
        <f>IFERROR(__xludf.DUMMYFUNCTION("IMPORTRANGE(""https://docs.google.com/spreadsheets/d/1QLnsLhE_37TM8hrIYYSmi8xJdRDI7LFMJMpdckt9xvM"", ""2025!suma_cap1"")"),1.55623985E7)</f>
        <v>15562398.5</v>
      </c>
      <c r="E5" s="15">
        <v>1.49082905E7</v>
      </c>
      <c r="F5" s="16"/>
      <c r="G5" s="17">
        <f t="shared" ref="G5:G16" si="1">((D5-E5)/D5)</f>
        <v>0.04203131028</v>
      </c>
      <c r="I5" s="18">
        <f t="shared" ref="I5:I16" si="2">D5-E5</f>
        <v>654108</v>
      </c>
      <c r="J5" s="19"/>
      <c r="K5" s="19" t="s">
        <v>8</v>
      </c>
      <c r="L5" s="20" t="s">
        <v>9</v>
      </c>
      <c r="N5" s="21" t="s">
        <v>10</v>
      </c>
    </row>
    <row r="6">
      <c r="B6" s="22">
        <v>2.0</v>
      </c>
      <c r="C6" s="13" t="s">
        <v>11</v>
      </c>
      <c r="D6" s="14">
        <f>IFERROR(__xludf.DUMMYFUNCTION("IMPORTRANGE(""https://docs.google.com/spreadsheets/d/1QLnsLhE_37TM8hrIYYSmi8xJdRDI7LFMJMpdckt9xvM"", ""2025!suma_cap2"")"),1.943003E7)</f>
        <v>19430030</v>
      </c>
      <c r="E6" s="15">
        <v>1.955067E7</v>
      </c>
      <c r="F6" s="16"/>
      <c r="G6" s="17">
        <f t="shared" si="1"/>
        <v>-0.006208945637</v>
      </c>
      <c r="I6" s="18">
        <f t="shared" si="2"/>
        <v>-120640</v>
      </c>
      <c r="J6" s="19"/>
      <c r="K6" s="23">
        <f>SUM(D20:D24)</f>
        <v>38118061.71</v>
      </c>
      <c r="L6" s="24">
        <f>SUM(D5:D9,D11,D14)</f>
        <v>37575408.5</v>
      </c>
      <c r="N6" s="24">
        <f>K6-L6</f>
        <v>542653.21</v>
      </c>
    </row>
    <row r="7">
      <c r="B7" s="22">
        <v>3.0</v>
      </c>
      <c r="C7" s="13" t="s">
        <v>12</v>
      </c>
      <c r="D7" s="14">
        <f>IFERROR(__xludf.DUMMYFUNCTION("IMPORTRANGE(""https://docs.google.com/spreadsheets/d/1QLnsLhE_37TM8hrIYYSmi8xJdRDI7LFMJMpdckt9xvM"", ""2025!suma_cap3"")"),170300.0)</f>
        <v>170300</v>
      </c>
      <c r="E7" s="15">
        <v>170300.0</v>
      </c>
      <c r="F7" s="16"/>
      <c r="G7" s="17">
        <f t="shared" si="1"/>
        <v>0</v>
      </c>
      <c r="I7" s="18">
        <f t="shared" si="2"/>
        <v>0</v>
      </c>
    </row>
    <row r="8">
      <c r="B8" s="22">
        <v>4.0</v>
      </c>
      <c r="C8" s="13" t="s">
        <v>13</v>
      </c>
      <c r="D8" s="14">
        <f>IFERROR(__xludf.DUMMYFUNCTION("IMPORTRANGE(""https://docs.google.com/spreadsheets/d/1QLnsLhE_37TM8hrIYYSmi8xJdRDI7LFMJMpdckt9xvM"", ""2025!suma_cap4"")"),1727680.0)</f>
        <v>1727680</v>
      </c>
      <c r="E8" s="15">
        <v>1955748.0</v>
      </c>
      <c r="F8" s="16"/>
      <c r="G8" s="17">
        <f t="shared" si="1"/>
        <v>-0.1320082423</v>
      </c>
      <c r="I8" s="18">
        <f t="shared" si="2"/>
        <v>-228068</v>
      </c>
      <c r="J8" s="20"/>
      <c r="K8" s="20" t="s">
        <v>14</v>
      </c>
      <c r="L8" s="20" t="s">
        <v>15</v>
      </c>
    </row>
    <row r="9">
      <c r="B9" s="22">
        <v>5.0</v>
      </c>
      <c r="C9" s="13" t="s">
        <v>16</v>
      </c>
      <c r="D9" s="14">
        <f>IFERROR(__xludf.DUMMYFUNCTION("IMPORTRANGE(""https://docs.google.com/spreadsheets/d/1QLnsLhE_37TM8hrIYYSmi8xJdRDI7LFMJMpdckt9xvM"", ""2025!suma_cap5"")"),50000.0)</f>
        <v>50000</v>
      </c>
      <c r="E9" s="15">
        <v>100000.0</v>
      </c>
      <c r="F9" s="16"/>
      <c r="G9" s="17">
        <f t="shared" si="1"/>
        <v>-1</v>
      </c>
      <c r="I9" s="18">
        <f t="shared" si="2"/>
        <v>-50000</v>
      </c>
      <c r="J9" s="20"/>
      <c r="K9" s="20" t="s">
        <v>17</v>
      </c>
      <c r="L9" s="20" t="s">
        <v>15</v>
      </c>
    </row>
    <row r="10">
      <c r="B10" s="22">
        <v>6.0</v>
      </c>
      <c r="C10" s="13" t="s">
        <v>18</v>
      </c>
      <c r="D10" s="14">
        <f>IFERROR(__xludf.DUMMYFUNCTION("IMPORTRANGE(""https://docs.google.com/spreadsheets/d/1QLnsLhE_37TM8hrIYYSmi8xJdRDI7LFMJMpdckt9xvM"", ""2025!suma_cap6"")"),2.7237906700000003E7)</f>
        <v>27237906.7</v>
      </c>
      <c r="E10" s="15">
        <v>1.243547048E7</v>
      </c>
      <c r="F10" s="16"/>
      <c r="G10" s="17">
        <f t="shared" si="1"/>
        <v>0.5434498467</v>
      </c>
      <c r="I10" s="18">
        <f t="shared" si="2"/>
        <v>14802436.22</v>
      </c>
    </row>
    <row r="11">
      <c r="B11" s="22">
        <v>7.0</v>
      </c>
      <c r="C11" s="13" t="s">
        <v>19</v>
      </c>
      <c r="D11" s="14">
        <f>IFERROR(__xludf.DUMMYFUNCTION("IMPORTRANGE(""https://docs.google.com/spreadsheets/d/1QLnsLhE_37TM8hrIYYSmi8xJdRDI7LFMJMpdckt9xvM"", ""2025!suma_cap7"")"),100000.0)</f>
        <v>100000</v>
      </c>
      <c r="E11" s="15">
        <v>130000.0</v>
      </c>
      <c r="F11" s="16"/>
      <c r="G11" s="17">
        <f t="shared" si="1"/>
        <v>-0.3</v>
      </c>
      <c r="I11" s="18">
        <f t="shared" si="2"/>
        <v>-30000</v>
      </c>
      <c r="J11" s="20"/>
      <c r="K11" s="20" t="s">
        <v>20</v>
      </c>
      <c r="L11" s="20" t="s">
        <v>21</v>
      </c>
    </row>
    <row r="12">
      <c r="B12" s="25"/>
      <c r="C12" s="26" t="s">
        <v>22</v>
      </c>
      <c r="D12" s="27">
        <f>SUM(D5:D11)</f>
        <v>64278315.2</v>
      </c>
      <c r="E12" s="28">
        <v>4.9250478980000004E7</v>
      </c>
      <c r="F12" s="16"/>
      <c r="G12" s="17">
        <f t="shared" si="1"/>
        <v>0.2337932501</v>
      </c>
      <c r="I12" s="18">
        <f t="shared" si="2"/>
        <v>15027836.22</v>
      </c>
    </row>
    <row r="13">
      <c r="B13" s="22">
        <v>8.0</v>
      </c>
      <c r="C13" s="13" t="s">
        <v>23</v>
      </c>
      <c r="D13" s="14">
        <f>IFERROR(__xludf.DUMMYFUNCTION("IMPORTRANGE(""https://docs.google.com/spreadsheets/d/1QLnsLhE_37TM8hrIYYSmi8xJdRDI7LFMJMpdckt9xvM"", ""2025!suma_cap8"")"),15000.0)</f>
        <v>15000</v>
      </c>
      <c r="E13" s="29">
        <v>15000.0</v>
      </c>
      <c r="F13" s="16"/>
      <c r="G13" s="17">
        <f t="shared" si="1"/>
        <v>0</v>
      </c>
      <c r="I13" s="18">
        <f t="shared" si="2"/>
        <v>0</v>
      </c>
      <c r="N13" s="30" t="s">
        <v>24</v>
      </c>
    </row>
    <row r="14">
      <c r="B14" s="22">
        <v>9.0</v>
      </c>
      <c r="C14" s="13" t="s">
        <v>25</v>
      </c>
      <c r="D14" s="14">
        <f>IFERROR(__xludf.DUMMYFUNCTION("IMPORTRANGE(""https://docs.google.com/spreadsheets/d/1QLnsLhE_37TM8hrIYYSmi8xJdRDI7LFMJMpdckt9xvM"", ""2025!suma_cap9"")"),535000.0)</f>
        <v>535000</v>
      </c>
      <c r="E14" s="31">
        <v>535000.0</v>
      </c>
      <c r="F14" s="16"/>
      <c r="G14" s="17">
        <f t="shared" si="1"/>
        <v>0</v>
      </c>
      <c r="I14" s="18">
        <f t="shared" si="2"/>
        <v>0</v>
      </c>
      <c r="J14" s="32"/>
      <c r="K14" s="33" t="s">
        <v>26</v>
      </c>
      <c r="L14" s="34">
        <f>SUM(D20:D24)-SUM(D5:D9,D11,D14)-N18</f>
        <v>332653.21</v>
      </c>
      <c r="N14" s="35">
        <f>IFERROR(__xludf.DUMMYFUNCTION("IMPORTRANGE(""https://docs.google.com/spreadsheets/d/1CWffE_fmwY77uhgMYjfUbNKvG6VWeKQmR1hn2RIBmiU"", ""2025!suma_cap6_cuentaremunerada"")"),43614.119999999995)</f>
        <v>43614.12</v>
      </c>
    </row>
    <row r="15" ht="15.75" customHeight="1">
      <c r="B15" s="36"/>
      <c r="C15" s="37" t="s">
        <v>27</v>
      </c>
      <c r="D15" s="38">
        <f>SUM(D13:D14)</f>
        <v>550000</v>
      </c>
      <c r="E15" s="39">
        <v>550000.0</v>
      </c>
      <c r="F15" s="16"/>
      <c r="G15" s="17">
        <f t="shared" si="1"/>
        <v>0</v>
      </c>
      <c r="I15" s="18">
        <f t="shared" si="2"/>
        <v>0</v>
      </c>
      <c r="N15" s="40" t="s">
        <v>28</v>
      </c>
    </row>
    <row r="16" ht="15.75" customHeight="1">
      <c r="B16" s="41" t="s">
        <v>29</v>
      </c>
      <c r="C16" s="5"/>
      <c r="D16" s="42">
        <f>D12+D15</f>
        <v>64828315.2</v>
      </c>
      <c r="E16" s="42">
        <v>4.9800478980000004E7</v>
      </c>
      <c r="F16" s="16"/>
      <c r="G16" s="17">
        <f t="shared" si="1"/>
        <v>0.2318097605</v>
      </c>
      <c r="I16" s="18">
        <f t="shared" si="2"/>
        <v>15027836.22</v>
      </c>
      <c r="N16" s="18">
        <f>L14-N14</f>
        <v>289039.09</v>
      </c>
    </row>
    <row r="17" ht="27.75" customHeight="1">
      <c r="B17" s="43"/>
      <c r="C17" s="44"/>
      <c r="D17" s="45"/>
      <c r="E17" s="46"/>
      <c r="F17" s="16"/>
      <c r="G17" s="16"/>
      <c r="I17" s="18"/>
      <c r="N17" s="47" t="s">
        <v>30</v>
      </c>
    </row>
    <row r="18" ht="21.0" customHeight="1">
      <c r="B18" s="48" t="s">
        <v>31</v>
      </c>
      <c r="C18" s="4"/>
      <c r="D18" s="5"/>
      <c r="E18" s="1"/>
      <c r="F18" s="16"/>
      <c r="G18" s="16"/>
      <c r="I18" s="18"/>
      <c r="J18" s="49"/>
      <c r="N18" s="50">
        <v>210000.0</v>
      </c>
    </row>
    <row r="19">
      <c r="B19" s="51" t="s">
        <v>2</v>
      </c>
      <c r="C19" s="52" t="s">
        <v>3</v>
      </c>
      <c r="D19" s="53" t="s">
        <v>4</v>
      </c>
      <c r="E19" s="10" t="s">
        <v>5</v>
      </c>
      <c r="F19" s="16"/>
      <c r="G19" s="16"/>
      <c r="I19" s="18"/>
      <c r="J19" s="54"/>
      <c r="K19" s="54"/>
    </row>
    <row r="20">
      <c r="B20" s="12">
        <v>1.0</v>
      </c>
      <c r="C20" s="13" t="s">
        <v>32</v>
      </c>
      <c r="D20" s="14">
        <f>IFERROR(__xludf.DUMMYFUNCTION("IMPORTRANGE(""https://docs.google.com/spreadsheets/d/1ptMFjd13WuP1Tj_sqCbfChMnMjEmktM-ge7Czzu4U_E"", ""2025!suma_cap1"")"),1.582E7)</f>
        <v>15820000</v>
      </c>
      <c r="E20" s="55">
        <v>1.4678E7</v>
      </c>
      <c r="F20" s="16"/>
      <c r="G20" s="17">
        <f t="shared" ref="G20:G31" si="3">((D20-E20)/D20)</f>
        <v>0.07218710493</v>
      </c>
      <c r="I20" s="18">
        <f t="shared" ref="I20:I31" si="4">D20-E20</f>
        <v>1142000</v>
      </c>
      <c r="J20" s="56"/>
      <c r="K20" s="56"/>
      <c r="L20" s="56"/>
    </row>
    <row r="21" ht="15.75" customHeight="1">
      <c r="B21" s="22">
        <v>2.0</v>
      </c>
      <c r="C21" s="13" t="s">
        <v>33</v>
      </c>
      <c r="D21" s="14">
        <f>IFERROR(__xludf.DUMMYFUNCTION("IMPORTRANGE(""https://docs.google.com/spreadsheets/d/1ptMFjd13WuP1Tj_sqCbfChMnMjEmktM-ge7Czzu4U_E"", ""2025!suma_cap2"")"),900000.0)</f>
        <v>900000</v>
      </c>
      <c r="E21" s="55">
        <v>900000.0</v>
      </c>
      <c r="F21" s="16"/>
      <c r="G21" s="17">
        <f t="shared" si="3"/>
        <v>0</v>
      </c>
      <c r="I21" s="18">
        <f t="shared" si="4"/>
        <v>0</v>
      </c>
      <c r="J21" s="20"/>
      <c r="K21" s="20" t="s">
        <v>34</v>
      </c>
      <c r="L21" s="24">
        <f>D31-D16</f>
        <v>250000</v>
      </c>
    </row>
    <row r="22" ht="15.75" customHeight="1">
      <c r="B22" s="22">
        <v>3.0</v>
      </c>
      <c r="C22" s="13" t="s">
        <v>35</v>
      </c>
      <c r="D22" s="14">
        <f>IFERROR(__xludf.DUMMYFUNCTION("IMPORTRANGE(""https://docs.google.com/spreadsheets/d/1ptMFjd13WuP1Tj_sqCbfChMnMjEmktM-ge7Czzu4U_E"", ""2025!suma_cap3"")"),7086060.0)</f>
        <v>7086060</v>
      </c>
      <c r="E22" s="55">
        <v>8686060.0</v>
      </c>
      <c r="F22" s="16"/>
      <c r="G22" s="17">
        <f t="shared" si="3"/>
        <v>-0.225795435</v>
      </c>
      <c r="I22" s="18">
        <f t="shared" si="4"/>
        <v>-1600000</v>
      </c>
      <c r="J22" s="56"/>
      <c r="K22" s="56"/>
      <c r="L22" s="56"/>
    </row>
    <row r="23" ht="15.75" customHeight="1">
      <c r="B23" s="22">
        <v>4.0</v>
      </c>
      <c r="C23" s="13" t="s">
        <v>13</v>
      </c>
      <c r="D23" s="14">
        <f>IFERROR(__xludf.DUMMYFUNCTION("IMPORTRANGE(""https://docs.google.com/spreadsheets/d/1ptMFjd13WuP1Tj_sqCbfChMnMjEmktM-ge7Czzu4U_E"", ""2025!suma_cap4"")"),1.364097359E7)</f>
        <v>13640973.59</v>
      </c>
      <c r="E23" s="55">
        <v>1.284667294E7</v>
      </c>
      <c r="F23" s="16"/>
      <c r="G23" s="17">
        <f t="shared" si="3"/>
        <v>0.05822902924</v>
      </c>
      <c r="I23" s="18">
        <f t="shared" si="4"/>
        <v>794300.65</v>
      </c>
    </row>
    <row r="24" ht="15.75" customHeight="1">
      <c r="B24" s="22">
        <v>5.0</v>
      </c>
      <c r="C24" s="13" t="s">
        <v>36</v>
      </c>
      <c r="D24" s="14">
        <f>IFERROR(__xludf.DUMMYFUNCTION("IMPORTRANGE(""https://docs.google.com/spreadsheets/d/1ptMFjd13WuP1Tj_sqCbfChMnMjEmktM-ge7Czzu4U_E"", ""2025!suma_cap5"")"),671028.12)</f>
        <v>671028.12</v>
      </c>
      <c r="E24" s="55">
        <v>427414.0</v>
      </c>
      <c r="F24" s="16"/>
      <c r="G24" s="17">
        <f t="shared" si="3"/>
        <v>0.3630460673</v>
      </c>
      <c r="I24" s="18">
        <f t="shared" si="4"/>
        <v>243614.12</v>
      </c>
      <c r="J24" s="56"/>
      <c r="K24" s="56"/>
    </row>
    <row r="25" ht="15.75" customHeight="1">
      <c r="B25" s="22">
        <v>6.0</v>
      </c>
      <c r="C25" s="13" t="s">
        <v>37</v>
      </c>
      <c r="D25" s="14">
        <f>IFERROR(__xludf.DUMMYFUNCTION("IMPORTRANGE(""https://docs.google.com/spreadsheets/d/1ptMFjd13WuP1Tj_sqCbfChMnMjEmktM-ge7Czzu4U_E"", ""2025!suma_cap6"")"),0.0)</f>
        <v>0</v>
      </c>
      <c r="E25" s="55">
        <v>6000.0</v>
      </c>
      <c r="F25" s="16"/>
      <c r="G25" s="17" t="str">
        <f t="shared" si="3"/>
        <v>#DIV/0!</v>
      </c>
      <c r="I25" s="18">
        <f t="shared" si="4"/>
        <v>-6000</v>
      </c>
      <c r="K25" s="18">
        <v>783548.3800000027</v>
      </c>
      <c r="L25" s="24">
        <f>L21-N6</f>
        <v>-292653.21</v>
      </c>
    </row>
    <row r="26" ht="15.75" customHeight="1">
      <c r="B26" s="22">
        <v>7.0</v>
      </c>
      <c r="C26" s="13" t="s">
        <v>19</v>
      </c>
      <c r="D26" s="14">
        <f>IFERROR(__xludf.DUMMYFUNCTION("IMPORTRANGE(""https://docs.google.com/spreadsheets/d/1ptMFjd13WuP1Tj_sqCbfChMnMjEmktM-ge7Czzu4U_E"", ""2025!suma_cap7"")"),1931060.4)</f>
        <v>1931060.4</v>
      </c>
      <c r="E26" s="55">
        <v>1465755.56</v>
      </c>
      <c r="F26" s="16"/>
      <c r="G26" s="17">
        <f t="shared" si="3"/>
        <v>0.240958201</v>
      </c>
      <c r="I26" s="18">
        <f t="shared" si="4"/>
        <v>465304.84</v>
      </c>
      <c r="J26" s="56"/>
      <c r="K26" s="56">
        <v>783548.3800000027</v>
      </c>
    </row>
    <row r="27" ht="15.75" customHeight="1">
      <c r="B27" s="25"/>
      <c r="C27" s="26" t="s">
        <v>22</v>
      </c>
      <c r="D27" s="57">
        <f>SUM(D20:D26)</f>
        <v>40049122.11</v>
      </c>
      <c r="E27" s="28">
        <v>3.90099025E7</v>
      </c>
      <c r="F27" s="16"/>
      <c r="G27" s="17">
        <f t="shared" si="3"/>
        <v>0.02594862397</v>
      </c>
      <c r="I27" s="18">
        <f t="shared" si="4"/>
        <v>1039219.61</v>
      </c>
    </row>
    <row r="28" ht="15.75" customHeight="1">
      <c r="B28" s="22">
        <v>8.0</v>
      </c>
      <c r="C28" s="58" t="s">
        <v>23</v>
      </c>
      <c r="D28" s="59">
        <f>IFERROR(__xludf.DUMMYFUNCTION("IMPORTRANGE(""https://docs.google.com/spreadsheets/d/1ptMFjd13WuP1Tj_sqCbfChMnMjEmktM-ge7Czzu4U_E"", ""2025!suma_cap8"")"),4571700.16)</f>
        <v>4571700.16</v>
      </c>
      <c r="E28" s="55">
        <v>2172195.5</v>
      </c>
      <c r="F28" s="16"/>
      <c r="G28" s="17">
        <f t="shared" si="3"/>
        <v>0.5248604624</v>
      </c>
      <c r="I28" s="18">
        <f t="shared" si="4"/>
        <v>2399504.66</v>
      </c>
      <c r="J28" s="56"/>
      <c r="K28" s="56"/>
      <c r="M28" s="60" t="s">
        <v>38</v>
      </c>
      <c r="N28" s="60" t="s">
        <v>39</v>
      </c>
    </row>
    <row r="29" ht="15.75" customHeight="1">
      <c r="B29" s="22">
        <v>9.0</v>
      </c>
      <c r="C29" s="58" t="s">
        <v>25</v>
      </c>
      <c r="D29" s="61">
        <f>IFERROR(__xludf.DUMMYFUNCTION("IMPORTRANGE(""https://docs.google.com/spreadsheets/d/1ptMFjd13WuP1Tj_sqCbfChMnMjEmktM-ge7Czzu4U_E"", ""2025!suma_cap9"")"),2.0457492930000003E7)</f>
        <v>20457492.93</v>
      </c>
      <c r="E29" s="55">
        <v>8618380.98</v>
      </c>
      <c r="F29" s="16"/>
      <c r="G29" s="17">
        <f t="shared" si="3"/>
        <v>0.5787176361</v>
      </c>
      <c r="I29" s="18">
        <f t="shared" si="4"/>
        <v>11839111.95</v>
      </c>
      <c r="J29" s="62"/>
      <c r="L29" s="62"/>
      <c r="M29" s="63">
        <f>IFERROR(__xludf.DUMMYFUNCTION("IMPORTRANGE(""https://docs.google.com/spreadsheets/d/1ptMFjd13WuP1Tj_sqCbfChMnMjEmktM-ge7Czzu4U_E"", ""2025!ing_75083"")"),1320820.0)</f>
        <v>1320820</v>
      </c>
      <c r="N29" s="35">
        <f>IFERROR(__xludf.DUMMYFUNCTION("IMPORTRANGE(""https://docs.google.com/spreadsheets/d/1CWffE_fmwY77uhgMYjfUbNKvG6VWeKQmR1hn2RIBmiU"", ""2025!suma_cap6_subvenciones"")"),1320820.0)</f>
        <v>1320820</v>
      </c>
    </row>
    <row r="30" ht="15.75" customHeight="1">
      <c r="B30" s="64"/>
      <c r="C30" s="65" t="s">
        <v>27</v>
      </c>
      <c r="D30" s="66">
        <f>SUM(D28:D29)</f>
        <v>25029193.09</v>
      </c>
      <c r="E30" s="39">
        <v>1.079057648E7</v>
      </c>
      <c r="F30" s="16"/>
      <c r="G30" s="17">
        <f t="shared" si="3"/>
        <v>0.5688803694</v>
      </c>
      <c r="I30" s="18">
        <f t="shared" si="4"/>
        <v>14238616.61</v>
      </c>
      <c r="M30" s="60"/>
    </row>
    <row r="31" ht="15.75" customHeight="1">
      <c r="B31" s="67" t="s">
        <v>40</v>
      </c>
      <c r="C31" s="5"/>
      <c r="D31" s="68">
        <f>D27+D30</f>
        <v>65078315.2</v>
      </c>
      <c r="E31" s="68">
        <v>4.9800478980000004E7</v>
      </c>
      <c r="F31" s="16"/>
      <c r="G31" s="17">
        <f t="shared" si="3"/>
        <v>0.2347607828</v>
      </c>
      <c r="I31" s="18">
        <f t="shared" si="4"/>
        <v>15277836.22</v>
      </c>
      <c r="M31" s="60" t="s">
        <v>41</v>
      </c>
      <c r="N31" s="63">
        <f>M29-N29</f>
        <v>0</v>
      </c>
    </row>
    <row r="32">
      <c r="B32" s="20"/>
      <c r="C32" s="20"/>
      <c r="D32" s="1"/>
      <c r="E32" s="1"/>
      <c r="F32" s="16"/>
      <c r="G32" s="16"/>
      <c r="K32" s="69">
        <f>D31-D16</f>
        <v>250000</v>
      </c>
      <c r="N32" s="18">
        <f>K32-N31</f>
        <v>250000</v>
      </c>
    </row>
    <row r="33" ht="15.75" customHeight="1">
      <c r="B33" s="20"/>
      <c r="C33" s="20"/>
      <c r="D33" s="70"/>
      <c r="E33" s="1"/>
      <c r="F33" s="2"/>
      <c r="G33" s="2"/>
    </row>
    <row r="34" ht="15.75" customHeight="1">
      <c r="B34" s="20"/>
      <c r="D34" s="1"/>
      <c r="E34" s="1"/>
      <c r="F34" s="2"/>
      <c r="G34" s="2"/>
    </row>
    <row r="35" ht="15.75" customHeight="1">
      <c r="D35" s="1"/>
      <c r="E35" s="1"/>
      <c r="F35" s="2"/>
      <c r="G35" s="2"/>
    </row>
  </sheetData>
  <mergeCells count="6">
    <mergeCell ref="B2:D2"/>
    <mergeCell ref="B3:D3"/>
    <mergeCell ref="K4:N4"/>
    <mergeCell ref="B16:C16"/>
    <mergeCell ref="B18:D18"/>
    <mergeCell ref="B31:C31"/>
  </mergeCells>
  <conditionalFormatting sqref="F1:G35">
    <cfRule type="colorScale" priority="1">
      <colorScale>
        <cfvo type="formula" val="-1"/>
        <cfvo type="formula" val="0"/>
        <cfvo type="formula" val="1"/>
        <color rgb="FFE67C73"/>
        <color rgb="FFFFFFFF"/>
        <color rgb="FF57BB8A"/>
      </colorScale>
    </cfRule>
  </conditionalFormatting>
  <conditionalFormatting sqref="K32">
    <cfRule type="cellIs" dxfId="0" priority="2" operator="greaterThan">
      <formula>0</formula>
    </cfRule>
  </conditionalFormatting>
  <conditionalFormatting sqref="K32">
    <cfRule type="cellIs" dxfId="1" priority="3" operator="lessThan">
      <formula>0</formula>
    </cfRule>
  </conditionalFormatting>
  <printOptions/>
  <pageMargins bottom="0.75" footer="0.0" header="0.0" left="0.7" right="0.7" top="0.75"/>
  <pageSetup fitToHeight="0" paperSize="9" orientation="portrait"/>
  <headerFooter>
    <oddHeader>&amp;L&amp;F&amp;R</oddHeader>
    <oddFooter>&amp;CPresupuesto Ayuntamiento Aranda de Duero 2025&amp;R&amp;P</oddFooter>
  </headerFooter>
  <drawing r:id="rId1"/>
</worksheet>
</file>