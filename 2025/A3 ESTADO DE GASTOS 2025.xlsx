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Hoja 3" sheetId="2" r:id="rId6"/>
    <sheet state="visible" name="Liberaciones &amp; Libre desig" sheetId="3" r:id="rId7"/>
  </sheets>
  <definedNames>
    <definedName localSheetId="0" name="p1610_48900">'2025'!$F$1313</definedName>
    <definedName localSheetId="0" name="suma_cap90">'2025'!$F$503</definedName>
    <definedName localSheetId="0" name="p2311_48902">'2025'!$F$1327</definedName>
    <definedName localSheetId="0" name="suma_cap1">'2025'!$F$503</definedName>
    <definedName localSheetId="0" name="p4310_48900">'2025'!$F$1364</definedName>
    <definedName localSheetId="0" name="suma_cap8">'2025'!$F$1600</definedName>
    <definedName localSheetId="0" name="p3260_48900">'2025'!$F$1335</definedName>
    <definedName localSheetId="0" name="suma_cap4">'2025'!$F$1393</definedName>
    <definedName localSheetId="0" name="p1710_48900">'2025'!$F$1321</definedName>
    <definedName localSheetId="0" name="p9240_48900">'2025'!$F$1386</definedName>
    <definedName localSheetId="0" name="suma_cap3">'2025'!$F$1306</definedName>
    <definedName localSheetId="0" name="p1522_78000">'2025'!$F$1582</definedName>
    <definedName localSheetId="0" name="p9200_48900">'2025'!$F$1382</definedName>
    <definedName localSheetId="0" name="p4320_48900">'2025'!$F$1369</definedName>
    <definedName localSheetId="0" name="suma_cap7">'2025'!$F$1590</definedName>
    <definedName localSheetId="0" name="suma_cap9">'2025'!$F$1610</definedName>
    <definedName name="p3262_48900">'2025'!$F$1339</definedName>
    <definedName name="p4330_47900">'2025'!$F$1373</definedName>
    <definedName localSheetId="0" name="p9120_48900">'2025'!$F$1378</definedName>
    <definedName localSheetId="0" name="p3340_48900">'2025'!$F$1343</definedName>
    <definedName localSheetId="0" name="p3380_48900">'2025'!$F$1355</definedName>
    <definedName localSheetId="0" name="p2313_48900">'2025'!$F$1331</definedName>
    <definedName localSheetId="0" name="P3360_78000">'2025'!$F$1587</definedName>
    <definedName localSheetId="0" name="p2311_48901">'2025'!$F$1326</definedName>
    <definedName localSheetId="0" name="p1700_48900">'2025'!$F$1317</definedName>
    <definedName localSheetId="0" name="p9430_48900">'2025'!$F$1390</definedName>
    <definedName localSheetId="0" name="p1522_78001">'2025'!$F$1583</definedName>
    <definedName localSheetId="0" name="p3410_48900">'2025'!$F$1359</definedName>
    <definedName localSheetId="0" name="p3341_48900">'2025'!$F$1347</definedName>
    <definedName localSheetId="0" name="p3373_48900">'2025'!$F$1351</definedName>
    <definedName localSheetId="0" name="suma_cap100">'2025'!$F$504</definedName>
    <definedName localSheetId="0" name="p4320_46700">'2025'!$F$1368</definedName>
    <definedName localSheetId="0" name="p4330_48900">'2025'!$F$1374</definedName>
    <definedName localSheetId="0" name="p2311_48900">'2025'!$F$1325</definedName>
    <definedName localSheetId="0" name="suma_cap2">'2025'!$F$1291</definedName>
    <definedName localSheetId="0" name="suma_cap5">'2025'!$F$1403</definedName>
    <definedName localSheetId="0" name="suma_cap6">'2025'!$F$1575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tc={0b3da4c1-3ca6-469a-91d4-6be91da0af7d}</author>
  </authors>
  <commentList>
    <comment authorId="0" xr:uid="{0b3da4c1-3ca6-469a-91d4-6be91da0af7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Piscina cubierta
</t>
      </text>
    </comment>
  </commentList>
</comments>
</file>

<file path=xl/sharedStrings.xml><?xml version="1.0" encoding="utf-8"?>
<sst xmlns="http://schemas.openxmlformats.org/spreadsheetml/2006/main" count="2156" uniqueCount="324">
  <si>
    <t>CLASIFICACIÓN</t>
  </si>
  <si>
    <t>CAPÍTULO I</t>
  </si>
  <si>
    <t>PROGRAMA</t>
  </si>
  <si>
    <t>ECONÓMICA</t>
  </si>
  <si>
    <t>ADMON. GRAL. DE LA SEGURIDAD</t>
  </si>
  <si>
    <t>120.03</t>
  </si>
  <si>
    <t>Sueldos del Grupo C1</t>
  </si>
  <si>
    <t>120.04</t>
  </si>
  <si>
    <t>Sueldos del Grupo C2</t>
  </si>
  <si>
    <t>120.06</t>
  </si>
  <si>
    <t>Trienios</t>
  </si>
  <si>
    <t>121.00</t>
  </si>
  <si>
    <t>Complemento de destino</t>
  </si>
  <si>
    <t>121.01</t>
  </si>
  <si>
    <t>Complemento específico</t>
  </si>
  <si>
    <t>Productividad</t>
  </si>
  <si>
    <t>160.00</t>
  </si>
  <si>
    <t>Cuotas Seguridad Social</t>
  </si>
  <si>
    <t>131.00</t>
  </si>
  <si>
    <t>Retribuciones básicas</t>
  </si>
  <si>
    <t>131.02</t>
  </si>
  <si>
    <t>Otras remuneraciones</t>
  </si>
  <si>
    <t>160.02</t>
  </si>
  <si>
    <t>SEGURIDAD</t>
  </si>
  <si>
    <t>120.01</t>
  </si>
  <si>
    <t>Sueldos del Grupo A2</t>
  </si>
  <si>
    <t>151.00</t>
  </si>
  <si>
    <t>Gratificaciones</t>
  </si>
  <si>
    <t>EXTINCIÓN DE INCENDIOS</t>
  </si>
  <si>
    <t>120.00</t>
  </si>
  <si>
    <t>Sueldos del Grupo A1</t>
  </si>
  <si>
    <t>ADMON. GRAL. DE URBANISMO</t>
  </si>
  <si>
    <t>URBANISMO</t>
  </si>
  <si>
    <t>131.01</t>
  </si>
  <si>
    <t>Horas extraordinarias</t>
  </si>
  <si>
    <t>URBANISMO. OFICINA GESTIÓN ARU SANTA CATALINA</t>
  </si>
  <si>
    <t>VÍAS PÚBLICAS URBANAS</t>
  </si>
  <si>
    <t>130.00</t>
  </si>
  <si>
    <t>130.01</t>
  </si>
  <si>
    <t>130.02</t>
  </si>
  <si>
    <t>160.01</t>
  </si>
  <si>
    <t>ABASTECIMIENTO Y DISTRIBUCIÓN DE AGUAS</t>
  </si>
  <si>
    <t>LIMPIEZA VIARIA</t>
  </si>
  <si>
    <t>120.05</t>
  </si>
  <si>
    <t>Sueldos del Grupo E</t>
  </si>
  <si>
    <t>CEMENTERIO</t>
  </si>
  <si>
    <t>ALUMBRADO PÚBLICO</t>
  </si>
  <si>
    <t>ADMON. GRAL. DEL MEDIO AMBIENTE</t>
  </si>
  <si>
    <t>PARQUES Y JARDINES</t>
  </si>
  <si>
    <t xml:space="preserve">OTRAS PRESTACIONES </t>
  </si>
  <si>
    <t>162.00</t>
  </si>
  <si>
    <t>Formación y Perfeccionam. Personal Funcionario</t>
  </si>
  <si>
    <t>162.04</t>
  </si>
  <si>
    <t>Acción social de Personal Funcionario</t>
  </si>
  <si>
    <t>162.05</t>
  </si>
  <si>
    <t>Seguros de Personal Funcionario</t>
  </si>
  <si>
    <t>162.10</t>
  </si>
  <si>
    <t>Formación y Perfeccionam. Personal Laboral</t>
  </si>
  <si>
    <t>162.14</t>
  </si>
  <si>
    <t>Acción social de Personal Laboral</t>
  </si>
  <si>
    <t>162.15</t>
  </si>
  <si>
    <t>Seguros de Personal Laboral</t>
  </si>
  <si>
    <t>ADMON. GRAL. ASISTENCIA SOCIAL PRIMARIA</t>
  </si>
  <si>
    <t>ASISTENCIA SOCIAL PRIMARIA</t>
  </si>
  <si>
    <t>FORMACIÓN Y EMPLEO OTROS PROGRAMAS</t>
  </si>
  <si>
    <t>ADMON. GRAL. DE LA EDUCACIÓN</t>
  </si>
  <si>
    <t>ESCUELA DE MÚSICA Y DANZA</t>
  </si>
  <si>
    <t>ESCUELA DE FOLKLORE</t>
  </si>
  <si>
    <t>ADMON. GRAL. DE LA CULTURA</t>
  </si>
  <si>
    <t>BIBLIOTECA</t>
  </si>
  <si>
    <t>PROMOCIÓN CULTURAL</t>
  </si>
  <si>
    <t>CENTROS CÍVICOS</t>
  </si>
  <si>
    <t xml:space="preserve">quitar el personal laboral </t>
  </si>
  <si>
    <t>22500 menos</t>
  </si>
  <si>
    <t>CASA DE LA JUVENTUD Y CENTRO ARTE JOVEN</t>
  </si>
  <si>
    <t>FESTEJOS</t>
  </si>
  <si>
    <t>PROMOCIÓN DEPORTIVA</t>
  </si>
  <si>
    <t>INSTALACIONES DEPORTIVAS</t>
  </si>
  <si>
    <t>TURISMO</t>
  </si>
  <si>
    <t>DESARROLLO ECONÓMICO</t>
  </si>
  <si>
    <t>CONSUMO</t>
  </si>
  <si>
    <t>ÓRGANOS DE GOBIERNO</t>
  </si>
  <si>
    <t>100.00</t>
  </si>
  <si>
    <t>ORIG 65080</t>
  </si>
  <si>
    <t>110.00</t>
  </si>
  <si>
    <t>Retribuciones básicas de personal eventual</t>
  </si>
  <si>
    <t>Seguridad social</t>
  </si>
  <si>
    <t>ORIG 187.520,00 €</t>
  </si>
  <si>
    <t>ADMINISTRACIÓN GENERAL</t>
  </si>
  <si>
    <t>SECRETARÍA GENERAL</t>
  </si>
  <si>
    <t>ADMINISTRACIÓN DE PERSONAL</t>
  </si>
  <si>
    <t>INTERVENCIÓN</t>
  </si>
  <si>
    <t>GESTIÓN TRIBUTARIA Y RECAUDACIÓN</t>
  </si>
  <si>
    <t>CONTRATACIÓN Y PATRIMONIO</t>
  </si>
  <si>
    <t>TESORERÍA</t>
  </si>
  <si>
    <t>TOTAL CAPÍTULO I</t>
  </si>
  <si>
    <t>CAPÍTULO II</t>
  </si>
  <si>
    <t>Arrendamiento de maquinaria, instalaciones y utillaje</t>
  </si>
  <si>
    <t>Repar., manten. y conserv. de edificios</t>
  </si>
  <si>
    <t>Repar., manten. y conserv. de maquinaria</t>
  </si>
  <si>
    <t>Repar., manten. y conserv. de elementos de transporte</t>
  </si>
  <si>
    <t>Repar., manten. y conserv. de mobiliario</t>
  </si>
  <si>
    <t>Equipos para procesos de información</t>
  </si>
  <si>
    <t>220.00</t>
  </si>
  <si>
    <t>Material de oficina</t>
  </si>
  <si>
    <t>221.00</t>
  </si>
  <si>
    <t>Energía eléctrica</t>
  </si>
  <si>
    <t>221.02</t>
  </si>
  <si>
    <t>Gas</t>
  </si>
  <si>
    <t>221.03</t>
  </si>
  <si>
    <t>Combustible y carburantes</t>
  </si>
  <si>
    <t>221.04</t>
  </si>
  <si>
    <t>Vestuario</t>
  </si>
  <si>
    <t>221.99</t>
  </si>
  <si>
    <t>Otros suministros</t>
  </si>
  <si>
    <t>222.00</t>
  </si>
  <si>
    <t>Comunicaciones</t>
  </si>
  <si>
    <t>222.01</t>
  </si>
  <si>
    <t>Comunicaciones postales</t>
  </si>
  <si>
    <t>Primas de seguros</t>
  </si>
  <si>
    <t>225.02</t>
  </si>
  <si>
    <t>Tributos de las Entidades Locales</t>
  </si>
  <si>
    <t>226.01</t>
  </si>
  <si>
    <t>Atenciones protocolarias y de representación</t>
  </si>
  <si>
    <t>226.02</t>
  </si>
  <si>
    <t>Publicidad y propaganda</t>
  </si>
  <si>
    <t>226.03</t>
  </si>
  <si>
    <t>Publicaciones en Diarios Oficiales</t>
  </si>
  <si>
    <t>226.99</t>
  </si>
  <si>
    <t>Otros gastos. Gastos diversos</t>
  </si>
  <si>
    <t>227.99</t>
  </si>
  <si>
    <t>Trabajos realizados por otras empresas</t>
  </si>
  <si>
    <t>230.09</t>
  </si>
  <si>
    <t>Dietas del personal</t>
  </si>
  <si>
    <t>ORDENACIÓN DEL TRÁFICO Y ESTACIONAMIENTO</t>
  </si>
  <si>
    <t xml:space="preserve">Trabajos realizados por otras empresas </t>
  </si>
  <si>
    <t>PROTECCIÓN CIVIL</t>
  </si>
  <si>
    <t>Energía  eléctrica</t>
  </si>
  <si>
    <t>Repar., manten. y conserv. de equipos informáticos</t>
  </si>
  <si>
    <t>220.01</t>
  </si>
  <si>
    <t>Prensa y revistas</t>
  </si>
  <si>
    <t xml:space="preserve">Gas </t>
  </si>
  <si>
    <t>227.06</t>
  </si>
  <si>
    <t>Estudios y trabajos técnicos</t>
  </si>
  <si>
    <t>Locomoción</t>
  </si>
  <si>
    <t>VIVIENDA. OFICINA GESTIÓN ARU SANTA CATALINA</t>
  </si>
  <si>
    <t>Arrendamientos de otro inmovilizado material</t>
  </si>
  <si>
    <t>Arrendamiento de elementos de transporte</t>
  </si>
  <si>
    <t>Repar., manten. y conserv. de infraestructuras</t>
  </si>
  <si>
    <t>Transporte</t>
  </si>
  <si>
    <t>233.01</t>
  </si>
  <si>
    <t>Otras indemnizaciones del personal</t>
  </si>
  <si>
    <t>ALCANTARILLADO</t>
  </si>
  <si>
    <t>Arrendamiento de maquinaria, Instalaciones y utillaje</t>
  </si>
  <si>
    <t>225.01</t>
  </si>
  <si>
    <t>Tributos CCAA</t>
  </si>
  <si>
    <t>Otras indemnizaciones</t>
  </si>
  <si>
    <t>Repar., manten. y conserv. de infraestructuras y bienes</t>
  </si>
  <si>
    <t>225.00</t>
  </si>
  <si>
    <t>Tributos estatales</t>
  </si>
  <si>
    <t>RECOGIDA DE RESIDUOS</t>
  </si>
  <si>
    <t>227.00</t>
  </si>
  <si>
    <t>Limpieza y aseo</t>
  </si>
  <si>
    <t>TRATAMIENTO DE RESIDUOS</t>
  </si>
  <si>
    <t>220.02</t>
  </si>
  <si>
    <t>Material informático no inventariable</t>
  </si>
  <si>
    <t>221.12</t>
  </si>
  <si>
    <t>Suministros de material electrónico y de telecomunicaciones</t>
  </si>
  <si>
    <t>Otros  suministros</t>
  </si>
  <si>
    <t>ADMON. GRAL. MEDIO AMBIENTE</t>
  </si>
  <si>
    <t xml:space="preserve">Energía eléctrica </t>
  </si>
  <si>
    <t>221.15</t>
  </si>
  <si>
    <t>Plantas y árboles</t>
  </si>
  <si>
    <t>PROTECCIÓN CONTAMINAC. ACÚSTICA Y ATM.</t>
  </si>
  <si>
    <t xml:space="preserve">Estudios y trabajos técnicos </t>
  </si>
  <si>
    <t>Prensa, revistas, publicaciones y libros</t>
  </si>
  <si>
    <t>226.09</t>
  </si>
  <si>
    <t>Actividades culturales y deportivas</t>
  </si>
  <si>
    <t>COLECTIVOS MARGINADOS</t>
  </si>
  <si>
    <t>PROMOCIÓN DE LA IGUALDAD</t>
  </si>
  <si>
    <t>TERCERA EDAD Y DEPENDENCIA</t>
  </si>
  <si>
    <t>Arrendamiento de edificios y otras construcciones</t>
  </si>
  <si>
    <t>FORMACIÓN Y EMPLEO. OTROS PROGRAMAS</t>
  </si>
  <si>
    <t>PROTECCIÓN SALUBRIDAD PÚBLICA</t>
  </si>
  <si>
    <t>FUNCIONAMIENTO CENTROS DOCENTES</t>
  </si>
  <si>
    <t>221.07</t>
  </si>
  <si>
    <t>Red de calor</t>
  </si>
  <si>
    <t>SERVICIOS COMPLEMENTARIOS EDUCACIÓN</t>
  </si>
  <si>
    <t>&lt;-- alquiler ludoteca, ¿y gastos?</t>
  </si>
  <si>
    <t>Atenciones protocolarias</t>
  </si>
  <si>
    <t xml:space="preserve">Actividades culturales y deportivas </t>
  </si>
  <si>
    <t>Cánones</t>
  </si>
  <si>
    <t>Prensa, revistas y publicaciones</t>
  </si>
  <si>
    <t>226.06</t>
  </si>
  <si>
    <t>Reuniones y  conferencias</t>
  </si>
  <si>
    <t>ESCUELA DE FOLCLORE</t>
  </si>
  <si>
    <t>MUSEOS</t>
  </si>
  <si>
    <t>Arrendamiento edificios (ADIF Museo del Tren)</t>
  </si>
  <si>
    <t>ESCUELA Y MUSEO DE CERÁMICA</t>
  </si>
  <si>
    <t xml:space="preserve">PROMOCIÓN CULTURAL </t>
  </si>
  <si>
    <t>Arrendamiento de edificios</t>
  </si>
  <si>
    <t>&lt;-- comodato</t>
  </si>
  <si>
    <t>Reuniones y conferencias</t>
  </si>
  <si>
    <t>BANDA DE MÚSICA</t>
  </si>
  <si>
    <t>Red de Calor</t>
  </si>
  <si>
    <t>ALBERGUE JUVENIL</t>
  </si>
  <si>
    <t>HUERTOS DE OCIO</t>
  </si>
  <si>
    <t>226.11</t>
  </si>
  <si>
    <t xml:space="preserve">Actividades Fiestas Patronales </t>
  </si>
  <si>
    <t>PROMOCIÓN INDUSTRIAL</t>
  </si>
  <si>
    <t>COMERCIO</t>
  </si>
  <si>
    <t xml:space="preserve">Publicidad y propaganda </t>
  </si>
  <si>
    <t>FERIAS</t>
  </si>
  <si>
    <t xml:space="preserve">Otros gastos. Gastos diversos </t>
  </si>
  <si>
    <t>Trabajos de otras empresas</t>
  </si>
  <si>
    <t>HERMANAMIENTOS</t>
  </si>
  <si>
    <t>TRANSPORTE URBANO DE VIAJEROS</t>
  </si>
  <si>
    <t>233.00</t>
  </si>
  <si>
    <t>Indemnizaciones asistencias órganos de gobierno</t>
  </si>
  <si>
    <t>ORIG 318.220,00 €</t>
  </si>
  <si>
    <t>230.00</t>
  </si>
  <si>
    <t>Dietas de cargos electivos</t>
  </si>
  <si>
    <t>Repar. y conserv. Mobiliario</t>
  </si>
  <si>
    <t>226.04</t>
  </si>
  <si>
    <t>Servicios jurídicos</t>
  </si>
  <si>
    <t>226.10</t>
  </si>
  <si>
    <t>Multas e indemnizaciones</t>
  </si>
  <si>
    <t>PARTICIPACIÓN CIUDADANA</t>
  </si>
  <si>
    <t>ATENCIÓN A LOS CIUDADANOS</t>
  </si>
  <si>
    <t>SERVICIOS NO CLASIFICADOS</t>
  </si>
  <si>
    <t>ADMINISTRACIÓN GENERAL. ECON. Y HACIENDA</t>
  </si>
  <si>
    <t>TOTAL CAPÍTULO II</t>
  </si>
  <si>
    <t>CAPÍTULO III</t>
  </si>
  <si>
    <t>0110</t>
  </si>
  <si>
    <t>DEUDA PÚBLICA</t>
  </si>
  <si>
    <t>310.00</t>
  </si>
  <si>
    <t>Intereses</t>
  </si>
  <si>
    <t>311.00</t>
  </si>
  <si>
    <t>Gastos de formalización, modificación y cancelación</t>
  </si>
  <si>
    <t>359.00</t>
  </si>
  <si>
    <t>Otros gastos financieros</t>
  </si>
  <si>
    <t>TOTAL CAPÍTULO III</t>
  </si>
  <si>
    <t>CAPÍTULO IV</t>
  </si>
  <si>
    <t>CC</t>
  </si>
  <si>
    <t>489.00</t>
  </si>
  <si>
    <t>Transferencias a familias e instituciones sin fines de lucro</t>
  </si>
  <si>
    <t>ok</t>
  </si>
  <si>
    <t>489.01</t>
  </si>
  <si>
    <t>Otras transferencias (Plataforma 0'7)</t>
  </si>
  <si>
    <t>489.02</t>
  </si>
  <si>
    <t>Atenciones benéficas y asistenciales</t>
  </si>
  <si>
    <t>ORIG</t>
  </si>
  <si>
    <t>!!!!!</t>
  </si>
  <si>
    <t>CC nuevo --&gt;</t>
  </si>
  <si>
    <t>472.00</t>
  </si>
  <si>
    <t>Subvenciones para reducir el precio a pagar por los consumidores</t>
  </si>
  <si>
    <t>&lt;&lt;- arandabonos</t>
  </si>
  <si>
    <t>467.00</t>
  </si>
  <si>
    <t>Transferencias a otras Entidades Locales</t>
  </si>
  <si>
    <t>479.00</t>
  </si>
  <si>
    <t>Otras subvenciones a empresas privadas</t>
  </si>
  <si>
    <t>Dotaciones Grupos Municipales</t>
  </si>
  <si>
    <t xml:space="preserve">Transferencias a familias e instituciones </t>
  </si>
  <si>
    <t xml:space="preserve">Transferencias a familias e instituciones sin fines de lucro </t>
  </si>
  <si>
    <t>TRANSFERENCIAS A LA AGUILERA</t>
  </si>
  <si>
    <t>468.00</t>
  </si>
  <si>
    <t>A entidades locales menores (La Aguilera)</t>
  </si>
  <si>
    <t>TOTAL CAPÍTULO IV</t>
  </si>
  <si>
    <t>CAPÍTULO V</t>
  </si>
  <si>
    <t>500.00</t>
  </si>
  <si>
    <t>Fondo de contingencia</t>
  </si>
  <si>
    <t>TOTAL CAPÍTULO V</t>
  </si>
  <si>
    <t>CAPÍTULO VI</t>
  </si>
  <si>
    <t>Edificios y otras construcciones</t>
  </si>
  <si>
    <t>Otras inver. de reposición de infraest. y b. destinados uso gral.</t>
  </si>
  <si>
    <t>Otras inversiones nuevas asociadas al funcionamiento operativo de los servicios</t>
  </si>
  <si>
    <t>Mobiliario</t>
  </si>
  <si>
    <t>Gastos en aplicaciones informáticas</t>
  </si>
  <si>
    <t>VIVIENDA</t>
  </si>
  <si>
    <t>Inversiones gestionadas por otros entes</t>
  </si>
  <si>
    <t>Elementos de transporte</t>
  </si>
  <si>
    <t>Maquinaria, instalaciones técnicas y utillaje</t>
  </si>
  <si>
    <t>ALUMBRADO</t>
  </si>
  <si>
    <t>Otras inversiones de reposición en infraestructuras y bienes destinados al uso general</t>
  </si>
  <si>
    <t>Gastos en inversiones gestionadas para otros entes públicos</t>
  </si>
  <si>
    <t>PROTECCIÓN DE LA SALUBRIDAD PÚBLICA</t>
  </si>
  <si>
    <t>Otras inversiones nuevas en infraestructuras y bienes destinados al uso general</t>
  </si>
  <si>
    <t>Otras inv. nuevas asociadas al fcto. operativo de los servicios</t>
  </si>
  <si>
    <t>Inversiones gestionadas para otros entes</t>
  </si>
  <si>
    <t>EQUIPAMIENTOS CULTURALES Y CASA DE CULTURA</t>
  </si>
  <si>
    <t>Otros gastos en inversiones de bienes patrimoniales</t>
  </si>
  <si>
    <t>Otras inversiones de reposición asociadas al funcionamiento operativo de los servicios</t>
  </si>
  <si>
    <t>CAMINOS</t>
  </si>
  <si>
    <t>Equipos procesos información</t>
  </si>
  <si>
    <t>Otras inversiones nuevas asociadas al funcionamiento operativo de los servicios.</t>
  </si>
  <si>
    <t>TOTAL CAPÍTULO VI</t>
  </si>
  <si>
    <t>CAPÍTULO VII</t>
  </si>
  <si>
    <t>CONSERV. Y REHABILITAC. DE LA EDIFICACIÓN</t>
  </si>
  <si>
    <t>780.00</t>
  </si>
  <si>
    <r>
      <rPr>
        <rFont val="Arial"/>
        <color theme="1"/>
        <sz val="10.0"/>
      </rPr>
      <t>Transferencias a familias e instituciones sin fines de lucro</t>
    </r>
    <r>
      <rPr>
        <rFont val="Arial"/>
        <color theme="1"/>
        <sz val="10.0"/>
      </rPr>
      <t xml:space="preserve"> (ITE)</t>
    </r>
  </si>
  <si>
    <t>780.01</t>
  </si>
  <si>
    <t>Transferencias a familias e instituciones sin fines de lucro (fachadas)</t>
  </si>
  <si>
    <t>PATRIMONIO HISTÓRICO - ARTÍSTICO</t>
  </si>
  <si>
    <t>&lt;-- bodegas</t>
  </si>
  <si>
    <t>TOTAL CAPÍTULO VII</t>
  </si>
  <si>
    <t>CAPÍTULO VIII</t>
  </si>
  <si>
    <t>OTRAS ATENCIONES AL PERSONAL</t>
  </si>
  <si>
    <t>Concesiones de préstamos no públicos a corto plazo</t>
  </si>
  <si>
    <t>TOTAL CAPÍTULO VIII</t>
  </si>
  <si>
    <t>CAPÍTULO IX</t>
  </si>
  <si>
    <t>Amortización de préstamos a L/P de entes de fuera del Sector Público</t>
  </si>
  <si>
    <t>TOTAL CAPÍTULO IX</t>
  </si>
  <si>
    <t>TOTAL ESTADO DE GASTOS</t>
  </si>
  <si>
    <t>Dedic. excl.</t>
  </si>
  <si>
    <t>Eventuales</t>
  </si>
  <si>
    <t>Salario</t>
  </si>
  <si>
    <t>SS</t>
  </si>
  <si>
    <t>Ded.exc. idmn. máx</t>
  </si>
  <si>
    <t>TOTAL</t>
  </si>
  <si>
    <t>Número</t>
  </si>
  <si>
    <t>4+3</t>
  </si>
  <si>
    <t>COSTE DEDIC. EXCL</t>
  </si>
  <si>
    <t>Coste</t>
  </si>
  <si>
    <t>COSTE EVENTUALES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</si>
</sst>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&quot;€&quot;"/>
    <numFmt numFmtId="165" formatCode="#,##0.00\ [$€-1]"/>
  </numFmts>
  <fonts count="17">
    <font>
      <sz val="10.0"/>
      <color rgb="FF000000"/>
      <name val="Arial"/>
      <scheme val="minor"/>
    </font>
    <font>
      <sz val="11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sz val="11.0"/>
      <color rgb="FFFF0000"/>
      <name val="Arial"/>
    </font>
    <font>
      <sz val="10.0"/>
      <color rgb="FFFF0000"/>
      <name val="Arial"/>
    </font>
    <font>
      <color theme="1"/>
      <name val="Arial"/>
    </font>
    <font>
      <b/>
      <color theme="1"/>
      <name val="Arial"/>
    </font>
    <font>
      <sz val="9.0"/>
      <color rgb="FF1155CC"/>
      <name val="&quot;Google Sans Mono&quot;"/>
    </font>
    <font>
      <b/>
      <color theme="1"/>
      <name val="Arial"/>
      <scheme val="minor"/>
    </font>
    <font>
      <b/>
      <sz val="13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9FDFB"/>
        <bgColor rgb="FFF9FDFB"/>
      </patternFill>
    </fill>
    <fill>
      <patternFill patternType="solid">
        <fgColor rgb="FFEAF1DD"/>
        <bgColor rgb="FFEAF1DD"/>
      </patternFill>
    </fill>
    <fill>
      <patternFill patternType="solid">
        <fgColor theme="8"/>
        <bgColor theme="8"/>
      </patternFill>
    </fill>
    <fill>
      <patternFill patternType="solid">
        <fgColor rgb="FFB6DDE8"/>
        <bgColor rgb="FFB6DDE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4BACC6"/>
        <bgColor rgb="FF4BACC6"/>
      </patternFill>
    </fill>
  </fills>
  <borders count="2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2" fontId="3" numFmtId="10" xfId="0" applyAlignment="1" applyFill="1" applyFont="1" applyNumberFormat="1">
      <alignment horizontal="right" vertical="bottom"/>
    </xf>
    <xf borderId="0" fillId="0" fontId="2" numFmtId="0" xfId="0" applyAlignment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3" fontId="6" numFmtId="0" xfId="0" applyAlignment="1" applyBorder="1" applyFill="1" applyFont="1">
      <alignment horizontal="center" readingOrder="0" vertical="center"/>
    </xf>
    <xf borderId="4" fillId="3" fontId="7" numFmtId="164" xfId="0" applyAlignment="1" applyBorder="1" applyFill="1" applyFont="1" applyNumberFormat="1">
      <alignment horizontal="center" vertical="center"/>
    </xf>
    <xf borderId="4" fillId="3" fontId="4" numFmtId="1" xfId="0" applyAlignment="1" applyBorder="1" applyFill="1" applyFont="1" applyNumberFormat="1">
      <alignment horizontal="center" vertical="center"/>
    </xf>
    <xf borderId="4" fillId="3" fontId="4" numFmtId="0" xfId="0" applyAlignment="1" applyBorder="1" applyFill="1" applyFont="1">
      <alignment horizontal="right" vertical="center"/>
    </xf>
    <xf borderId="5" fillId="0" fontId="5" numFmtId="0" xfId="0" applyBorder="1" applyFont="1"/>
    <xf borderId="4" fillId="3" fontId="7" numFmtId="1" xfId="0" applyAlignment="1" applyBorder="1" applyFill="1" applyFont="1" applyNumberFormat="1">
      <alignment vertical="center"/>
    </xf>
    <xf borderId="6" fillId="4" fontId="6" numFmtId="0" xfId="0" applyAlignment="1" applyBorder="1" applyFill="1" applyFont="1">
      <alignment horizontal="center" shrinkToFit="0" vertical="center" wrapText="1"/>
    </xf>
    <xf borderId="6" fillId="4" fontId="6" numFmtId="1" xfId="0" applyAlignment="1" applyBorder="1" applyFill="1" applyFont="1" applyNumberFormat="1">
      <alignment horizontal="right" shrinkToFit="0" vertical="center" wrapText="1"/>
    </xf>
    <xf borderId="6" fillId="4" fontId="6" numFmtId="1" xfId="0" applyAlignment="1" applyBorder="1" applyFill="1" applyFont="1" applyNumberFormat="1">
      <alignment shrinkToFit="0" vertical="center" wrapText="1"/>
    </xf>
    <xf borderId="6" fillId="4" fontId="6" numFmtId="1" xfId="0" applyAlignment="1" applyBorder="1" applyFill="1" applyFont="1" applyNumberFormat="1">
      <alignment readingOrder="0" shrinkToFit="0" vertical="center" wrapText="1"/>
    </xf>
    <xf borderId="0" fillId="0" fontId="2" numFmtId="164" xfId="0" applyAlignment="1" applyFont="1" applyNumberFormat="1">
      <alignment readingOrder="0" vertical="center"/>
    </xf>
    <xf borderId="0" fillId="0" fontId="2" numFmtId="0" xfId="0" applyAlignment="1" applyFont="1">
      <alignment readingOrder="0" vertical="center"/>
    </xf>
    <xf borderId="0" fillId="0" fontId="6" numFmtId="1" xfId="0" applyAlignment="1" applyFont="1" applyNumberFormat="1">
      <alignment horizontal="right" vertical="center"/>
    </xf>
    <xf borderId="7" fillId="5" fontId="8" numFmtId="164" xfId="0" applyAlignment="1" applyBorder="1" applyFill="1" applyFont="1" applyNumberFormat="1">
      <alignment vertical="center"/>
    </xf>
    <xf borderId="0" fillId="0" fontId="1" numFmtId="0" xfId="0" applyAlignment="1" applyFont="1">
      <alignment shrinkToFit="0" vertical="center" wrapText="1"/>
    </xf>
    <xf borderId="7" fillId="4" fontId="6" numFmtId="0" xfId="0" applyAlignment="1" applyBorder="1" applyFill="1" applyFont="1">
      <alignment horizontal="center" shrinkToFit="0" vertical="center" wrapText="1"/>
    </xf>
    <xf borderId="7" fillId="4" fontId="6" numFmtId="1" xfId="0" applyAlignment="1" applyBorder="1" applyFill="1" applyFont="1" applyNumberFormat="1">
      <alignment horizontal="right" shrinkToFit="0" vertical="center" wrapText="1"/>
    </xf>
    <xf borderId="7" fillId="4" fontId="6" numFmtId="1" xfId="0" applyAlignment="1" applyBorder="1" applyFill="1" applyFont="1" applyNumberFormat="1">
      <alignment shrinkToFit="0" vertical="center" wrapText="1"/>
    </xf>
    <xf borderId="7" fillId="4" fontId="6" numFmtId="1" xfId="0" applyAlignment="1" applyBorder="1" applyFill="1" applyFont="1" applyNumberForma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0" fontId="8" numFmtId="1" xfId="0" applyAlignment="1" applyFont="1" applyNumberFormat="1">
      <alignment horizontal="right" vertical="center"/>
    </xf>
    <xf borderId="0" fillId="0" fontId="2" numFmtId="1" xfId="0" applyAlignment="1" applyFont="1" applyNumberFormat="1">
      <alignment vertical="center"/>
    </xf>
    <xf borderId="0" fillId="0" fontId="8" numFmtId="164" xfId="0" applyAlignment="1" applyFont="1" applyNumberFormat="1">
      <alignment vertical="center"/>
    </xf>
    <xf borderId="7" fillId="4" fontId="6" numFmtId="0" xfId="0" applyAlignment="1" applyBorder="1" applyFill="1" applyFont="1">
      <alignment horizontal="center" vertical="center"/>
    </xf>
    <xf borderId="7" fillId="4" fontId="6" numFmtId="1" xfId="0" applyAlignment="1" applyBorder="1" applyFill="1" applyFont="1" applyNumberFormat="1">
      <alignment horizontal="right" vertical="center"/>
    </xf>
    <xf borderId="7" fillId="4" fontId="6" numFmtId="1" xfId="0" applyAlignment="1" applyBorder="1" applyFill="1" applyFont="1" applyNumberFormat="1">
      <alignment vertical="center"/>
    </xf>
    <xf borderId="7" fillId="4" fontId="6" numFmtId="1" xfId="0" applyAlignment="1" applyBorder="1" applyFill="1" applyFont="1" applyNumberFormat="1">
      <alignment readingOrder="0" vertical="center"/>
    </xf>
    <xf borderId="0" fillId="0" fontId="2" numFmtId="0" xfId="0" applyAlignment="1" applyFont="1">
      <alignment horizontal="right" readingOrder="0" vertical="center"/>
    </xf>
    <xf borderId="0" fillId="0" fontId="9" numFmtId="0" xfId="0" applyAlignment="1" applyFont="1">
      <alignment readingOrder="0"/>
    </xf>
    <xf borderId="0" fillId="0" fontId="9" numFmtId="165" xfId="0" applyAlignment="1" applyFont="1" applyNumberFormat="1">
      <alignment readingOrder="0"/>
    </xf>
    <xf borderId="0" fillId="0" fontId="9" numFmtId="0" xfId="0" applyFont="1"/>
    <xf borderId="0" fillId="0" fontId="2" numFmtId="0" xfId="0" applyAlignment="1" applyFont="1">
      <alignment horizontal="left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0" fillId="0" fontId="11" numFmtId="0" xfId="0" applyFont="1"/>
    <xf borderId="0" fillId="0" fontId="6" numFmtId="0" xfId="0" applyAlignment="1" applyFont="1">
      <alignment horizontal="center" readingOrder="0" vertical="center"/>
    </xf>
    <xf borderId="0" fillId="0" fontId="6" numFmtId="1" xfId="0" applyAlignment="1" applyFont="1" applyNumberFormat="1">
      <alignment vertical="center"/>
    </xf>
    <xf borderId="6" fillId="0" fontId="6" numFmtId="1" xfId="0" applyAlignment="1" applyBorder="1" applyFont="1" applyNumberFormat="1">
      <alignment vertical="center"/>
    </xf>
    <xf borderId="6" fillId="0" fontId="6" numFmtId="1" xfId="0" applyAlignment="1" applyBorder="1" applyFont="1" applyNumberFormat="1">
      <alignment readingOrder="0" vertical="center"/>
    </xf>
    <xf borderId="7" fillId="4" fontId="6" numFmtId="0" xfId="0" applyAlignment="1" applyBorder="1" applyFill="1" applyFont="1">
      <alignment horizontal="center" readingOrder="0" vertical="center"/>
    </xf>
    <xf borderId="6" fillId="4" fontId="6" numFmtId="1" xfId="0" applyAlignment="1" applyBorder="1" applyFill="1" applyFont="1" applyNumberFormat="1">
      <alignment vertical="center"/>
    </xf>
    <xf borderId="6" fillId="4" fontId="6" numFmtId="1" xfId="0" applyAlignment="1" applyBorder="1" applyFill="1" applyFont="1" applyNumberFormat="1">
      <alignment readingOrder="0" vertical="center"/>
    </xf>
    <xf borderId="0" fillId="0" fontId="6" numFmtId="1" xfId="0" applyAlignment="1" applyFont="1" applyNumberFormat="1">
      <alignment horizontal="right" readingOrder="0" vertical="center"/>
    </xf>
    <xf borderId="7" fillId="5" fontId="8" numFmtId="164" xfId="0" applyAlignment="1" applyBorder="1" applyFill="1" applyFont="1" applyNumberFormat="1">
      <alignment readingOrder="0" vertical="center"/>
    </xf>
    <xf borderId="0" fillId="0" fontId="2" numFmtId="1" xfId="0" applyAlignment="1" applyFont="1" applyNumberFormat="1">
      <alignment horizontal="right" vertical="center"/>
    </xf>
    <xf borderId="0" fillId="0" fontId="2" numFmtId="165" xfId="0" applyAlignment="1" applyFont="1" applyNumberFormat="1">
      <alignment vertical="center"/>
    </xf>
    <xf borderId="8" fillId="0" fontId="6" numFmtId="1" xfId="0" applyAlignment="1" applyBorder="1" applyFont="1" applyNumberFormat="1">
      <alignment horizontal="right" vertical="center"/>
    </xf>
    <xf borderId="8" fillId="0" fontId="2" numFmtId="0" xfId="0" applyAlignment="1" applyBorder="1" applyFont="1">
      <alignment vertical="center"/>
    </xf>
    <xf borderId="9" fillId="0" fontId="8" numFmtId="164" xfId="0" applyAlignment="1" applyBorder="1" applyFont="1" applyNumberFormat="1">
      <alignment vertical="center"/>
    </xf>
    <xf borderId="7" fillId="4" fontId="7" numFmtId="1" xfId="0" applyAlignment="1" applyBorder="1" applyFill="1" applyFont="1" applyNumberFormat="1">
      <alignment vertical="center"/>
    </xf>
    <xf borderId="0" fillId="0" fontId="8" numFmtId="0" xfId="0" applyAlignment="1" applyFont="1">
      <alignment horizontal="right" vertical="center"/>
    </xf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7" fillId="0" fontId="6" numFmtId="0" xfId="0" applyAlignment="1" applyBorder="1" applyFont="1">
      <alignment horizontal="center" vertical="center"/>
    </xf>
    <xf borderId="4" fillId="0" fontId="8" numFmtId="164" xfId="0" applyAlignment="1" applyBorder="1" applyFont="1" applyNumberFormat="1">
      <alignment vertical="center"/>
    </xf>
    <xf borderId="0" fillId="0" fontId="12" numFmtId="164" xfId="0" applyFont="1" applyNumberFormat="1"/>
    <xf borderId="0" fillId="0" fontId="13" numFmtId="164" xfId="0" applyAlignment="1" applyFont="1" applyNumberFormat="1">
      <alignment readingOrder="0"/>
    </xf>
    <xf borderId="0" fillId="0" fontId="13" numFmtId="164" xfId="0" applyFont="1" applyNumberFormat="1"/>
    <xf borderId="0" fillId="0" fontId="8" numFmtId="164" xfId="0" applyAlignment="1" applyFont="1" applyNumberFormat="1">
      <alignment readingOrder="0" vertical="center"/>
    </xf>
    <xf borderId="4" fillId="3" fontId="7" numFmtId="1" xfId="0" applyAlignment="1" applyBorder="1" applyFill="1" applyFont="1" applyNumberFormat="1">
      <alignment readingOrder="0" vertical="center"/>
    </xf>
    <xf borderId="6" fillId="4" fontId="6" numFmtId="0" xfId="0" applyAlignment="1" applyBorder="1" applyFill="1" applyFont="1">
      <alignment horizontal="center" vertical="center"/>
    </xf>
    <xf borderId="6" fillId="4" fontId="6" numFmtId="1" xfId="0" applyAlignment="1" applyBorder="1" applyFill="1" applyFont="1" applyNumberFormat="1">
      <alignment horizontal="right" vertical="center"/>
    </xf>
    <xf borderId="0" fillId="0" fontId="2" numFmtId="1" xfId="0" applyAlignment="1" applyFont="1" applyNumberFormat="1">
      <alignment horizontal="left" vertical="center"/>
    </xf>
    <xf borderId="0" fillId="0" fontId="2" numFmtId="1" xfId="0" applyAlignment="1" applyFont="1" applyNumberFormat="1">
      <alignment horizontal="left" readingOrder="0" vertical="center"/>
    </xf>
    <xf borderId="0" fillId="0" fontId="12" numFmtId="0" xfId="0" applyAlignment="1" applyFont="1">
      <alignment readingOrder="0"/>
    </xf>
    <xf borderId="0" fillId="0" fontId="12" numFmtId="0" xfId="0" applyFont="1"/>
    <xf borderId="0" fillId="6" fontId="2" numFmtId="1" xfId="0" applyAlignment="1" applyFill="1" applyFont="1" applyNumberFormat="1">
      <alignment horizontal="left" vertical="center"/>
    </xf>
    <xf borderId="0" fillId="0" fontId="12" numFmtId="1" xfId="0" applyAlignment="1" applyFont="1" applyNumberFormat="1">
      <alignment horizontal="right"/>
    </xf>
    <xf borderId="0" fillId="0" fontId="12" numFmtId="1" xfId="0" applyFont="1" applyNumberFormat="1"/>
    <xf borderId="8" fillId="0" fontId="12" numFmtId="164" xfId="0" applyAlignment="1" applyBorder="1" applyFont="1" applyNumberFormat="1">
      <alignment horizontal="right" readingOrder="0"/>
    </xf>
    <xf borderId="8" fillId="0" fontId="12" numFmtId="164" xfId="0" applyAlignment="1" applyBorder="1" applyFont="1" applyNumberFormat="1">
      <alignment horizontal="right"/>
    </xf>
    <xf borderId="0" fillId="0" fontId="12" numFmtId="0" xfId="0" applyAlignment="1" applyFont="1">
      <alignment vertical="bottom"/>
    </xf>
    <xf borderId="0" fillId="0" fontId="2" numFmtId="1" xfId="0" applyAlignment="1" applyFont="1" applyNumberFormat="1">
      <alignment horizontal="right" readingOrder="0" vertical="center"/>
    </xf>
    <xf borderId="0" fillId="0" fontId="12" numFmtId="164" xfId="0" applyAlignment="1" applyFont="1" applyNumberFormat="1">
      <alignment horizontal="right" readingOrder="0"/>
    </xf>
    <xf borderId="0" fillId="7" fontId="3" numFmtId="10" xfId="0" applyAlignment="1" applyFill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0" fontId="11" numFmtId="0" xfId="0" applyAlignment="1" applyFont="1">
      <alignment horizontal="center" vertical="center"/>
    </xf>
    <xf borderId="0" fillId="0" fontId="2" numFmtId="3" xfId="0" applyAlignment="1" applyFont="1" applyNumberFormat="1">
      <alignment horizontal="right" vertical="center"/>
    </xf>
    <xf borderId="0" fillId="0" fontId="12" numFmtId="164" xfId="0" applyAlignment="1" applyFont="1" applyNumberFormat="1">
      <alignment horizontal="right"/>
    </xf>
    <xf borderId="0" fillId="0" fontId="12" numFmtId="165" xfId="0" applyAlignment="1" applyFont="1" applyNumberFormat="1">
      <alignment readingOrder="0"/>
    </xf>
    <xf borderId="0" fillId="0" fontId="12" numFmtId="165" xfId="0" applyFont="1" applyNumberFormat="1"/>
    <xf borderId="0" fillId="7" fontId="14" numFmtId="0" xfId="0" applyAlignment="1" applyFill="1" applyFont="1">
      <alignment horizontal="left"/>
    </xf>
    <xf borderId="4" fillId="0" fontId="8" numFmtId="164" xfId="0" applyAlignment="1" applyBorder="1" applyFont="1" applyNumberFormat="1">
      <alignment readingOrder="0" vertical="center"/>
    </xf>
    <xf borderId="10" fillId="3" fontId="4" numFmtId="1" xfId="0" applyAlignment="1" applyBorder="1" applyFill="1" applyFont="1" applyNumberFormat="1">
      <alignment horizontal="center" vertical="center"/>
    </xf>
    <xf borderId="10" fillId="3" fontId="4" numFmtId="0" xfId="0" applyAlignment="1" applyBorder="1" applyFill="1" applyFont="1">
      <alignment horizontal="right" vertical="center"/>
    </xf>
    <xf borderId="11" fillId="0" fontId="5" numFmtId="0" xfId="0" applyBorder="1" applyFont="1"/>
    <xf borderId="12" fillId="3" fontId="7" numFmtId="1" xfId="0" applyAlignment="1" applyBorder="1" applyFill="1" applyFont="1" applyNumberFormat="1">
      <alignment vertical="center"/>
    </xf>
    <xf borderId="12" fillId="3" fontId="7" numFmtId="1" xfId="0" applyAlignment="1" applyBorder="1" applyFill="1" applyFont="1" applyNumberFormat="1">
      <alignment readingOrder="0" vertical="center"/>
    </xf>
    <xf borderId="7" fillId="4" fontId="6" numFmtId="49" xfId="0" applyAlignment="1" applyBorder="1" applyFill="1" applyFont="1" applyNumberFormat="1">
      <alignment horizontal="center" vertical="center"/>
    </xf>
    <xf borderId="0" fillId="0" fontId="6" numFmtId="49" xfId="0" applyAlignment="1" applyFont="1" applyNumberFormat="1">
      <alignment horizontal="right" vertical="center"/>
    </xf>
    <xf borderId="1" fillId="3" fontId="4" numFmtId="0" xfId="0" applyAlignment="1" applyBorder="1" applyFill="1" applyFont="1">
      <alignment horizontal="center" shrinkToFit="0" vertical="center" wrapText="1"/>
    </xf>
    <xf borderId="3" fillId="3" fontId="6" numFmtId="0" xfId="0" applyAlignment="1" applyBorder="1" applyFill="1" applyFont="1">
      <alignment horizontal="center" readingOrder="0" shrinkToFit="0" vertical="center" wrapText="1"/>
    </xf>
    <xf borderId="4" fillId="3" fontId="7" numFmtId="164" xfId="0" applyAlignment="1" applyBorder="1" applyFill="1" applyFont="1" applyNumberFormat="1">
      <alignment horizontal="center" shrinkToFit="0" vertical="center" wrapText="1"/>
    </xf>
    <xf borderId="4" fillId="3" fontId="4" numFmtId="1" xfId="0" applyAlignment="1" applyBorder="1" applyFill="1" applyFont="1" applyNumberForma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13" fillId="3" fontId="7" numFmtId="1" xfId="0" applyAlignment="1" applyBorder="1" applyFill="1" applyFont="1" applyNumberFormat="1">
      <alignment shrinkToFit="0" vertical="center" wrapText="1"/>
    </xf>
    <xf borderId="13" fillId="3" fontId="7" numFmtId="1" xfId="0" applyAlignment="1" applyBorder="1" applyFill="1" applyFont="1" applyNumberFormat="1">
      <alignment readingOrder="0" shrinkToFit="0" vertical="center" wrapText="1"/>
    </xf>
    <xf borderId="14" fillId="4" fontId="6" numFmtId="0" xfId="0" applyAlignment="1" applyBorder="1" applyFill="1" applyFont="1">
      <alignment horizontal="center" shrinkToFit="0" vertical="center" wrapText="1"/>
    </xf>
    <xf borderId="14" fillId="4" fontId="6" numFmtId="1" xfId="0" applyAlignment="1" applyBorder="1" applyFill="1" applyFont="1" applyNumberFormat="1">
      <alignment horizontal="right" shrinkToFit="0" vertical="center" wrapText="1"/>
    </xf>
    <xf borderId="14" fillId="4" fontId="6" numFmtId="1" xfId="0" applyAlignment="1" applyBorder="1" applyFill="1" applyFont="1" applyNumberFormat="1">
      <alignment vertical="center"/>
    </xf>
    <xf borderId="14" fillId="4" fontId="6" numFmtId="1" xfId="0" applyAlignment="1" applyBorder="1" applyFill="1" applyFont="1" applyNumberFormat="1">
      <alignment shrinkToFit="0" vertical="center" wrapText="1"/>
    </xf>
    <xf borderId="14" fillId="4" fontId="6" numFmtId="1" xfId="0" applyAlignment="1" applyBorder="1" applyFill="1" applyFont="1" applyNumberFormat="1">
      <alignment readingOrder="0" shrinkToFit="0" vertical="center" wrapText="1"/>
    </xf>
    <xf borderId="0" fillId="0" fontId="15" numFmtId="0" xfId="0" applyAlignment="1" applyFont="1">
      <alignment horizontal="center" readingOrder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9" numFmtId="165" xfId="0" applyFont="1" applyNumberFormat="1"/>
    <xf borderId="0" fillId="0" fontId="6" numFmtId="1" xfId="0" applyAlignment="1" applyFont="1" applyNumberFormat="1">
      <alignment horizontal="right" shrinkToFit="0" vertical="center" wrapText="1"/>
    </xf>
    <xf borderId="7" fillId="5" fontId="8" numFmtId="164" xfId="0" applyAlignment="1" applyBorder="1" applyFill="1" applyFont="1" applyNumberForma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8" numFmtId="1" xfId="0" applyAlignment="1" applyFont="1" applyNumberFormat="1">
      <alignment horizontal="right" shrinkToFit="0" vertical="center" wrapText="1"/>
    </xf>
    <xf borderId="0" fillId="0" fontId="2" numFmtId="1" xfId="0" applyAlignment="1" applyFont="1" applyNumberFormat="1">
      <alignment shrinkToFit="0" vertical="center" wrapText="1"/>
    </xf>
    <xf borderId="0" fillId="0" fontId="8" numFmtId="164" xfId="0" applyAlignment="1" applyFont="1" applyNumberForma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65" xfId="0" applyAlignment="1" applyFont="1" applyNumberFormat="1">
      <alignment shrinkToFit="0" vertical="center" wrapText="1"/>
    </xf>
    <xf borderId="0" fillId="0" fontId="2" numFmtId="1" xfId="0" applyAlignment="1" applyFont="1" applyNumberFormat="1">
      <alignment horizontal="right" shrinkToFit="0" vertical="center" wrapText="1"/>
    </xf>
    <xf borderId="7" fillId="4" fontId="6" numFmtId="0" xfId="0" applyAlignment="1" applyBorder="1" applyFill="1" applyFont="1">
      <alignment horizontal="center" readingOrder="0" shrinkToFit="0" vertical="center" wrapText="1"/>
    </xf>
    <xf borderId="15" fillId="8" fontId="6" numFmtId="1" xfId="0" applyBorder="1" applyFill="1" applyFont="1" applyNumberFormat="1"/>
    <xf borderId="0" fillId="0" fontId="2" numFmtId="165" xfId="0" applyAlignment="1" applyFont="1" applyNumberFormat="1">
      <alignment readingOrder="0" shrinkToFit="0" vertical="center" wrapText="1"/>
    </xf>
    <xf borderId="0" fillId="0" fontId="6" numFmtId="1" xfId="0" applyAlignment="1" applyFont="1" applyNumberFormat="1">
      <alignment horizontal="right" readingOrder="0" shrinkToFit="0" vertical="center" wrapText="1"/>
    </xf>
    <xf borderId="7" fillId="5" fontId="8" numFmtId="164" xfId="0" applyAlignment="1" applyBorder="1" applyFill="1" applyFont="1" applyNumberFormat="1">
      <alignment readingOrder="0" shrinkToFit="0" vertical="center" wrapText="1"/>
    </xf>
    <xf borderId="0" fillId="0" fontId="9" numFmtId="164" xfId="0" applyFont="1" applyNumberFormat="1"/>
    <xf borderId="0" fillId="0" fontId="12" numFmtId="165" xfId="0" applyFont="1" applyNumberFormat="1"/>
    <xf borderId="0" fillId="0" fontId="2" numFmtId="0" xfId="0" applyAlignment="1" applyFont="1">
      <alignment horizontal="right" readingOrder="0" shrinkToFit="0" vertical="center" wrapText="1"/>
    </xf>
    <xf borderId="7" fillId="4" fontId="6" numFmtId="1" xfId="0" applyAlignment="1" applyBorder="1" applyFill="1" applyFont="1" applyNumberFormat="1">
      <alignment horizontal="center" vertical="center"/>
    </xf>
    <xf borderId="16" fillId="4" fontId="6" numFmtId="1" xfId="0" applyAlignment="1" applyBorder="1" applyFill="1" applyFont="1" applyNumberForma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9" fillId="0" fontId="2" numFmtId="164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17" fillId="0" fontId="12" numFmtId="0" xfId="0" applyBorder="1" applyFont="1"/>
    <xf borderId="15" fillId="8" fontId="6" numFmtId="0" xfId="0" applyAlignment="1" applyBorder="1" applyFill="1" applyFont="1">
      <alignment horizontal="center"/>
    </xf>
    <xf borderId="15" fillId="8" fontId="12" numFmtId="1" xfId="0" applyBorder="1" applyFill="1" applyFont="1" applyNumberFormat="1"/>
    <xf borderId="18" fillId="8" fontId="6" numFmtId="1" xfId="0" applyAlignment="1" applyBorder="1" applyFill="1" applyFont="1" applyNumberFormat="1">
      <alignment horizontal="right" readingOrder="0"/>
    </xf>
    <xf borderId="19" fillId="8" fontId="6" numFmtId="1" xfId="0" applyAlignment="1" applyBorder="1" applyFill="1" applyFont="1" applyNumberFormat="1">
      <alignment horizontal="right" readingOrder="0"/>
    </xf>
    <xf borderId="0" fillId="0" fontId="12" numFmtId="0" xfId="0" applyAlignment="1" applyFont="1">
      <alignment horizontal="center" readingOrder="0"/>
    </xf>
    <xf borderId="20" fillId="0" fontId="13" numFmtId="164" xfId="0" applyAlignment="1" applyBorder="1" applyFont="1" applyNumberFormat="1">
      <alignment horizontal="right" readingOrder="0"/>
    </xf>
    <xf borderId="9" fillId="0" fontId="12" numFmtId="164" xfId="0" applyAlignment="1" applyBorder="1" applyFont="1" applyNumberFormat="1">
      <alignment horizontal="right"/>
    </xf>
    <xf borderId="0" fillId="0" fontId="6" numFmtId="1" xfId="0" applyAlignment="1" applyFont="1" applyNumberFormat="1">
      <alignment horizontal="right" shrinkToFit="0" wrapText="1"/>
    </xf>
    <xf borderId="21" fillId="5" fontId="13" numFmtId="164" xfId="0" applyAlignment="1" applyBorder="1" applyFill="1" applyFont="1" applyNumberFormat="1">
      <alignment horizontal="right" readingOrder="0"/>
    </xf>
    <xf borderId="7" fillId="5" fontId="13" numFmtId="164" xfId="0" applyAlignment="1" applyBorder="1" applyFill="1" applyFont="1" applyNumberFormat="1">
      <alignment horizontal="right"/>
    </xf>
    <xf borderId="1" fillId="0" fontId="8" numFmtId="164" xfId="0" applyAlignment="1" applyBorder="1" applyFont="1" applyNumberFormat="1">
      <alignment readingOrder="0" vertical="center"/>
    </xf>
    <xf borderId="22" fillId="0" fontId="2" numFmtId="164" xfId="0" applyAlignment="1" applyBorder="1" applyFont="1" applyNumberFormat="1">
      <alignment vertical="center"/>
    </xf>
    <xf borderId="8" fillId="0" fontId="2" numFmtId="164" xfId="0" applyAlignment="1" applyBorder="1" applyFont="1" applyNumberFormat="1">
      <alignment vertical="center"/>
    </xf>
    <xf borderId="1" fillId="0" fontId="12" numFmtId="164" xfId="0" applyBorder="1" applyFont="1" applyNumberFormat="1"/>
    <xf borderId="22" fillId="0" fontId="12" numFmtId="164" xfId="0" applyAlignment="1" applyBorder="1" applyFont="1" applyNumberFormat="1">
      <alignment horizontal="right"/>
    </xf>
    <xf borderId="0" fillId="2" fontId="12" numFmtId="10" xfId="0" applyAlignment="1" applyFill="1" applyFont="1" applyNumberFormat="1">
      <alignment vertical="bottom"/>
    </xf>
    <xf borderId="7" fillId="4" fontId="6" numFmtId="1" xfId="0" applyAlignment="1" applyBorder="1" applyFill="1" applyFont="1" applyNumberFormat="1">
      <alignment horizontal="left" vertical="center"/>
    </xf>
    <xf borderId="0" fillId="0" fontId="1" numFmtId="0" xfId="0" applyAlignment="1" applyFont="1">
      <alignment horizontal="center" readingOrder="0" vertical="center"/>
    </xf>
    <xf borderId="0" fillId="0" fontId="6" numFmtId="0" xfId="0" applyAlignment="1" applyFont="1">
      <alignment horizontal="right" shrinkToFit="0" vertical="center" wrapText="1"/>
    </xf>
    <xf borderId="7" fillId="8" fontId="6" numFmtId="0" xfId="0" applyAlignment="1" applyBorder="1" applyFill="1" applyFont="1">
      <alignment horizontal="center"/>
    </xf>
    <xf borderId="7" fillId="8" fontId="12" numFmtId="1" xfId="0" applyBorder="1" applyFill="1" applyFont="1" applyNumberFormat="1"/>
    <xf borderId="7" fillId="8" fontId="6" numFmtId="1" xfId="0" applyBorder="1" applyFill="1" applyFont="1" applyNumberFormat="1"/>
    <xf borderId="7" fillId="8" fontId="6" numFmtId="1" xfId="0" applyAlignment="1" applyBorder="1" applyFill="1" applyFont="1" applyNumberFormat="1">
      <alignment horizontal="right" readingOrder="0"/>
    </xf>
    <xf borderId="16" fillId="8" fontId="6" numFmtId="1" xfId="0" applyAlignment="1" applyBorder="1" applyFill="1" applyFont="1" applyNumberFormat="1">
      <alignment horizontal="right" readingOrder="0"/>
    </xf>
    <xf borderId="0" fillId="0" fontId="12" numFmtId="2" xfId="0" applyAlignment="1" applyFont="1" applyNumberFormat="1">
      <alignment vertical="bottom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right" readingOrder="0" shrinkToFit="0" wrapText="1"/>
    </xf>
    <xf borderId="0" fillId="0" fontId="1" numFmtId="0" xfId="0" applyAlignment="1" applyFont="1">
      <alignment horizontal="center"/>
    </xf>
    <xf borderId="0" fillId="0" fontId="6" numFmtId="0" xfId="0" applyAlignment="1" applyFont="1">
      <alignment horizontal="right" shrinkToFit="0" wrapText="1"/>
    </xf>
    <xf borderId="15" fillId="8" fontId="6" numFmtId="0" xfId="0" applyAlignment="1" applyBorder="1" applyFill="1" applyFont="1">
      <alignment horizontal="center" readingOrder="0"/>
    </xf>
    <xf borderId="15" fillId="8" fontId="12" numFmtId="1" xfId="0" applyAlignment="1" applyBorder="1" applyFill="1" applyFont="1" applyNumberFormat="1">
      <alignment readingOrder="0"/>
    </xf>
    <xf borderId="15" fillId="8" fontId="6" numFmtId="1" xfId="0" applyAlignment="1" applyBorder="1" applyFill="1" applyFont="1" applyNumberFormat="1">
      <alignment readingOrder="0"/>
    </xf>
    <xf borderId="7" fillId="4" fontId="6" numFmtId="1" xfId="0" applyAlignment="1" applyBorder="1" applyFill="1" applyFont="1" applyNumberFormat="1">
      <alignment horizontal="left" readingOrder="0" vertical="center"/>
    </xf>
    <xf borderId="0" fillId="0" fontId="6" numFmtId="0" xfId="0" applyAlignment="1" applyFont="1">
      <alignment horizontal="right" readingOrder="0" shrinkToFit="0" vertical="center" wrapText="1"/>
    </xf>
    <xf borderId="17" fillId="0" fontId="12" numFmtId="0" xfId="0" applyAlignment="1" applyBorder="1" applyFont="1">
      <alignment vertical="bottom"/>
    </xf>
    <xf borderId="15" fillId="8" fontId="6" numFmtId="0" xfId="0" applyAlignment="1" applyBorder="1" applyFill="1" applyFont="1">
      <alignment horizontal="center" readingOrder="0" vertical="bottom"/>
    </xf>
    <xf borderId="15" fillId="8" fontId="12" numFmtId="1" xfId="0" applyAlignment="1" applyBorder="1" applyFill="1" applyFont="1" applyNumberFormat="1">
      <alignment vertical="bottom"/>
    </xf>
    <xf borderId="15" fillId="8" fontId="6" numFmtId="1" xfId="0" applyAlignment="1" applyBorder="1" applyFill="1" applyFont="1" applyNumberFormat="1">
      <alignment readingOrder="0" vertical="bottom"/>
    </xf>
    <xf borderId="18" fillId="8" fontId="6" numFmtId="1" xfId="0" applyAlignment="1" applyBorder="1" applyFill="1" applyFont="1" applyNumberFormat="1">
      <alignment horizontal="right" vertical="bottom"/>
    </xf>
    <xf borderId="19" fillId="8" fontId="6" numFmtId="1" xfId="0" applyAlignment="1" applyBorder="1" applyFill="1" applyFont="1" applyNumberFormat="1">
      <alignment horizontal="right" vertical="bottom"/>
    </xf>
    <xf borderId="0" fillId="0" fontId="1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0" fillId="0" fontId="6" numFmtId="0" xfId="0" applyAlignment="1" applyFont="1">
      <alignment horizontal="right" readingOrder="0" shrinkToFit="0" vertical="bottom" wrapText="1"/>
    </xf>
    <xf borderId="21" fillId="5" fontId="12" numFmtId="164" xfId="0" applyAlignment="1" applyBorder="1" applyFill="1" applyFont="1" applyNumberFormat="1">
      <alignment vertical="bottom"/>
    </xf>
    <xf borderId="7" fillId="5" fontId="13" numFmtId="164" xfId="0" applyAlignment="1" applyBorder="1" applyFill="1" applyFont="1" applyNumberFormat="1">
      <alignment horizontal="right" vertical="bottom"/>
    </xf>
    <xf borderId="0" fillId="0" fontId="12" numFmtId="164" xfId="0" applyAlignment="1" applyFont="1" applyNumberFormat="1">
      <alignment vertical="bottom"/>
    </xf>
    <xf borderId="1" fillId="0" fontId="12" numFmtId="164" xfId="0" applyAlignment="1" applyBorder="1" applyFont="1" applyNumberFormat="1">
      <alignment vertical="bottom"/>
    </xf>
    <xf borderId="22" fillId="0" fontId="12" numFmtId="164" xfId="0" applyAlignment="1" applyBorder="1" applyFont="1" applyNumberFormat="1">
      <alignment horizontal="right" vertical="bottom"/>
    </xf>
    <xf borderId="0" fillId="0" fontId="13" numFmtId="164" xfId="0" applyAlignment="1" applyFont="1" applyNumberFormat="1">
      <alignment horizontal="right"/>
    </xf>
    <xf borderId="20" fillId="0" fontId="8" numFmtId="164" xfId="0" applyAlignment="1" applyBorder="1" applyFont="1" applyNumberFormat="1">
      <alignment readingOrder="0" vertical="center"/>
    </xf>
    <xf borderId="15" fillId="8" fontId="6" numFmtId="0" xfId="0" applyAlignment="1" applyBorder="1" applyFill="1" applyFont="1">
      <alignment horizontal="center" vertical="bottom"/>
    </xf>
    <xf borderId="15" fillId="8" fontId="6" numFmtId="1" xfId="0" applyAlignment="1" applyBorder="1" applyFill="1" applyFont="1" applyNumberFormat="1">
      <alignment vertical="bottom"/>
    </xf>
    <xf borderId="18" fillId="8" fontId="6" numFmtId="1" xfId="0" applyAlignment="1" applyBorder="1" applyFill="1" applyFont="1" applyNumberFormat="1">
      <alignment horizontal="right" readingOrder="0" vertical="bottom"/>
    </xf>
    <xf borderId="19" fillId="8" fontId="6" numFmtId="1" xfId="0" applyAlignment="1" applyBorder="1" applyFill="1" applyFont="1" applyNumberFormat="1">
      <alignment horizontal="right" readingOrder="0" vertical="bottom"/>
    </xf>
    <xf borderId="0" fillId="0" fontId="1" numFmtId="0" xfId="0" applyAlignment="1" applyFont="1">
      <alignment horizontal="center" vertical="bottom"/>
    </xf>
    <xf borderId="0" fillId="0" fontId="6" numFmtId="0" xfId="0" applyAlignment="1" applyFont="1">
      <alignment horizontal="right" shrinkToFit="0" vertical="bottom" wrapText="1"/>
    </xf>
    <xf borderId="21" fillId="5" fontId="13" numFmtId="164" xfId="0" applyAlignment="1" applyBorder="1" applyFill="1" applyFont="1" applyNumberFormat="1">
      <alignment horizontal="right" readingOrder="0" vertical="bottom"/>
    </xf>
    <xf borderId="22" fillId="0" fontId="12" numFmtId="0" xfId="0" applyAlignment="1" applyBorder="1" applyFont="1">
      <alignment vertical="bottom"/>
    </xf>
    <xf borderId="22" fillId="0" fontId="1" numFmtId="0" xfId="0" applyAlignment="1" applyBorder="1" applyFont="1">
      <alignment horizontal="center" vertical="bottom"/>
    </xf>
    <xf borderId="0" fillId="0" fontId="13" numFmtId="164" xfId="0" applyAlignment="1" applyFont="1" applyNumberFormat="1">
      <alignment horizontal="right" readingOrder="0" vertical="bottom"/>
    </xf>
    <xf borderId="0" fillId="0" fontId="12" numFmtId="164" xfId="0" applyAlignment="1" applyFont="1" applyNumberFormat="1">
      <alignment horizontal="right" vertical="bottom"/>
    </xf>
    <xf borderId="8" fillId="0" fontId="13" numFmtId="164" xfId="0" applyAlignment="1" applyBorder="1" applyFont="1" applyNumberFormat="1">
      <alignment horizontal="right" readingOrder="0" vertical="bottom"/>
    </xf>
    <xf borderId="8" fillId="0" fontId="12" numFmtId="164" xfId="0" applyAlignment="1" applyBorder="1" applyFont="1" applyNumberFormat="1">
      <alignment horizontal="right" vertical="bottom"/>
    </xf>
    <xf borderId="0" fillId="0" fontId="13" numFmtId="164" xfId="0" applyAlignment="1" applyFont="1" applyNumberFormat="1">
      <alignment horizontal="right" readingOrder="0"/>
    </xf>
    <xf borderId="0" fillId="7" fontId="12" numFmtId="10" xfId="0" applyAlignment="1" applyFill="1" applyFont="1" applyNumberFormat="1">
      <alignment vertical="bottom"/>
    </xf>
    <xf borderId="0" fillId="0" fontId="1" numFmtId="1" xfId="0" applyAlignment="1" applyFont="1" applyNumberFormat="1">
      <alignment horizontal="center" vertical="bottom"/>
    </xf>
    <xf borderId="0" fillId="0" fontId="1" numFmtId="1" xfId="0" applyAlignment="1" applyFont="1" applyNumberFormat="1">
      <alignment vertical="bottom"/>
    </xf>
    <xf borderId="8" fillId="0" fontId="12" numFmtId="164" xfId="0" applyAlignment="1" applyBorder="1" applyFont="1" applyNumberFormat="1">
      <alignment vertical="bottom"/>
    </xf>
    <xf borderId="7" fillId="4" fontId="6" numFmtId="1" xfId="0" applyAlignment="1" applyBorder="1" applyFill="1" applyFont="1" applyNumberFormat="1">
      <alignment horizontal="left" shrinkToFit="0" vertical="center" wrapText="1"/>
    </xf>
    <xf borderId="1" fillId="3" fontId="4" numFmtId="0" xfId="0" applyAlignment="1" applyBorder="1" applyFill="1" applyFont="1">
      <alignment horizontal="center"/>
    </xf>
    <xf borderId="4" fillId="3" fontId="7" numFmtId="164" xfId="0" applyAlignment="1" applyBorder="1" applyFill="1" applyFont="1" applyNumberFormat="1">
      <alignment horizontal="center"/>
    </xf>
    <xf borderId="4" fillId="3" fontId="4" numFmtId="1" xfId="0" applyAlignment="1" applyBorder="1" applyFill="1" applyFont="1" applyNumberFormat="1">
      <alignment horizontal="center"/>
    </xf>
    <xf borderId="4" fillId="3" fontId="4" numFmtId="0" xfId="0" applyAlignment="1" applyBorder="1" applyFill="1" applyFont="1">
      <alignment horizontal="right"/>
    </xf>
    <xf borderId="13" fillId="3" fontId="7" numFmtId="1" xfId="0" applyBorder="1" applyFill="1" applyFont="1" applyNumberFormat="1"/>
    <xf borderId="13" fillId="3" fontId="7" numFmtId="1" xfId="0" applyAlignment="1" applyBorder="1" applyFill="1" applyFont="1" applyNumberFormat="1">
      <alignment readingOrder="0"/>
    </xf>
    <xf borderId="14" fillId="4" fontId="6" numFmtId="0" xfId="0" applyAlignment="1" applyBorder="1" applyFill="1" applyFont="1">
      <alignment horizontal="center"/>
    </xf>
    <xf borderId="14" fillId="4" fontId="6" numFmtId="1" xfId="0" applyAlignment="1" applyBorder="1" applyFill="1" applyFont="1" applyNumberFormat="1">
      <alignment horizontal="right"/>
    </xf>
    <xf borderId="14" fillId="4" fontId="6" numFmtId="1" xfId="0" applyBorder="1" applyFill="1" applyFont="1" applyNumberFormat="1"/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  <xf borderId="0" fillId="0" fontId="6" numFmtId="1" xfId="0" applyAlignment="1" applyFont="1" applyNumberFormat="1">
      <alignment horizontal="right"/>
    </xf>
    <xf borderId="7" fillId="4" fontId="6" numFmtId="49" xfId="0" applyAlignment="1" applyBorder="1" applyFill="1" applyFont="1" applyNumberFormat="1">
      <alignment horizontal="center"/>
    </xf>
    <xf borderId="7" fillId="4" fontId="6" numFmtId="1" xfId="0" applyAlignment="1" applyBorder="1" applyFill="1" applyFont="1" applyNumberFormat="1">
      <alignment horizontal="right"/>
    </xf>
    <xf borderId="7" fillId="4" fontId="6" numFmtId="1" xfId="0" applyBorder="1" applyFill="1" applyFont="1" applyNumberFormat="1"/>
    <xf borderId="0" fillId="0" fontId="6" numFmtId="49" xfId="0" applyAlignment="1" applyFont="1" applyNumberFormat="1">
      <alignment horizontal="right"/>
    </xf>
    <xf borderId="0" fillId="0" fontId="16" numFmtId="0" xfId="0" applyAlignment="1" applyFont="1">
      <alignment horizontal="right" vertical="center"/>
    </xf>
    <xf borderId="4" fillId="0" fontId="7" numFmtId="164" xfId="0" applyAlignment="1" applyBorder="1" applyFont="1" applyNumberFormat="1">
      <alignment vertical="center"/>
    </xf>
    <xf borderId="0" fillId="0" fontId="7" numFmtId="164" xfId="0" applyAlignment="1" applyFont="1" applyNumberFormat="1">
      <alignment vertical="center"/>
    </xf>
    <xf borderId="0" fillId="0" fontId="15" numFmtId="0" xfId="0" applyAlignment="1" applyFont="1">
      <alignment readingOrder="0"/>
    </xf>
    <xf borderId="7" fillId="0" fontId="15" numFmtId="0" xfId="0" applyAlignment="1" applyBorder="1" applyFont="1">
      <alignment horizontal="center" readingOrder="0"/>
    </xf>
    <xf borderId="7" fillId="0" fontId="15" numFmtId="0" xfId="0" applyAlignment="1" applyBorder="1" applyFont="1">
      <alignment horizontal="center"/>
    </xf>
    <xf borderId="7" fillId="0" fontId="15" numFmtId="0" xfId="0" applyAlignment="1" applyBorder="1" applyFont="1">
      <alignment readingOrder="0"/>
    </xf>
    <xf borderId="7" fillId="0" fontId="9" numFmtId="0" xfId="0" applyAlignment="1" applyBorder="1" applyFont="1">
      <alignment readingOrder="0"/>
    </xf>
    <xf borderId="0" fillId="0" fontId="13" numFmtId="2" xfId="0" applyAlignment="1" applyFont="1" applyNumberFormat="1">
      <alignment horizontal="center" vertical="bottom"/>
    </xf>
    <xf borderId="7" fillId="0" fontId="9" numFmtId="165" xfId="0" applyBorder="1" applyFont="1" applyNumberFormat="1"/>
    <xf borderId="7" fillId="0" fontId="9" numFmtId="165" xfId="0" applyAlignment="1" applyBorder="1" applyFont="1" applyNumberFormat="1">
      <alignment readingOrder="0"/>
    </xf>
    <xf borderId="7" fillId="0" fontId="15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uillermo López" id="{19fcbebb-3693-460d-9cce-77ee7c9f9ac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05-06T14:24:19.00" personId="{19fcbebb-3693-460d-9cce-77ee7c9f9ac5}" id="{0b3da4c1-3ca6-469a-91d4-6be91da0af7d}" done="0">
    <x18tc:text xml:space="preserve">Piscina cubierta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1.75"/>
    <col customWidth="1" min="3" max="3" width="11.38"/>
    <col customWidth="1" min="4" max="4" width="66.0"/>
    <col customWidth="1" min="5" max="6" width="20.88"/>
    <col customWidth="1" min="7" max="7" width="10.63"/>
    <col customWidth="1" min="8" max="11" width="13.38"/>
  </cols>
  <sheetData>
    <row r="1" ht="14.25" customHeight="1">
      <c r="A1" s="1"/>
      <c r="B1" s="2"/>
      <c r="C1" s="3"/>
      <c r="D1" s="4"/>
      <c r="E1" s="5"/>
      <c r="F1" s="5"/>
      <c r="G1" s="6" t="str">
        <f t="shared" ref="G1:G29" si="1">IFERROR(((F1-E1)/E1), "")</f>
        <v/>
      </c>
    </row>
    <row r="2" ht="14.25" customHeight="1">
      <c r="A2" s="1"/>
      <c r="B2" s="7"/>
      <c r="C2" s="3"/>
      <c r="D2" s="4"/>
      <c r="E2" s="5"/>
      <c r="F2" s="5"/>
      <c r="G2" s="6" t="str">
        <f t="shared" si="1"/>
        <v/>
      </c>
    </row>
    <row r="3" ht="14.25" customHeight="1">
      <c r="A3" s="1"/>
      <c r="B3" s="8" t="s">
        <v>0</v>
      </c>
      <c r="C3" s="9"/>
      <c r="D3" s="10" t="s">
        <v>1</v>
      </c>
      <c r="E3" s="11"/>
      <c r="F3" s="11"/>
      <c r="G3" s="6" t="str">
        <f t="shared" si="1"/>
        <v/>
      </c>
    </row>
    <row r="4" ht="14.25" customHeight="1">
      <c r="A4" s="1"/>
      <c r="B4" s="12" t="s">
        <v>2</v>
      </c>
      <c r="C4" s="13" t="s">
        <v>3</v>
      </c>
      <c r="D4" s="14"/>
      <c r="E4" s="15"/>
      <c r="F4" s="15"/>
      <c r="G4" s="6" t="str">
        <f t="shared" si="1"/>
        <v/>
      </c>
    </row>
    <row r="5" ht="14.25" customHeight="1">
      <c r="A5" s="1"/>
      <c r="B5" s="16">
        <v>1300.0</v>
      </c>
      <c r="C5" s="17"/>
      <c r="D5" s="18" t="s">
        <v>4</v>
      </c>
      <c r="E5" s="18">
        <v>2024.0</v>
      </c>
      <c r="F5" s="19">
        <v>2025.0</v>
      </c>
      <c r="G5" s="6">
        <f t="shared" si="1"/>
        <v>0.0004940711462</v>
      </c>
    </row>
    <row r="6" ht="14.25" customHeight="1">
      <c r="A6" s="1"/>
      <c r="B6" s="2"/>
      <c r="C6" s="3" t="s">
        <v>5</v>
      </c>
      <c r="D6" s="4" t="s">
        <v>6</v>
      </c>
      <c r="E6" s="5">
        <v>28700.0</v>
      </c>
      <c r="F6" s="20">
        <v>29000.0</v>
      </c>
      <c r="G6" s="6">
        <f t="shared" si="1"/>
        <v>0.01045296167</v>
      </c>
    </row>
    <row r="7" ht="14.25" customHeight="1">
      <c r="A7" s="1"/>
      <c r="B7" s="2"/>
      <c r="C7" s="3" t="s">
        <v>7</v>
      </c>
      <c r="D7" s="4" t="s">
        <v>8</v>
      </c>
      <c r="E7" s="5">
        <v>25000.0</v>
      </c>
      <c r="F7" s="5">
        <v>25000.0</v>
      </c>
      <c r="G7" s="6">
        <f t="shared" si="1"/>
        <v>0</v>
      </c>
    </row>
    <row r="8" ht="14.25" customHeight="1">
      <c r="A8" s="1"/>
      <c r="B8" s="2"/>
      <c r="C8" s="3" t="s">
        <v>9</v>
      </c>
      <c r="D8" s="4" t="s">
        <v>10</v>
      </c>
      <c r="E8" s="5">
        <v>6600.0</v>
      </c>
      <c r="F8" s="20">
        <v>6775.0</v>
      </c>
      <c r="G8" s="6">
        <f t="shared" si="1"/>
        <v>0.02651515152</v>
      </c>
    </row>
    <row r="9" ht="14.25" customHeight="1">
      <c r="A9" s="1"/>
      <c r="B9" s="2"/>
      <c r="C9" s="3" t="s">
        <v>11</v>
      </c>
      <c r="D9" s="4" t="s">
        <v>12</v>
      </c>
      <c r="E9" s="5">
        <v>21150.0</v>
      </c>
      <c r="F9" s="5">
        <v>21150.0</v>
      </c>
      <c r="G9" s="6">
        <f t="shared" si="1"/>
        <v>0</v>
      </c>
    </row>
    <row r="10" ht="14.25" customHeight="1">
      <c r="A10" s="1"/>
      <c r="B10" s="2"/>
      <c r="C10" s="3" t="s">
        <v>13</v>
      </c>
      <c r="D10" s="21" t="s">
        <v>14</v>
      </c>
      <c r="E10" s="5">
        <v>28150.0</v>
      </c>
      <c r="F10" s="5">
        <v>28150.0</v>
      </c>
      <c r="G10" s="6">
        <f t="shared" si="1"/>
        <v>0</v>
      </c>
    </row>
    <row r="11" ht="14.25" customHeight="1">
      <c r="A11" s="1"/>
      <c r="B11" s="2"/>
      <c r="C11" s="3">
        <v>150.0</v>
      </c>
      <c r="D11" s="4" t="s">
        <v>15</v>
      </c>
      <c r="E11" s="5">
        <v>2800.0</v>
      </c>
      <c r="F11" s="5">
        <v>2800.0</v>
      </c>
      <c r="G11" s="6">
        <f t="shared" si="1"/>
        <v>0</v>
      </c>
    </row>
    <row r="12" ht="14.25" customHeight="1">
      <c r="A12" s="1"/>
      <c r="B12" s="2"/>
      <c r="C12" s="3" t="s">
        <v>16</v>
      </c>
      <c r="D12" s="4" t="s">
        <v>17</v>
      </c>
      <c r="E12" s="5">
        <v>33500.0</v>
      </c>
      <c r="F12" s="5">
        <v>33500.0</v>
      </c>
      <c r="G12" s="6">
        <f t="shared" si="1"/>
        <v>0</v>
      </c>
    </row>
    <row r="13" ht="14.25" customHeight="1">
      <c r="A13" s="1"/>
      <c r="B13" s="2"/>
      <c r="C13" s="3" t="s">
        <v>18</v>
      </c>
      <c r="D13" s="4" t="s">
        <v>19</v>
      </c>
      <c r="E13" s="5">
        <v>18500.0</v>
      </c>
      <c r="F13" s="5">
        <v>18500.0</v>
      </c>
      <c r="G13" s="6">
        <f t="shared" si="1"/>
        <v>0</v>
      </c>
    </row>
    <row r="14" ht="14.25" customHeight="1">
      <c r="A14" s="1"/>
      <c r="B14" s="2"/>
      <c r="C14" s="3" t="s">
        <v>20</v>
      </c>
      <c r="D14" s="4" t="s">
        <v>21</v>
      </c>
      <c r="E14" s="5">
        <v>5500.0</v>
      </c>
      <c r="F14" s="5">
        <v>5500.0</v>
      </c>
      <c r="G14" s="6">
        <f t="shared" si="1"/>
        <v>0</v>
      </c>
    </row>
    <row r="15" ht="14.25" customHeight="1">
      <c r="A15" s="1"/>
      <c r="B15" s="2"/>
      <c r="C15" s="3" t="s">
        <v>22</v>
      </c>
      <c r="D15" s="4" t="s">
        <v>17</v>
      </c>
      <c r="E15" s="5">
        <v>6800.0</v>
      </c>
      <c r="F15" s="5">
        <v>6800.0</v>
      </c>
      <c r="G15" s="6">
        <f t="shared" si="1"/>
        <v>0</v>
      </c>
    </row>
    <row r="16" ht="14.25" customHeight="1">
      <c r="A16" s="1"/>
      <c r="B16" s="22">
        <v>1300.0</v>
      </c>
      <c r="E16" s="23">
        <v>176700.0</v>
      </c>
      <c r="F16" s="23">
        <f>SUM(F6:F15)</f>
        <v>177175</v>
      </c>
      <c r="G16" s="6">
        <f t="shared" si="1"/>
        <v>0.002688172043</v>
      </c>
    </row>
    <row r="17" ht="14.25" customHeight="1">
      <c r="A17" s="1"/>
      <c r="B17" s="2"/>
      <c r="C17" s="3"/>
      <c r="D17" s="4"/>
      <c r="E17" s="5"/>
      <c r="F17" s="5"/>
      <c r="G17" s="6" t="str">
        <f t="shared" si="1"/>
        <v/>
      </c>
    </row>
    <row r="18" ht="14.25" customHeight="1">
      <c r="A18" s="24"/>
      <c r="B18" s="25">
        <v>1320.0</v>
      </c>
      <c r="C18" s="26"/>
      <c r="D18" s="27" t="s">
        <v>23</v>
      </c>
      <c r="E18" s="27">
        <v>2024.0</v>
      </c>
      <c r="F18" s="28">
        <v>2025.0</v>
      </c>
      <c r="G18" s="6">
        <f t="shared" si="1"/>
        <v>0.0004940711462</v>
      </c>
      <c r="H18" s="29"/>
      <c r="I18" s="29"/>
      <c r="J18" s="29"/>
      <c r="K18" s="29"/>
    </row>
    <row r="19" ht="14.25" customHeight="1">
      <c r="A19" s="1"/>
      <c r="B19" s="7"/>
      <c r="C19" s="3" t="s">
        <v>24</v>
      </c>
      <c r="D19" s="4" t="s">
        <v>25</v>
      </c>
      <c r="E19" s="5">
        <v>20100.0</v>
      </c>
      <c r="F19" s="5">
        <v>20100.0</v>
      </c>
      <c r="G19" s="6">
        <f t="shared" si="1"/>
        <v>0</v>
      </c>
    </row>
    <row r="20" ht="14.25" customHeight="1">
      <c r="A20" s="1"/>
      <c r="B20" s="7"/>
      <c r="C20" s="3" t="s">
        <v>5</v>
      </c>
      <c r="D20" s="4" t="s">
        <v>6</v>
      </c>
      <c r="E20" s="5">
        <v>701000.0</v>
      </c>
      <c r="F20" s="5">
        <v>701000.0</v>
      </c>
      <c r="G20" s="6">
        <f t="shared" si="1"/>
        <v>0</v>
      </c>
    </row>
    <row r="21" ht="14.25" customHeight="1">
      <c r="A21" s="1"/>
      <c r="B21" s="7"/>
      <c r="C21" s="3" t="s">
        <v>9</v>
      </c>
      <c r="D21" s="4" t="s">
        <v>10</v>
      </c>
      <c r="E21" s="5">
        <v>46500.0</v>
      </c>
      <c r="F21" s="20">
        <v>55500.0</v>
      </c>
      <c r="G21" s="6">
        <f t="shared" si="1"/>
        <v>0.1935483871</v>
      </c>
    </row>
    <row r="22" ht="14.25" customHeight="1">
      <c r="A22" s="1"/>
      <c r="B22" s="7"/>
      <c r="C22" s="3" t="s">
        <v>11</v>
      </c>
      <c r="D22" s="4" t="s">
        <v>12</v>
      </c>
      <c r="E22" s="5">
        <v>232000.0</v>
      </c>
      <c r="F22" s="5">
        <v>232000.0</v>
      </c>
      <c r="G22" s="6">
        <f t="shared" si="1"/>
        <v>0</v>
      </c>
    </row>
    <row r="23" ht="14.25" customHeight="1">
      <c r="A23" s="1"/>
      <c r="B23" s="7"/>
      <c r="C23" s="3" t="s">
        <v>13</v>
      </c>
      <c r="D23" s="21" t="s">
        <v>14</v>
      </c>
      <c r="E23" s="5">
        <v>446000.0</v>
      </c>
      <c r="F23" s="5">
        <v>446000.0</v>
      </c>
      <c r="G23" s="6">
        <f t="shared" si="1"/>
        <v>0</v>
      </c>
    </row>
    <row r="24" ht="14.25" customHeight="1">
      <c r="A24" s="1"/>
      <c r="B24" s="7"/>
      <c r="C24" s="3">
        <v>150.0</v>
      </c>
      <c r="D24" s="4" t="s">
        <v>15</v>
      </c>
      <c r="E24" s="5">
        <v>132000.0</v>
      </c>
      <c r="F24" s="20">
        <v>132000.0</v>
      </c>
      <c r="G24" s="6">
        <f t="shared" si="1"/>
        <v>0</v>
      </c>
    </row>
    <row r="25" ht="14.25" customHeight="1">
      <c r="A25" s="1"/>
      <c r="B25" s="7"/>
      <c r="C25" s="3" t="s">
        <v>26</v>
      </c>
      <c r="D25" s="4" t="s">
        <v>27</v>
      </c>
      <c r="E25" s="5">
        <v>350000.0</v>
      </c>
      <c r="F25" s="20">
        <v>310000.0</v>
      </c>
      <c r="G25" s="6">
        <f t="shared" si="1"/>
        <v>-0.1142857143</v>
      </c>
    </row>
    <row r="26" ht="14.25" customHeight="1">
      <c r="A26" s="1"/>
      <c r="B26" s="7"/>
      <c r="C26" s="3" t="s">
        <v>16</v>
      </c>
      <c r="D26" s="4" t="s">
        <v>17</v>
      </c>
      <c r="E26" s="5">
        <v>598000.0</v>
      </c>
      <c r="F26" s="5">
        <v>598000.0</v>
      </c>
      <c r="G26" s="6">
        <f t="shared" si="1"/>
        <v>0</v>
      </c>
    </row>
    <row r="27" ht="14.25" customHeight="1">
      <c r="A27" s="1"/>
      <c r="B27" s="22">
        <v>1320.0</v>
      </c>
      <c r="E27" s="23">
        <v>2525600.0</v>
      </c>
      <c r="F27" s="23">
        <f>SUM(F19:F26)</f>
        <v>2494600</v>
      </c>
      <c r="G27" s="6">
        <f t="shared" si="1"/>
        <v>-0.01227431105</v>
      </c>
    </row>
    <row r="28" ht="14.25" customHeight="1">
      <c r="A28" s="1"/>
      <c r="B28" s="2"/>
      <c r="C28" s="30"/>
      <c r="D28" s="31"/>
      <c r="E28" s="32"/>
      <c r="F28" s="32"/>
      <c r="G28" s="6" t="str">
        <f t="shared" si="1"/>
        <v/>
      </c>
    </row>
    <row r="29" ht="14.25" customHeight="1">
      <c r="A29" s="1"/>
      <c r="B29" s="33">
        <v>1360.0</v>
      </c>
      <c r="C29" s="34"/>
      <c r="D29" s="35" t="s">
        <v>28</v>
      </c>
      <c r="E29" s="35">
        <v>2024.0</v>
      </c>
      <c r="F29" s="36">
        <v>2025.0</v>
      </c>
      <c r="G29" s="6">
        <f t="shared" si="1"/>
        <v>0.0004940711462</v>
      </c>
    </row>
    <row r="30" ht="14.25" customHeight="1">
      <c r="A30" s="1"/>
      <c r="B30" s="7"/>
      <c r="C30" s="37" t="s">
        <v>29</v>
      </c>
      <c r="D30" s="21" t="s">
        <v>30</v>
      </c>
      <c r="E30" s="20">
        <v>0.0</v>
      </c>
      <c r="F30" s="20">
        <v>21500.0</v>
      </c>
      <c r="G30" s="6"/>
    </row>
    <row r="31" ht="14.25" customHeight="1">
      <c r="A31" s="1"/>
      <c r="B31" s="7"/>
      <c r="C31" s="3" t="s">
        <v>24</v>
      </c>
      <c r="D31" s="4" t="s">
        <v>25</v>
      </c>
      <c r="E31" s="5">
        <v>19000.0</v>
      </c>
      <c r="F31" s="20">
        <v>0.0</v>
      </c>
      <c r="G31" s="6">
        <f>IFERROR(((F31-E31)/E31), "")</f>
        <v>-1</v>
      </c>
    </row>
    <row r="32" ht="14.25" customHeight="1">
      <c r="A32" s="1"/>
      <c r="B32" s="7"/>
      <c r="C32" s="37" t="s">
        <v>5</v>
      </c>
      <c r="D32" s="21" t="s">
        <v>6</v>
      </c>
      <c r="E32" s="20">
        <v>0.0</v>
      </c>
      <c r="F32" s="5">
        <v>341000.0</v>
      </c>
      <c r="G32" s="6"/>
      <c r="I32" s="38"/>
    </row>
    <row r="33" ht="14.25" customHeight="1">
      <c r="A33" s="1"/>
      <c r="B33" s="7"/>
      <c r="C33" s="3" t="s">
        <v>7</v>
      </c>
      <c r="D33" s="4" t="s">
        <v>8</v>
      </c>
      <c r="E33" s="5">
        <v>341000.0</v>
      </c>
      <c r="F33" s="39">
        <v>0.0</v>
      </c>
      <c r="G33" s="6">
        <f>IFERROR(((F32-E33)/E33), "")</f>
        <v>0</v>
      </c>
    </row>
    <row r="34" ht="14.25" customHeight="1">
      <c r="A34" s="1"/>
      <c r="B34" s="7"/>
      <c r="C34" s="3" t="s">
        <v>9</v>
      </c>
      <c r="D34" s="4" t="s">
        <v>10</v>
      </c>
      <c r="E34" s="5">
        <v>64000.0</v>
      </c>
      <c r="F34" s="20">
        <v>68000.0</v>
      </c>
      <c r="G34" s="6">
        <f t="shared" ref="G34:G358" si="2">IFERROR(((F34-E34)/E34), "")</f>
        <v>0.0625</v>
      </c>
    </row>
    <row r="35" ht="14.25" customHeight="1">
      <c r="A35" s="1"/>
      <c r="B35" s="7"/>
      <c r="C35" s="3" t="s">
        <v>11</v>
      </c>
      <c r="D35" s="4" t="s">
        <v>12</v>
      </c>
      <c r="E35" s="5">
        <v>155000.0</v>
      </c>
      <c r="F35" s="5">
        <v>155000.0</v>
      </c>
      <c r="G35" s="6">
        <f t="shared" si="2"/>
        <v>0</v>
      </c>
    </row>
    <row r="36" ht="14.25" customHeight="1">
      <c r="A36" s="1"/>
      <c r="B36" s="7"/>
      <c r="C36" s="3" t="s">
        <v>13</v>
      </c>
      <c r="D36" s="21" t="s">
        <v>14</v>
      </c>
      <c r="E36" s="5">
        <v>256000.0</v>
      </c>
      <c r="F36" s="5">
        <v>256000.0</v>
      </c>
      <c r="G36" s="6">
        <f t="shared" si="2"/>
        <v>0</v>
      </c>
    </row>
    <row r="37" ht="14.25" customHeight="1">
      <c r="A37" s="1"/>
      <c r="B37" s="7"/>
      <c r="C37" s="3">
        <v>150.0</v>
      </c>
      <c r="D37" s="4" t="s">
        <v>15</v>
      </c>
      <c r="E37" s="5">
        <v>186000.0</v>
      </c>
      <c r="F37" s="20">
        <v>400000.0</v>
      </c>
      <c r="G37" s="6">
        <f t="shared" si="2"/>
        <v>1.150537634</v>
      </c>
    </row>
    <row r="38" ht="14.25" customHeight="1">
      <c r="A38" s="1"/>
      <c r="B38" s="7"/>
      <c r="C38" s="3" t="s">
        <v>26</v>
      </c>
      <c r="D38" s="4" t="s">
        <v>27</v>
      </c>
      <c r="E38" s="5">
        <v>400000.0</v>
      </c>
      <c r="F38" s="20">
        <v>300000.0</v>
      </c>
      <c r="G38" s="6">
        <f t="shared" si="2"/>
        <v>-0.25</v>
      </c>
    </row>
    <row r="39" ht="14.25" customHeight="1">
      <c r="A39" s="1"/>
      <c r="B39" s="7"/>
      <c r="C39" s="3" t="s">
        <v>16</v>
      </c>
      <c r="D39" s="4" t="s">
        <v>17</v>
      </c>
      <c r="E39" s="5">
        <v>381500.0</v>
      </c>
      <c r="F39" s="20">
        <v>386000.0</v>
      </c>
      <c r="G39" s="6">
        <f t="shared" si="2"/>
        <v>0.01179554391</v>
      </c>
    </row>
    <row r="40" ht="14.25" customHeight="1">
      <c r="A40" s="1"/>
      <c r="B40" s="22">
        <v>1360.0</v>
      </c>
      <c r="E40" s="23">
        <v>1802500.0</v>
      </c>
      <c r="F40" s="23">
        <f>SUM(F30:F39)</f>
        <v>1927500</v>
      </c>
      <c r="G40" s="6">
        <f t="shared" si="2"/>
        <v>0.0693481276</v>
      </c>
    </row>
    <row r="41" ht="14.25" customHeight="1">
      <c r="A41" s="1"/>
      <c r="B41" s="2"/>
      <c r="C41" s="3"/>
      <c r="D41" s="4"/>
      <c r="E41" s="5"/>
      <c r="F41" s="5"/>
      <c r="G41" s="6" t="str">
        <f t="shared" si="2"/>
        <v/>
      </c>
    </row>
    <row r="42" ht="14.25" customHeight="1">
      <c r="A42" s="1"/>
      <c r="B42" s="33">
        <v>1500.0</v>
      </c>
      <c r="C42" s="34"/>
      <c r="D42" s="35" t="s">
        <v>31</v>
      </c>
      <c r="E42" s="35">
        <v>2024.0</v>
      </c>
      <c r="F42" s="36">
        <v>2025.0</v>
      </c>
      <c r="G42" s="6">
        <f t="shared" si="2"/>
        <v>0.0004940711462</v>
      </c>
    </row>
    <row r="43" ht="14.25" customHeight="1">
      <c r="A43" s="1"/>
      <c r="B43" s="7"/>
      <c r="C43" s="3" t="s">
        <v>5</v>
      </c>
      <c r="D43" s="4" t="s">
        <v>6</v>
      </c>
      <c r="E43" s="5">
        <v>15000.0</v>
      </c>
      <c r="F43" s="5">
        <v>15000.0</v>
      </c>
      <c r="G43" s="6">
        <f t="shared" si="2"/>
        <v>0</v>
      </c>
    </row>
    <row r="44" ht="14.25" customHeight="1">
      <c r="A44" s="1"/>
      <c r="B44" s="7"/>
      <c r="C44" s="3" t="s">
        <v>7</v>
      </c>
      <c r="D44" s="4" t="s">
        <v>8</v>
      </c>
      <c r="E44" s="5">
        <v>38000.0</v>
      </c>
      <c r="F44" s="5">
        <v>38000.0</v>
      </c>
      <c r="G44" s="6">
        <f t="shared" si="2"/>
        <v>0</v>
      </c>
    </row>
    <row r="45" ht="14.25" customHeight="1">
      <c r="A45" s="1"/>
      <c r="B45" s="7"/>
      <c r="C45" s="3" t="s">
        <v>9</v>
      </c>
      <c r="D45" s="4" t="s">
        <v>10</v>
      </c>
      <c r="E45" s="5">
        <v>6500.0</v>
      </c>
      <c r="F45" s="20">
        <v>7000.0</v>
      </c>
      <c r="G45" s="6">
        <f t="shared" si="2"/>
        <v>0.07692307692</v>
      </c>
    </row>
    <row r="46" ht="14.25" customHeight="1">
      <c r="A46" s="1"/>
      <c r="B46" s="7"/>
      <c r="C46" s="3" t="s">
        <v>11</v>
      </c>
      <c r="D46" s="4" t="s">
        <v>12</v>
      </c>
      <c r="E46" s="5">
        <v>22000.0</v>
      </c>
      <c r="F46" s="5">
        <v>22000.0</v>
      </c>
      <c r="G46" s="6">
        <f t="shared" si="2"/>
        <v>0</v>
      </c>
    </row>
    <row r="47" ht="14.25" customHeight="1">
      <c r="A47" s="1"/>
      <c r="B47" s="7"/>
      <c r="C47" s="3" t="s">
        <v>13</v>
      </c>
      <c r="D47" s="21" t="s">
        <v>14</v>
      </c>
      <c r="E47" s="5">
        <v>36000.0</v>
      </c>
      <c r="F47" s="5">
        <v>36000.0</v>
      </c>
      <c r="G47" s="6">
        <f t="shared" si="2"/>
        <v>0</v>
      </c>
    </row>
    <row r="48" ht="14.25" customHeight="1">
      <c r="A48" s="1"/>
      <c r="B48" s="7"/>
      <c r="C48" s="3">
        <v>150.0</v>
      </c>
      <c r="D48" s="4" t="s">
        <v>15</v>
      </c>
      <c r="E48" s="5">
        <v>2700.0</v>
      </c>
      <c r="F48" s="5">
        <v>2700.0</v>
      </c>
      <c r="G48" s="6">
        <f t="shared" si="2"/>
        <v>0</v>
      </c>
    </row>
    <row r="49" ht="14.25" customHeight="1">
      <c r="A49" s="1"/>
      <c r="B49" s="7"/>
      <c r="C49" s="3" t="s">
        <v>16</v>
      </c>
      <c r="D49" s="4" t="s">
        <v>17</v>
      </c>
      <c r="E49" s="5">
        <v>32500.0</v>
      </c>
      <c r="F49" s="5">
        <v>32500.0</v>
      </c>
      <c r="G49" s="6">
        <f t="shared" si="2"/>
        <v>0</v>
      </c>
    </row>
    <row r="50" ht="14.25" customHeight="1">
      <c r="A50" s="1"/>
      <c r="B50" s="22">
        <v>1500.0</v>
      </c>
      <c r="E50" s="23">
        <v>152700.0</v>
      </c>
      <c r="F50" s="23">
        <f>SUM(F43:F49)</f>
        <v>153200</v>
      </c>
      <c r="G50" s="6">
        <f t="shared" si="2"/>
        <v>0.003274394237</v>
      </c>
    </row>
    <row r="51" ht="14.25" customHeight="1">
      <c r="A51" s="1"/>
      <c r="B51" s="2"/>
      <c r="C51" s="3"/>
      <c r="D51" s="4"/>
      <c r="E51" s="5"/>
      <c r="F51" s="5"/>
      <c r="G51" s="6" t="str">
        <f t="shared" si="2"/>
        <v/>
      </c>
    </row>
    <row r="52" ht="14.25" customHeight="1">
      <c r="A52" s="1"/>
      <c r="B52" s="33">
        <v>1510.0</v>
      </c>
      <c r="C52" s="34"/>
      <c r="D52" s="35" t="s">
        <v>32</v>
      </c>
      <c r="E52" s="35">
        <v>2024.0</v>
      </c>
      <c r="F52" s="36">
        <v>2025.0</v>
      </c>
      <c r="G52" s="6">
        <f t="shared" si="2"/>
        <v>0.0004940711462</v>
      </c>
    </row>
    <row r="53" ht="14.25" customHeight="1">
      <c r="A53" s="1"/>
      <c r="B53" s="7"/>
      <c r="C53" s="3" t="s">
        <v>29</v>
      </c>
      <c r="D53" s="4" t="s">
        <v>30</v>
      </c>
      <c r="E53" s="5">
        <v>116600.0</v>
      </c>
      <c r="F53" s="20">
        <v>121600.0</v>
      </c>
      <c r="G53" s="6">
        <f t="shared" si="2"/>
        <v>0.04288164666</v>
      </c>
    </row>
    <row r="54" ht="14.25" customHeight="1">
      <c r="A54" s="1"/>
      <c r="B54" s="7"/>
      <c r="C54" s="3" t="s">
        <v>24</v>
      </c>
      <c r="D54" s="4" t="s">
        <v>25</v>
      </c>
      <c r="E54" s="5">
        <v>18600.0</v>
      </c>
      <c r="F54" s="5">
        <v>18600.0</v>
      </c>
      <c r="G54" s="6">
        <f t="shared" si="2"/>
        <v>0</v>
      </c>
    </row>
    <row r="55" ht="14.25" customHeight="1">
      <c r="A55" s="1"/>
      <c r="B55" s="7"/>
      <c r="C55" s="3" t="s">
        <v>9</v>
      </c>
      <c r="D55" s="4" t="s">
        <v>10</v>
      </c>
      <c r="E55" s="5">
        <v>16500.0</v>
      </c>
      <c r="F55" s="20">
        <v>18000.0</v>
      </c>
      <c r="G55" s="6">
        <f t="shared" si="2"/>
        <v>0.09090909091</v>
      </c>
    </row>
    <row r="56" ht="14.25" customHeight="1">
      <c r="A56" s="1"/>
      <c r="B56" s="7"/>
      <c r="C56" s="3" t="s">
        <v>11</v>
      </c>
      <c r="D56" s="4" t="s">
        <v>12</v>
      </c>
      <c r="E56" s="5">
        <v>29900.0</v>
      </c>
      <c r="F56" s="5">
        <v>29900.0</v>
      </c>
      <c r="G56" s="6">
        <f t="shared" si="2"/>
        <v>0</v>
      </c>
    </row>
    <row r="57" ht="14.25" customHeight="1">
      <c r="A57" s="1"/>
      <c r="B57" s="7"/>
      <c r="C57" s="3" t="s">
        <v>13</v>
      </c>
      <c r="D57" s="21" t="s">
        <v>14</v>
      </c>
      <c r="E57" s="5">
        <v>85900.0</v>
      </c>
      <c r="F57" s="20">
        <v>93000.0</v>
      </c>
      <c r="G57" s="6">
        <f t="shared" si="2"/>
        <v>0.08265424913</v>
      </c>
    </row>
    <row r="58" ht="14.25" customHeight="1">
      <c r="A58" s="1"/>
      <c r="B58" s="7"/>
      <c r="C58" s="3">
        <v>150.0</v>
      </c>
      <c r="D58" s="4" t="s">
        <v>15</v>
      </c>
      <c r="E58" s="5">
        <v>5800.0</v>
      </c>
      <c r="F58" s="5">
        <v>5800.0</v>
      </c>
      <c r="G58" s="6">
        <f t="shared" si="2"/>
        <v>0</v>
      </c>
    </row>
    <row r="59" ht="14.25" customHeight="1">
      <c r="A59" s="1"/>
      <c r="B59" s="7"/>
      <c r="C59" s="3" t="s">
        <v>16</v>
      </c>
      <c r="D59" s="4" t="s">
        <v>17</v>
      </c>
      <c r="E59" s="5">
        <v>86000.0</v>
      </c>
      <c r="F59" s="5">
        <v>86000.0</v>
      </c>
      <c r="G59" s="6">
        <f t="shared" si="2"/>
        <v>0</v>
      </c>
    </row>
    <row r="60" ht="14.25" customHeight="1">
      <c r="A60" s="1"/>
      <c r="B60" s="7"/>
      <c r="C60" s="3" t="s">
        <v>18</v>
      </c>
      <c r="D60" s="4" t="s">
        <v>19</v>
      </c>
      <c r="E60" s="5">
        <v>122000.0</v>
      </c>
      <c r="F60" s="5">
        <v>122000.0</v>
      </c>
      <c r="G60" s="6">
        <f t="shared" si="2"/>
        <v>0</v>
      </c>
      <c r="H60" s="38">
        <f>3200</f>
        <v>3200</v>
      </c>
    </row>
    <row r="61" ht="14.25" customHeight="1">
      <c r="A61" s="1"/>
      <c r="B61" s="7"/>
      <c r="C61" s="3" t="s">
        <v>33</v>
      </c>
      <c r="D61" s="4" t="s">
        <v>34</v>
      </c>
      <c r="E61" s="5">
        <v>1100.0</v>
      </c>
      <c r="F61" s="5">
        <v>1100.0</v>
      </c>
      <c r="G61" s="6">
        <f t="shared" si="2"/>
        <v>0</v>
      </c>
    </row>
    <row r="62" ht="14.25" customHeight="1">
      <c r="A62" s="1"/>
      <c r="B62" s="7"/>
      <c r="C62" s="3" t="s">
        <v>20</v>
      </c>
      <c r="D62" s="4" t="s">
        <v>21</v>
      </c>
      <c r="E62" s="5">
        <v>32200.0</v>
      </c>
      <c r="F62" s="5">
        <v>32200.0</v>
      </c>
      <c r="G62" s="6">
        <f t="shared" si="2"/>
        <v>0</v>
      </c>
    </row>
    <row r="63" ht="14.25" customHeight="1">
      <c r="A63" s="1"/>
      <c r="B63" s="7"/>
      <c r="C63" s="3" t="s">
        <v>22</v>
      </c>
      <c r="D63" s="4" t="s">
        <v>17</v>
      </c>
      <c r="E63" s="5">
        <v>42200.0</v>
      </c>
      <c r="F63" s="20">
        <v>43200.0</v>
      </c>
      <c r="G63" s="6">
        <f t="shared" si="2"/>
        <v>0.02369668246</v>
      </c>
      <c r="H63" s="40">
        <f>8000</f>
        <v>8000</v>
      </c>
    </row>
    <row r="64" ht="14.25" customHeight="1">
      <c r="A64" s="1"/>
      <c r="B64" s="22">
        <v>1510.0</v>
      </c>
      <c r="E64" s="23">
        <v>556800.0</v>
      </c>
      <c r="F64" s="23">
        <f>SUM(F53:F63)</f>
        <v>571400</v>
      </c>
      <c r="G64" s="6">
        <f t="shared" si="2"/>
        <v>0.02622126437</v>
      </c>
    </row>
    <row r="65" ht="14.25" customHeight="1">
      <c r="A65" s="1"/>
      <c r="B65" s="2"/>
      <c r="C65" s="3"/>
      <c r="D65" s="4"/>
      <c r="E65" s="5"/>
      <c r="F65" s="5"/>
      <c r="G65" s="6" t="str">
        <f t="shared" si="2"/>
        <v/>
      </c>
    </row>
    <row r="66" ht="14.25" customHeight="1">
      <c r="A66" s="1"/>
      <c r="B66" s="33">
        <v>1522.0</v>
      </c>
      <c r="C66" s="34"/>
      <c r="D66" s="36" t="s">
        <v>35</v>
      </c>
      <c r="E66" s="35">
        <v>2024.0</v>
      </c>
      <c r="F66" s="36">
        <v>2025.0</v>
      </c>
      <c r="G66" s="6">
        <f t="shared" si="2"/>
        <v>0.0004940711462</v>
      </c>
    </row>
    <row r="67" ht="14.25" customHeight="1">
      <c r="A67" s="1"/>
      <c r="B67" s="7"/>
      <c r="C67" s="3" t="s">
        <v>9</v>
      </c>
      <c r="D67" s="4" t="s">
        <v>10</v>
      </c>
      <c r="E67" s="5"/>
      <c r="F67" s="20">
        <v>128.0</v>
      </c>
      <c r="G67" s="6" t="str">
        <f t="shared" si="2"/>
        <v/>
      </c>
    </row>
    <row r="68" ht="14.25" customHeight="1">
      <c r="A68" s="1"/>
      <c r="B68" s="7"/>
      <c r="C68" s="3" t="s">
        <v>18</v>
      </c>
      <c r="D68" s="4" t="s">
        <v>19</v>
      </c>
      <c r="E68" s="5">
        <v>72368.0</v>
      </c>
      <c r="F68" s="5">
        <v>72368.0</v>
      </c>
      <c r="G68" s="6">
        <f t="shared" si="2"/>
        <v>0</v>
      </c>
    </row>
    <row r="69" ht="14.25" customHeight="1">
      <c r="A69" s="1"/>
      <c r="B69" s="7"/>
      <c r="C69" s="3" t="s">
        <v>33</v>
      </c>
      <c r="D69" s="4" t="s">
        <v>34</v>
      </c>
      <c r="E69" s="5">
        <v>0.0</v>
      </c>
      <c r="F69" s="5">
        <v>0.0</v>
      </c>
      <c r="G69" s="6" t="str">
        <f t="shared" si="2"/>
        <v/>
      </c>
    </row>
    <row r="70" ht="14.25" customHeight="1">
      <c r="A70" s="1"/>
      <c r="B70" s="7"/>
      <c r="C70" s="3" t="s">
        <v>22</v>
      </c>
      <c r="D70" s="4" t="s">
        <v>17</v>
      </c>
      <c r="E70" s="5">
        <v>23000.0</v>
      </c>
      <c r="F70" s="5">
        <v>23000.0</v>
      </c>
      <c r="G70" s="6">
        <f t="shared" si="2"/>
        <v>0</v>
      </c>
    </row>
    <row r="71" ht="14.25" customHeight="1">
      <c r="A71" s="1"/>
      <c r="B71" s="22">
        <v>1522.0</v>
      </c>
      <c r="E71" s="23">
        <v>95368.0</v>
      </c>
      <c r="F71" s="23">
        <f>SUM(F67:F70)</f>
        <v>95496</v>
      </c>
      <c r="G71" s="6">
        <f t="shared" si="2"/>
        <v>0.001342169281</v>
      </c>
    </row>
    <row r="72" ht="14.25" customHeight="1">
      <c r="A72" s="1"/>
      <c r="B72" s="2"/>
      <c r="C72" s="3"/>
      <c r="D72" s="4"/>
      <c r="E72" s="5"/>
      <c r="F72" s="5"/>
      <c r="G72" s="6" t="str">
        <f t="shared" si="2"/>
        <v/>
      </c>
    </row>
    <row r="73" ht="14.25" customHeight="1">
      <c r="A73" s="1"/>
      <c r="B73" s="33">
        <v>1530.0</v>
      </c>
      <c r="C73" s="34"/>
      <c r="D73" s="35" t="s">
        <v>36</v>
      </c>
      <c r="E73" s="35">
        <v>2024.0</v>
      </c>
      <c r="F73" s="36">
        <v>2025.0</v>
      </c>
      <c r="G73" s="6">
        <f t="shared" si="2"/>
        <v>0.0004940711462</v>
      </c>
    </row>
    <row r="74" ht="14.25" customHeight="1">
      <c r="A74" s="1"/>
      <c r="B74" s="7"/>
      <c r="C74" s="3" t="s">
        <v>24</v>
      </c>
      <c r="D74" s="4" t="s">
        <v>25</v>
      </c>
      <c r="E74" s="5">
        <v>19900.0</v>
      </c>
      <c r="F74" s="5">
        <v>19900.0</v>
      </c>
      <c r="G74" s="6">
        <f t="shared" si="2"/>
        <v>0</v>
      </c>
    </row>
    <row r="75" ht="14.25" customHeight="1">
      <c r="A75" s="1"/>
      <c r="B75" s="7"/>
      <c r="C75" s="3" t="s">
        <v>9</v>
      </c>
      <c r="D75" s="4" t="s">
        <v>10</v>
      </c>
      <c r="E75" s="5">
        <v>0.0</v>
      </c>
      <c r="F75" s="20">
        <v>1250.0</v>
      </c>
      <c r="G75" s="6" t="str">
        <f t="shared" si="2"/>
        <v/>
      </c>
    </row>
    <row r="76" ht="14.25" customHeight="1">
      <c r="A76" s="1"/>
      <c r="B76" s="7"/>
      <c r="C76" s="3" t="s">
        <v>11</v>
      </c>
      <c r="D76" s="4" t="s">
        <v>12</v>
      </c>
      <c r="E76" s="5">
        <v>8400.0</v>
      </c>
      <c r="F76" s="5">
        <v>8400.0</v>
      </c>
      <c r="G76" s="6">
        <f t="shared" si="2"/>
        <v>0</v>
      </c>
    </row>
    <row r="77" ht="14.25" customHeight="1">
      <c r="A77" s="1"/>
      <c r="B77" s="7"/>
      <c r="C77" s="3" t="s">
        <v>13</v>
      </c>
      <c r="D77" s="21" t="s">
        <v>14</v>
      </c>
      <c r="E77" s="5">
        <v>18100.0</v>
      </c>
      <c r="F77" s="5">
        <v>18100.0</v>
      </c>
      <c r="G77" s="6">
        <f t="shared" si="2"/>
        <v>0</v>
      </c>
    </row>
    <row r="78" ht="14.25" customHeight="1">
      <c r="A78" s="1"/>
      <c r="B78" s="7"/>
      <c r="C78" s="3">
        <v>150.0</v>
      </c>
      <c r="D78" s="4" t="s">
        <v>15</v>
      </c>
      <c r="E78" s="5">
        <v>900.0</v>
      </c>
      <c r="F78" s="5">
        <v>900.0</v>
      </c>
      <c r="G78" s="6">
        <f t="shared" si="2"/>
        <v>0</v>
      </c>
    </row>
    <row r="79" ht="14.25" customHeight="1">
      <c r="A79" s="1"/>
      <c r="B79" s="7"/>
      <c r="C79" s="3" t="s">
        <v>16</v>
      </c>
      <c r="D79" s="4" t="s">
        <v>17</v>
      </c>
      <c r="E79" s="5">
        <v>12500.0</v>
      </c>
      <c r="F79" s="5">
        <v>12500.0</v>
      </c>
      <c r="G79" s="6">
        <f t="shared" si="2"/>
        <v>0</v>
      </c>
    </row>
    <row r="80" ht="14.25" customHeight="1">
      <c r="A80" s="1"/>
      <c r="B80" s="7"/>
      <c r="C80" s="3" t="s">
        <v>37</v>
      </c>
      <c r="D80" s="4" t="s">
        <v>19</v>
      </c>
      <c r="E80" s="5">
        <v>84500.0</v>
      </c>
      <c r="F80" s="5">
        <v>84500.0</v>
      </c>
      <c r="G80" s="6">
        <f t="shared" si="2"/>
        <v>0</v>
      </c>
    </row>
    <row r="81" ht="14.25" customHeight="1">
      <c r="A81" s="1"/>
      <c r="B81" s="7"/>
      <c r="C81" s="3" t="s">
        <v>38</v>
      </c>
      <c r="D81" s="4" t="s">
        <v>34</v>
      </c>
      <c r="E81" s="5">
        <v>38500.0</v>
      </c>
      <c r="F81" s="5">
        <v>38500.0</v>
      </c>
      <c r="G81" s="6">
        <f t="shared" si="2"/>
        <v>0</v>
      </c>
    </row>
    <row r="82" ht="14.25" customHeight="1">
      <c r="A82" s="1"/>
      <c r="B82" s="7"/>
      <c r="C82" s="3" t="s">
        <v>39</v>
      </c>
      <c r="D82" s="4" t="s">
        <v>21</v>
      </c>
      <c r="E82" s="5">
        <v>32500.0</v>
      </c>
      <c r="F82" s="20">
        <v>27000.0</v>
      </c>
      <c r="G82" s="6">
        <f t="shared" si="2"/>
        <v>-0.1692307692</v>
      </c>
    </row>
    <row r="83" ht="14.25" customHeight="1">
      <c r="A83" s="1"/>
      <c r="B83" s="7"/>
      <c r="C83" s="3" t="s">
        <v>40</v>
      </c>
      <c r="D83" s="4" t="s">
        <v>17</v>
      </c>
      <c r="E83" s="5">
        <v>53000.0</v>
      </c>
      <c r="F83" s="20">
        <v>43000.0</v>
      </c>
      <c r="G83" s="6">
        <f t="shared" si="2"/>
        <v>-0.1886792453</v>
      </c>
    </row>
    <row r="84" ht="14.25" customHeight="1">
      <c r="A84" s="1"/>
      <c r="B84" s="7"/>
      <c r="C84" s="3" t="s">
        <v>18</v>
      </c>
      <c r="D84" s="4" t="s">
        <v>19</v>
      </c>
      <c r="E84" s="5">
        <v>242500.0</v>
      </c>
      <c r="F84" s="20">
        <v>230000.0</v>
      </c>
      <c r="G84" s="6">
        <f t="shared" si="2"/>
        <v>-0.05154639175</v>
      </c>
    </row>
    <row r="85" ht="14.25" customHeight="1">
      <c r="A85" s="1"/>
      <c r="B85" s="7"/>
      <c r="C85" s="3" t="s">
        <v>33</v>
      </c>
      <c r="D85" s="4" t="s">
        <v>34</v>
      </c>
      <c r="E85" s="5">
        <v>1100.0</v>
      </c>
      <c r="F85" s="5">
        <v>1100.0</v>
      </c>
      <c r="G85" s="6">
        <f t="shared" si="2"/>
        <v>0</v>
      </c>
    </row>
    <row r="86" ht="14.25" customHeight="1">
      <c r="A86" s="1"/>
      <c r="B86" s="7"/>
      <c r="C86" s="3" t="s">
        <v>20</v>
      </c>
      <c r="D86" s="4" t="s">
        <v>21</v>
      </c>
      <c r="E86" s="5">
        <v>76000.0</v>
      </c>
      <c r="F86" s="20">
        <v>40000.0</v>
      </c>
      <c r="G86" s="6">
        <f t="shared" si="2"/>
        <v>-0.4736842105</v>
      </c>
    </row>
    <row r="87" ht="14.25" customHeight="1">
      <c r="A87" s="1"/>
      <c r="B87" s="7"/>
      <c r="C87" s="3" t="s">
        <v>22</v>
      </c>
      <c r="D87" s="4" t="s">
        <v>17</v>
      </c>
      <c r="E87" s="5">
        <v>92000.0</v>
      </c>
      <c r="F87" s="20">
        <v>80000.0</v>
      </c>
      <c r="G87" s="6">
        <f t="shared" si="2"/>
        <v>-0.1304347826</v>
      </c>
    </row>
    <row r="88" ht="14.25" customHeight="1">
      <c r="A88" s="1"/>
      <c r="B88" s="22">
        <v>1530.0</v>
      </c>
      <c r="E88" s="23">
        <v>679900.0</v>
      </c>
      <c r="F88" s="23">
        <f>SUM(F74:F87)</f>
        <v>605150</v>
      </c>
      <c r="G88" s="6">
        <f t="shared" si="2"/>
        <v>-0.1099426386</v>
      </c>
    </row>
    <row r="89" ht="14.25" customHeight="1">
      <c r="A89" s="1"/>
      <c r="B89" s="2"/>
      <c r="C89" s="3"/>
      <c r="D89" s="4"/>
      <c r="E89" s="5"/>
      <c r="F89" s="5"/>
      <c r="G89" s="6" t="str">
        <f t="shared" si="2"/>
        <v/>
      </c>
    </row>
    <row r="90" ht="14.25" customHeight="1">
      <c r="A90" s="1"/>
      <c r="B90" s="33">
        <v>1610.0</v>
      </c>
      <c r="C90" s="34"/>
      <c r="D90" s="35" t="s">
        <v>41</v>
      </c>
      <c r="E90" s="35">
        <v>2024.0</v>
      </c>
      <c r="F90" s="36">
        <v>2025.0</v>
      </c>
      <c r="G90" s="6">
        <f t="shared" si="2"/>
        <v>0.0004940711462</v>
      </c>
    </row>
    <row r="91" ht="14.25" customHeight="1">
      <c r="A91" s="1"/>
      <c r="B91" s="2"/>
      <c r="C91" s="3" t="s">
        <v>24</v>
      </c>
      <c r="D91" s="4" t="s">
        <v>25</v>
      </c>
      <c r="E91" s="5">
        <v>20000.0</v>
      </c>
      <c r="F91" s="5">
        <v>20000.0</v>
      </c>
      <c r="G91" s="6">
        <f t="shared" si="2"/>
        <v>0</v>
      </c>
    </row>
    <row r="92" ht="14.25" customHeight="1">
      <c r="A92" s="1"/>
      <c r="B92" s="2"/>
      <c r="C92" s="3" t="s">
        <v>7</v>
      </c>
      <c r="D92" s="4" t="s">
        <v>8</v>
      </c>
      <c r="E92" s="5">
        <v>26000.0</v>
      </c>
      <c r="F92" s="20">
        <v>20000.0</v>
      </c>
      <c r="G92" s="6">
        <f t="shared" si="2"/>
        <v>-0.2307692308</v>
      </c>
    </row>
    <row r="93" ht="14.25" customHeight="1">
      <c r="A93" s="1"/>
      <c r="B93" s="2"/>
      <c r="C93" s="3" t="s">
        <v>9</v>
      </c>
      <c r="D93" s="4" t="s">
        <v>10</v>
      </c>
      <c r="E93" s="5">
        <v>550.0</v>
      </c>
      <c r="F93" s="20">
        <v>3800.0</v>
      </c>
      <c r="G93" s="6">
        <f t="shared" si="2"/>
        <v>5.909090909</v>
      </c>
    </row>
    <row r="94" ht="14.25" customHeight="1">
      <c r="A94" s="1"/>
      <c r="B94" s="2"/>
      <c r="C94" s="3" t="s">
        <v>11</v>
      </c>
      <c r="D94" s="4" t="s">
        <v>12</v>
      </c>
      <c r="E94" s="5">
        <v>19050.0</v>
      </c>
      <c r="F94" s="5">
        <f>13000+6050</f>
        <v>19050</v>
      </c>
      <c r="G94" s="6">
        <f t="shared" si="2"/>
        <v>0</v>
      </c>
    </row>
    <row r="95" ht="14.25" customHeight="1">
      <c r="A95" s="1"/>
      <c r="B95" s="2"/>
      <c r="C95" s="3" t="s">
        <v>13</v>
      </c>
      <c r="D95" s="21" t="s">
        <v>14</v>
      </c>
      <c r="E95" s="5">
        <v>31800.0</v>
      </c>
      <c r="F95" s="5">
        <f>23000+8800</f>
        <v>31800</v>
      </c>
      <c r="G95" s="6">
        <f t="shared" si="2"/>
        <v>0</v>
      </c>
    </row>
    <row r="96" ht="14.25" customHeight="1">
      <c r="A96" s="1"/>
      <c r="B96" s="2"/>
      <c r="C96" s="3">
        <v>150.0</v>
      </c>
      <c r="D96" s="4" t="s">
        <v>15</v>
      </c>
      <c r="E96" s="5">
        <v>2250.0</v>
      </c>
      <c r="F96" s="5">
        <f>1600+650</f>
        <v>2250</v>
      </c>
      <c r="G96" s="6">
        <f t="shared" si="2"/>
        <v>0</v>
      </c>
    </row>
    <row r="97" ht="14.25" customHeight="1">
      <c r="A97" s="1"/>
      <c r="B97" s="2"/>
      <c r="C97" s="3" t="s">
        <v>16</v>
      </c>
      <c r="D97" s="4" t="s">
        <v>17</v>
      </c>
      <c r="E97" s="5">
        <v>25300.0</v>
      </c>
      <c r="F97" s="20">
        <v>18000.0</v>
      </c>
      <c r="G97" s="6">
        <f t="shared" si="2"/>
        <v>-0.2885375494</v>
      </c>
    </row>
    <row r="98" ht="14.25" customHeight="1">
      <c r="A98" s="1"/>
      <c r="B98" s="2"/>
      <c r="C98" s="3" t="s">
        <v>37</v>
      </c>
      <c r="D98" s="41" t="s">
        <v>19</v>
      </c>
      <c r="E98" s="5">
        <v>131000.0</v>
      </c>
      <c r="F98" s="20">
        <v>111000.0</v>
      </c>
      <c r="G98" s="6">
        <f t="shared" si="2"/>
        <v>-0.1526717557</v>
      </c>
    </row>
    <row r="99" ht="14.25" customHeight="1">
      <c r="A99" s="1"/>
      <c r="B99" s="2"/>
      <c r="C99" s="3" t="s">
        <v>38</v>
      </c>
      <c r="D99" s="4" t="s">
        <v>34</v>
      </c>
      <c r="E99" s="5">
        <v>31000.0</v>
      </c>
      <c r="F99" s="5">
        <v>31000.0</v>
      </c>
      <c r="G99" s="6">
        <f t="shared" si="2"/>
        <v>0</v>
      </c>
    </row>
    <row r="100" ht="14.25" customHeight="1">
      <c r="A100" s="1"/>
      <c r="B100" s="2"/>
      <c r="C100" s="3" t="s">
        <v>39</v>
      </c>
      <c r="D100" s="4" t="s">
        <v>21</v>
      </c>
      <c r="E100" s="5">
        <v>71500.0</v>
      </c>
      <c r="F100" s="20">
        <v>50000.0</v>
      </c>
      <c r="G100" s="6">
        <f t="shared" si="2"/>
        <v>-0.3006993007</v>
      </c>
    </row>
    <row r="101" ht="14.25" customHeight="1">
      <c r="A101" s="1"/>
      <c r="B101" s="2"/>
      <c r="C101" s="3" t="s">
        <v>40</v>
      </c>
      <c r="D101" s="4" t="s">
        <v>17</v>
      </c>
      <c r="E101" s="5">
        <v>69000.0</v>
      </c>
      <c r="F101" s="20">
        <v>49000.0</v>
      </c>
      <c r="G101" s="6">
        <f t="shared" si="2"/>
        <v>-0.2898550725</v>
      </c>
    </row>
    <row r="102" ht="14.25" customHeight="1">
      <c r="A102" s="1"/>
      <c r="B102" s="2"/>
      <c r="C102" s="3" t="s">
        <v>18</v>
      </c>
      <c r="D102" s="4" t="s">
        <v>19</v>
      </c>
      <c r="E102" s="5">
        <v>62000.0</v>
      </c>
      <c r="F102" s="20">
        <v>45000.0</v>
      </c>
      <c r="G102" s="6">
        <f t="shared" si="2"/>
        <v>-0.2741935484</v>
      </c>
    </row>
    <row r="103" ht="14.25" customHeight="1">
      <c r="A103" s="1"/>
      <c r="B103" s="2"/>
      <c r="C103" s="3" t="s">
        <v>33</v>
      </c>
      <c r="D103" s="4" t="s">
        <v>34</v>
      </c>
      <c r="E103" s="5">
        <v>1400.0</v>
      </c>
      <c r="F103" s="5">
        <v>1400.0</v>
      </c>
      <c r="G103" s="6">
        <f t="shared" si="2"/>
        <v>0</v>
      </c>
    </row>
    <row r="104" ht="14.25" customHeight="1">
      <c r="A104" s="1"/>
      <c r="B104" s="2"/>
      <c r="C104" s="3" t="s">
        <v>20</v>
      </c>
      <c r="D104" s="4" t="s">
        <v>21</v>
      </c>
      <c r="E104" s="5">
        <v>18000.0</v>
      </c>
      <c r="F104" s="5">
        <v>18000.0</v>
      </c>
      <c r="G104" s="6">
        <f t="shared" si="2"/>
        <v>0</v>
      </c>
    </row>
    <row r="105" ht="14.25" customHeight="1">
      <c r="A105" s="42"/>
      <c r="B105" s="43"/>
      <c r="C105" s="3" t="s">
        <v>22</v>
      </c>
      <c r="D105" s="4" t="s">
        <v>17</v>
      </c>
      <c r="E105" s="5">
        <v>22500.0</v>
      </c>
      <c r="F105" s="20">
        <v>12500.0</v>
      </c>
      <c r="G105" s="6">
        <f t="shared" si="2"/>
        <v>-0.4444444444</v>
      </c>
      <c r="H105" s="44"/>
      <c r="I105" s="44"/>
      <c r="J105" s="44"/>
      <c r="K105" s="44"/>
    </row>
    <row r="106" ht="14.25" customHeight="1">
      <c r="A106" s="1"/>
      <c r="B106" s="22">
        <v>1610.0</v>
      </c>
      <c r="E106" s="23">
        <v>531350.0</v>
      </c>
      <c r="F106" s="23">
        <f>SUM(F91:F105)</f>
        <v>432800</v>
      </c>
      <c r="G106" s="6">
        <f t="shared" si="2"/>
        <v>-0.1854709702</v>
      </c>
    </row>
    <row r="107" ht="14.25" customHeight="1">
      <c r="A107" s="1"/>
      <c r="B107" s="45"/>
      <c r="C107" s="22"/>
      <c r="D107" s="46"/>
      <c r="E107" s="47"/>
      <c r="F107" s="48"/>
      <c r="G107" s="6" t="str">
        <f t="shared" si="2"/>
        <v/>
      </c>
    </row>
    <row r="108" ht="14.25" customHeight="1">
      <c r="A108" s="1"/>
      <c r="B108" s="49">
        <v>1630.0</v>
      </c>
      <c r="C108" s="34"/>
      <c r="D108" s="35" t="s">
        <v>42</v>
      </c>
      <c r="E108" s="50">
        <v>2024.0</v>
      </c>
      <c r="F108" s="51">
        <v>2025.0</v>
      </c>
      <c r="G108" s="6">
        <f t="shared" si="2"/>
        <v>0.0004940711462</v>
      </c>
    </row>
    <row r="109" ht="14.25" customHeight="1">
      <c r="A109" s="1"/>
      <c r="B109" s="2"/>
      <c r="C109" s="3" t="s">
        <v>7</v>
      </c>
      <c r="D109" s="4" t="s">
        <v>8</v>
      </c>
      <c r="E109" s="20">
        <v>0.0</v>
      </c>
      <c r="F109" s="5">
        <v>8400.0</v>
      </c>
      <c r="G109" s="6" t="str">
        <f t="shared" si="2"/>
        <v/>
      </c>
    </row>
    <row r="110" ht="14.25" customHeight="1">
      <c r="A110" s="1"/>
      <c r="B110" s="2"/>
      <c r="C110" s="3" t="s">
        <v>43</v>
      </c>
      <c r="D110" s="4" t="s">
        <v>44</v>
      </c>
      <c r="E110" s="20">
        <v>0.0</v>
      </c>
      <c r="F110" s="5">
        <v>0.0</v>
      </c>
      <c r="G110" s="6" t="str">
        <f t="shared" si="2"/>
        <v/>
      </c>
    </row>
    <row r="111" ht="14.25" customHeight="1">
      <c r="A111" s="1"/>
      <c r="B111" s="2"/>
      <c r="C111" s="3" t="s">
        <v>9</v>
      </c>
      <c r="D111" s="4" t="s">
        <v>10</v>
      </c>
      <c r="E111" s="20">
        <v>0.0</v>
      </c>
      <c r="F111" s="5">
        <v>0.0</v>
      </c>
      <c r="G111" s="6" t="str">
        <f t="shared" si="2"/>
        <v/>
      </c>
    </row>
    <row r="112" ht="14.25" customHeight="1">
      <c r="A112" s="1"/>
      <c r="B112" s="2"/>
      <c r="C112" s="3" t="s">
        <v>11</v>
      </c>
      <c r="D112" s="4" t="s">
        <v>12</v>
      </c>
      <c r="E112" s="20">
        <v>0.0</v>
      </c>
      <c r="F112" s="5">
        <v>5200.0</v>
      </c>
      <c r="G112" s="6" t="str">
        <f t="shared" si="2"/>
        <v/>
      </c>
    </row>
    <row r="113" ht="14.25" customHeight="1">
      <c r="A113" s="1"/>
      <c r="B113" s="2"/>
      <c r="C113" s="3" t="s">
        <v>13</v>
      </c>
      <c r="D113" s="21" t="s">
        <v>14</v>
      </c>
      <c r="E113" s="20">
        <v>0.0</v>
      </c>
      <c r="F113" s="5">
        <v>11700.0</v>
      </c>
      <c r="G113" s="6" t="str">
        <f t="shared" si="2"/>
        <v/>
      </c>
    </row>
    <row r="114" ht="14.25" customHeight="1">
      <c r="A114" s="1"/>
      <c r="B114" s="2"/>
      <c r="C114" s="3">
        <v>150.0</v>
      </c>
      <c r="D114" s="4" t="s">
        <v>15</v>
      </c>
      <c r="E114" s="20">
        <v>0.0</v>
      </c>
      <c r="F114" s="5">
        <v>5000.0</v>
      </c>
      <c r="G114" s="6" t="str">
        <f t="shared" si="2"/>
        <v/>
      </c>
    </row>
    <row r="115" ht="14.25" customHeight="1">
      <c r="A115" s="1"/>
      <c r="B115" s="2"/>
      <c r="C115" s="3" t="s">
        <v>26</v>
      </c>
      <c r="D115" s="4" t="s">
        <v>27</v>
      </c>
      <c r="E115" s="20">
        <v>0.0</v>
      </c>
      <c r="F115" s="5">
        <v>0.0</v>
      </c>
      <c r="G115" s="6" t="str">
        <f t="shared" si="2"/>
        <v/>
      </c>
    </row>
    <row r="116" ht="14.25" customHeight="1">
      <c r="A116" s="1"/>
      <c r="B116" s="2"/>
      <c r="C116" s="3" t="s">
        <v>16</v>
      </c>
      <c r="D116" s="4" t="s">
        <v>17</v>
      </c>
      <c r="E116" s="20">
        <v>0.0</v>
      </c>
      <c r="F116" s="5">
        <v>8000.0</v>
      </c>
      <c r="G116" s="6" t="str">
        <f t="shared" si="2"/>
        <v/>
      </c>
    </row>
    <row r="117" ht="14.25" customHeight="1">
      <c r="A117" s="1"/>
      <c r="B117" s="52">
        <v>1630.0</v>
      </c>
      <c r="E117" s="53">
        <v>0.0</v>
      </c>
      <c r="F117" s="23">
        <f>SUM(F109:F116)</f>
        <v>38300</v>
      </c>
      <c r="G117" s="6" t="str">
        <f t="shared" si="2"/>
        <v/>
      </c>
    </row>
    <row r="118" ht="14.25" customHeight="1">
      <c r="A118" s="1"/>
      <c r="B118" s="2"/>
      <c r="C118" s="3"/>
      <c r="D118" s="4"/>
      <c r="E118" s="5"/>
      <c r="F118" s="5"/>
      <c r="G118" s="6" t="str">
        <f t="shared" si="2"/>
        <v/>
      </c>
    </row>
    <row r="119" ht="14.25" customHeight="1">
      <c r="A119" s="1"/>
      <c r="B119" s="33">
        <v>1640.0</v>
      </c>
      <c r="C119" s="34"/>
      <c r="D119" s="35" t="s">
        <v>45</v>
      </c>
      <c r="E119" s="35">
        <v>2024.0</v>
      </c>
      <c r="F119" s="36">
        <v>2025.0</v>
      </c>
      <c r="G119" s="6">
        <f t="shared" si="2"/>
        <v>0.0004940711462</v>
      </c>
    </row>
    <row r="120" ht="14.25" customHeight="1">
      <c r="A120" s="1"/>
      <c r="B120" s="2"/>
      <c r="C120" s="3" t="s">
        <v>43</v>
      </c>
      <c r="D120" s="4" t="s">
        <v>44</v>
      </c>
      <c r="E120" s="5">
        <v>42500.0</v>
      </c>
      <c r="F120" s="5">
        <f>33500 + 9000</f>
        <v>42500</v>
      </c>
      <c r="G120" s="6">
        <f t="shared" si="2"/>
        <v>0</v>
      </c>
    </row>
    <row r="121" ht="14.25" customHeight="1">
      <c r="A121" s="1"/>
      <c r="B121" s="2"/>
      <c r="C121" s="3" t="s">
        <v>9</v>
      </c>
      <c r="D121" s="4" t="s">
        <v>10</v>
      </c>
      <c r="E121" s="5">
        <v>400.0</v>
      </c>
      <c r="F121" s="5">
        <v>400.0</v>
      </c>
      <c r="G121" s="6">
        <f t="shared" si="2"/>
        <v>0</v>
      </c>
    </row>
    <row r="122" ht="14.25" customHeight="1">
      <c r="A122" s="1"/>
      <c r="B122" s="2"/>
      <c r="C122" s="3" t="s">
        <v>11</v>
      </c>
      <c r="D122" s="4" t="s">
        <v>12</v>
      </c>
      <c r="E122" s="5">
        <v>17050.0</v>
      </c>
      <c r="F122" s="5">
        <f>13500 + 3550</f>
        <v>17050</v>
      </c>
      <c r="G122" s="6">
        <f t="shared" si="2"/>
        <v>0</v>
      </c>
    </row>
    <row r="123" ht="14.25" customHeight="1">
      <c r="A123" s="1"/>
      <c r="B123" s="2"/>
      <c r="C123" s="3" t="s">
        <v>13</v>
      </c>
      <c r="D123" s="21" t="s">
        <v>14</v>
      </c>
      <c r="E123" s="5">
        <v>26600.0</v>
      </c>
      <c r="F123" s="5">
        <f>21000 + 5600</f>
        <v>26600</v>
      </c>
      <c r="G123" s="6">
        <f t="shared" si="2"/>
        <v>0</v>
      </c>
    </row>
    <row r="124" ht="14.25" customHeight="1">
      <c r="A124" s="1"/>
      <c r="B124" s="2"/>
      <c r="C124" s="3" t="s">
        <v>18</v>
      </c>
      <c r="D124" s="4" t="s">
        <v>19</v>
      </c>
      <c r="E124" s="20">
        <v>0.0</v>
      </c>
      <c r="F124" s="20">
        <v>26500.0</v>
      </c>
      <c r="G124" s="6" t="str">
        <f t="shared" si="2"/>
        <v/>
      </c>
    </row>
    <row r="125" ht="14.25" customHeight="1">
      <c r="A125" s="1"/>
      <c r="B125" s="2"/>
      <c r="C125" s="3">
        <v>150.0</v>
      </c>
      <c r="D125" s="4" t="s">
        <v>15</v>
      </c>
      <c r="E125" s="5">
        <v>2750.0</v>
      </c>
      <c r="F125" s="5">
        <f>2200+550</f>
        <v>2750</v>
      </c>
      <c r="G125" s="6">
        <f t="shared" si="2"/>
        <v>0</v>
      </c>
    </row>
    <row r="126" ht="14.25" customHeight="1">
      <c r="A126" s="1"/>
      <c r="B126" s="2"/>
      <c r="C126" s="3" t="s">
        <v>26</v>
      </c>
      <c r="D126" s="4" t="s">
        <v>27</v>
      </c>
      <c r="E126" s="5">
        <v>5000.0</v>
      </c>
      <c r="F126" s="20">
        <v>10000.0</v>
      </c>
      <c r="G126" s="6">
        <f t="shared" si="2"/>
        <v>1</v>
      </c>
    </row>
    <row r="127" ht="14.25" customHeight="1">
      <c r="A127" s="1"/>
      <c r="B127" s="2"/>
      <c r="C127" s="3" t="s">
        <v>16</v>
      </c>
      <c r="D127" s="4" t="s">
        <v>17</v>
      </c>
      <c r="E127" s="5">
        <v>29400.0</v>
      </c>
      <c r="F127" s="5">
        <f>22500+6900</f>
        <v>29400</v>
      </c>
      <c r="G127" s="6">
        <f t="shared" si="2"/>
        <v>0</v>
      </c>
    </row>
    <row r="128" ht="14.25" customHeight="1">
      <c r="A128" s="42"/>
      <c r="B128" s="43"/>
      <c r="C128" s="3" t="s">
        <v>22</v>
      </c>
      <c r="D128" s="4" t="s">
        <v>17</v>
      </c>
      <c r="E128" s="20">
        <v>0.0</v>
      </c>
      <c r="F128" s="20">
        <v>8500.0</v>
      </c>
      <c r="G128" s="6" t="str">
        <f t="shared" si="2"/>
        <v/>
      </c>
      <c r="H128" s="44"/>
      <c r="I128" s="44"/>
      <c r="J128" s="44"/>
      <c r="K128" s="44"/>
    </row>
    <row r="129" ht="14.25" customHeight="1">
      <c r="A129" s="1"/>
      <c r="B129" s="22">
        <v>1640.0</v>
      </c>
      <c r="E129" s="23">
        <v>123700.0</v>
      </c>
      <c r="F129" s="23">
        <f>SUM(F120:F128)</f>
        <v>163700</v>
      </c>
      <c r="G129" s="6">
        <f t="shared" si="2"/>
        <v>0.3233629749</v>
      </c>
    </row>
    <row r="130" ht="14.25" customHeight="1">
      <c r="A130" s="1"/>
      <c r="B130" s="2"/>
      <c r="C130" s="54"/>
      <c r="D130" s="30"/>
      <c r="E130" s="32"/>
      <c r="F130" s="32"/>
      <c r="G130" s="6" t="str">
        <f t="shared" si="2"/>
        <v/>
      </c>
    </row>
    <row r="131" ht="14.25" customHeight="1">
      <c r="A131" s="1"/>
      <c r="B131" s="33">
        <v>1650.0</v>
      </c>
      <c r="C131" s="34"/>
      <c r="D131" s="35" t="s">
        <v>46</v>
      </c>
      <c r="E131" s="35">
        <v>2024.0</v>
      </c>
      <c r="F131" s="36">
        <v>2025.0</v>
      </c>
      <c r="G131" s="6">
        <f t="shared" si="2"/>
        <v>0.0004940711462</v>
      </c>
    </row>
    <row r="132" ht="14.25" customHeight="1">
      <c r="A132" s="1"/>
      <c r="B132" s="2"/>
      <c r="C132" s="3" t="s">
        <v>24</v>
      </c>
      <c r="D132" s="4" t="s">
        <v>25</v>
      </c>
      <c r="E132" s="5">
        <v>20500.0</v>
      </c>
      <c r="F132" s="5">
        <v>20500.0</v>
      </c>
      <c r="G132" s="6">
        <f t="shared" si="2"/>
        <v>0</v>
      </c>
    </row>
    <row r="133" ht="14.25" customHeight="1">
      <c r="A133" s="1"/>
      <c r="B133" s="2"/>
      <c r="C133" s="3" t="s">
        <v>43</v>
      </c>
      <c r="D133" s="4" t="s">
        <v>44</v>
      </c>
      <c r="E133" s="5">
        <v>12000.0</v>
      </c>
      <c r="F133" s="5">
        <v>12000.0</v>
      </c>
      <c r="G133" s="6">
        <f t="shared" si="2"/>
        <v>0</v>
      </c>
    </row>
    <row r="134" ht="14.25" customHeight="1">
      <c r="A134" s="1"/>
      <c r="B134" s="2"/>
      <c r="C134" s="3" t="s">
        <v>9</v>
      </c>
      <c r="D134" s="4" t="s">
        <v>10</v>
      </c>
      <c r="E134" s="5">
        <v>7750.0</v>
      </c>
      <c r="F134" s="5">
        <v>7750.0</v>
      </c>
      <c r="G134" s="6">
        <f t="shared" si="2"/>
        <v>0</v>
      </c>
    </row>
    <row r="135" ht="14.25" customHeight="1">
      <c r="A135" s="1"/>
      <c r="B135" s="2"/>
      <c r="C135" s="3" t="s">
        <v>11</v>
      </c>
      <c r="D135" s="4" t="s">
        <v>12</v>
      </c>
      <c r="E135" s="5">
        <v>13000.0</v>
      </c>
      <c r="F135" s="5">
        <v>13000.0</v>
      </c>
      <c r="G135" s="6">
        <f t="shared" si="2"/>
        <v>0</v>
      </c>
    </row>
    <row r="136" ht="14.25" customHeight="1">
      <c r="A136" s="1"/>
      <c r="B136" s="2"/>
      <c r="C136" s="3" t="s">
        <v>13</v>
      </c>
      <c r="D136" s="21" t="s">
        <v>14</v>
      </c>
      <c r="E136" s="5">
        <v>26500.0</v>
      </c>
      <c r="F136" s="5">
        <v>26500.0</v>
      </c>
      <c r="G136" s="6">
        <f t="shared" si="2"/>
        <v>0</v>
      </c>
    </row>
    <row r="137" ht="14.25" customHeight="1">
      <c r="A137" s="1"/>
      <c r="B137" s="2"/>
      <c r="C137" s="3">
        <v>150.0</v>
      </c>
      <c r="D137" s="4" t="s">
        <v>15</v>
      </c>
      <c r="E137" s="5">
        <v>1600.0</v>
      </c>
      <c r="F137" s="5">
        <v>1600.0</v>
      </c>
      <c r="G137" s="6">
        <f t="shared" si="2"/>
        <v>0</v>
      </c>
    </row>
    <row r="138" ht="14.25" customHeight="1">
      <c r="A138" s="1"/>
      <c r="B138" s="2"/>
      <c r="C138" s="3" t="s">
        <v>16</v>
      </c>
      <c r="D138" s="4" t="s">
        <v>17</v>
      </c>
      <c r="E138" s="5">
        <v>21000.0</v>
      </c>
      <c r="F138" s="5">
        <v>21000.0</v>
      </c>
      <c r="G138" s="6">
        <f t="shared" si="2"/>
        <v>0</v>
      </c>
    </row>
    <row r="139" ht="14.25" customHeight="1">
      <c r="A139" s="1"/>
      <c r="B139" s="2"/>
      <c r="C139" s="3" t="s">
        <v>37</v>
      </c>
      <c r="D139" s="41" t="s">
        <v>19</v>
      </c>
      <c r="E139" s="5">
        <v>60000.0</v>
      </c>
      <c r="F139" s="5">
        <v>60000.0</v>
      </c>
      <c r="G139" s="6">
        <f t="shared" si="2"/>
        <v>0</v>
      </c>
    </row>
    <row r="140" ht="14.25" customHeight="1">
      <c r="A140" s="1"/>
      <c r="B140" s="2"/>
      <c r="C140" s="3" t="s">
        <v>38</v>
      </c>
      <c r="D140" s="4" t="s">
        <v>34</v>
      </c>
      <c r="E140" s="5">
        <v>19000.0</v>
      </c>
      <c r="F140" s="5">
        <v>19000.0</v>
      </c>
      <c r="G140" s="6">
        <f t="shared" si="2"/>
        <v>0</v>
      </c>
    </row>
    <row r="141" ht="14.25" customHeight="1">
      <c r="A141" s="1"/>
      <c r="B141" s="2"/>
      <c r="C141" s="3" t="s">
        <v>39</v>
      </c>
      <c r="D141" s="4" t="s">
        <v>21</v>
      </c>
      <c r="E141" s="5">
        <v>33500.0</v>
      </c>
      <c r="F141" s="20">
        <v>10000.0</v>
      </c>
      <c r="G141" s="6">
        <f t="shared" si="2"/>
        <v>-0.7014925373</v>
      </c>
    </row>
    <row r="142" ht="14.25" customHeight="1">
      <c r="A142" s="1"/>
      <c r="B142" s="2"/>
      <c r="C142" s="3" t="s">
        <v>40</v>
      </c>
      <c r="D142" s="4" t="s">
        <v>17</v>
      </c>
      <c r="E142" s="5">
        <v>33500.0</v>
      </c>
      <c r="F142" s="5">
        <v>33500.0</v>
      </c>
      <c r="G142" s="6">
        <f t="shared" si="2"/>
        <v>0</v>
      </c>
    </row>
    <row r="143" ht="14.25" customHeight="1">
      <c r="A143" s="1"/>
      <c r="B143" s="2"/>
      <c r="C143" s="3" t="s">
        <v>18</v>
      </c>
      <c r="D143" s="4" t="s">
        <v>19</v>
      </c>
      <c r="E143" s="5">
        <v>35000.0</v>
      </c>
      <c r="F143" s="5">
        <v>35000.0</v>
      </c>
      <c r="G143" s="6">
        <f t="shared" si="2"/>
        <v>0</v>
      </c>
    </row>
    <row r="144" ht="14.25" customHeight="1">
      <c r="A144" s="1"/>
      <c r="B144" s="2"/>
      <c r="C144" s="3" t="s">
        <v>33</v>
      </c>
      <c r="D144" s="4" t="s">
        <v>34</v>
      </c>
      <c r="E144" s="5">
        <v>3100.0</v>
      </c>
      <c r="F144" s="5">
        <v>3100.0</v>
      </c>
      <c r="G144" s="6">
        <f t="shared" si="2"/>
        <v>0</v>
      </c>
    </row>
    <row r="145" ht="14.25" customHeight="1">
      <c r="A145" s="1"/>
      <c r="B145" s="2"/>
      <c r="C145" s="3" t="s">
        <v>20</v>
      </c>
      <c r="D145" s="4" t="s">
        <v>21</v>
      </c>
      <c r="E145" s="5">
        <v>13100.0</v>
      </c>
      <c r="F145" s="5">
        <v>13100.0</v>
      </c>
      <c r="G145" s="6">
        <f t="shared" si="2"/>
        <v>0</v>
      </c>
    </row>
    <row r="146" ht="14.25" customHeight="1">
      <c r="A146" s="42"/>
      <c r="B146" s="43"/>
      <c r="C146" s="3" t="s">
        <v>22</v>
      </c>
      <c r="D146" s="4" t="s">
        <v>17</v>
      </c>
      <c r="E146" s="5">
        <v>15600.0</v>
      </c>
      <c r="F146" s="5">
        <v>15600.0</v>
      </c>
      <c r="G146" s="6">
        <f t="shared" si="2"/>
        <v>0</v>
      </c>
      <c r="H146" s="44"/>
      <c r="I146" s="44"/>
      <c r="J146" s="44"/>
      <c r="K146" s="44"/>
    </row>
    <row r="147" ht="14.25" customHeight="1">
      <c r="A147" s="1"/>
      <c r="B147" s="22">
        <v>1650.0</v>
      </c>
      <c r="E147" s="23">
        <v>315150.0</v>
      </c>
      <c r="F147" s="23">
        <f>SUM(F132:F146)</f>
        <v>291650</v>
      </c>
      <c r="G147" s="6">
        <f t="shared" si="2"/>
        <v>-0.07456766619</v>
      </c>
    </row>
    <row r="148" ht="14.25" customHeight="1">
      <c r="A148" s="1"/>
      <c r="B148" s="2"/>
      <c r="C148" s="54"/>
      <c r="D148" s="30"/>
      <c r="E148" s="32"/>
      <c r="F148" s="32"/>
      <c r="G148" s="6" t="str">
        <f t="shared" si="2"/>
        <v/>
      </c>
    </row>
    <row r="149" ht="14.25" customHeight="1">
      <c r="A149" s="1"/>
      <c r="B149" s="33">
        <v>1700.0</v>
      </c>
      <c r="C149" s="34"/>
      <c r="D149" s="35" t="s">
        <v>47</v>
      </c>
      <c r="E149" s="35">
        <v>2024.0</v>
      </c>
      <c r="F149" s="36">
        <v>2025.0</v>
      </c>
      <c r="G149" s="6">
        <f t="shared" si="2"/>
        <v>0.0004940711462</v>
      </c>
    </row>
    <row r="150" ht="14.25" customHeight="1">
      <c r="A150" s="1"/>
      <c r="B150" s="2"/>
      <c r="C150" s="3" t="s">
        <v>24</v>
      </c>
      <c r="D150" s="4" t="s">
        <v>25</v>
      </c>
      <c r="E150" s="5">
        <v>18600.0</v>
      </c>
      <c r="F150" s="5">
        <v>18600.0</v>
      </c>
      <c r="G150" s="6">
        <f t="shared" si="2"/>
        <v>0</v>
      </c>
    </row>
    <row r="151" ht="14.25" customHeight="1">
      <c r="A151" s="1"/>
      <c r="B151" s="2"/>
      <c r="C151" s="3" t="s">
        <v>5</v>
      </c>
      <c r="D151" s="4" t="s">
        <v>6</v>
      </c>
      <c r="E151" s="5">
        <v>15000.0</v>
      </c>
      <c r="F151" s="5">
        <v>15000.0</v>
      </c>
      <c r="G151" s="6">
        <f t="shared" si="2"/>
        <v>0</v>
      </c>
    </row>
    <row r="152" ht="14.25" customHeight="1">
      <c r="A152" s="1"/>
      <c r="B152" s="2"/>
      <c r="C152" s="3" t="s">
        <v>7</v>
      </c>
      <c r="D152" s="4" t="s">
        <v>8</v>
      </c>
      <c r="E152" s="5">
        <v>12000.0</v>
      </c>
      <c r="F152" s="5">
        <v>12000.0</v>
      </c>
      <c r="G152" s="6">
        <f t="shared" si="2"/>
        <v>0</v>
      </c>
    </row>
    <row r="153" ht="14.25" customHeight="1">
      <c r="A153" s="1"/>
      <c r="B153" s="2"/>
      <c r="C153" s="3" t="s">
        <v>43</v>
      </c>
      <c r="D153" s="4" t="s">
        <v>44</v>
      </c>
      <c r="E153" s="5">
        <v>12000.0</v>
      </c>
      <c r="F153" s="5">
        <v>12000.0</v>
      </c>
      <c r="G153" s="6">
        <f t="shared" si="2"/>
        <v>0</v>
      </c>
    </row>
    <row r="154" ht="14.25" customHeight="1">
      <c r="A154" s="1"/>
      <c r="B154" s="2"/>
      <c r="C154" s="3" t="s">
        <v>9</v>
      </c>
      <c r="D154" s="4" t="s">
        <v>10</v>
      </c>
      <c r="E154" s="5">
        <v>0.0</v>
      </c>
      <c r="F154" s="20">
        <v>1200.0</v>
      </c>
      <c r="G154" s="6" t="str">
        <f t="shared" si="2"/>
        <v/>
      </c>
    </row>
    <row r="155" ht="14.25" customHeight="1">
      <c r="A155" s="1"/>
      <c r="B155" s="2"/>
      <c r="C155" s="3" t="s">
        <v>11</v>
      </c>
      <c r="D155" s="4" t="s">
        <v>12</v>
      </c>
      <c r="E155" s="5">
        <v>22500.0</v>
      </c>
      <c r="F155" s="5">
        <v>22500.0</v>
      </c>
      <c r="G155" s="6">
        <f t="shared" si="2"/>
        <v>0</v>
      </c>
    </row>
    <row r="156" ht="14.25" customHeight="1">
      <c r="A156" s="1"/>
      <c r="B156" s="2"/>
      <c r="C156" s="3" t="s">
        <v>13</v>
      </c>
      <c r="D156" s="21" t="s">
        <v>14</v>
      </c>
      <c r="E156" s="5">
        <v>28000.0</v>
      </c>
      <c r="F156" s="5">
        <v>28000.0</v>
      </c>
      <c r="G156" s="6">
        <f t="shared" si="2"/>
        <v>0</v>
      </c>
    </row>
    <row r="157" ht="14.25" customHeight="1">
      <c r="A157" s="1"/>
      <c r="B157" s="2"/>
      <c r="C157" s="3">
        <v>150.0</v>
      </c>
      <c r="D157" s="4" t="s">
        <v>15</v>
      </c>
      <c r="E157" s="5">
        <v>3000.0</v>
      </c>
      <c r="F157" s="5">
        <v>3000.0</v>
      </c>
      <c r="G157" s="6">
        <f t="shared" si="2"/>
        <v>0</v>
      </c>
    </row>
    <row r="158" ht="14.25" customHeight="1">
      <c r="A158" s="1"/>
      <c r="B158" s="2"/>
      <c r="C158" s="3" t="s">
        <v>26</v>
      </c>
      <c r="D158" s="4" t="s">
        <v>27</v>
      </c>
      <c r="E158" s="5">
        <v>110.0</v>
      </c>
      <c r="F158" s="5">
        <v>110.0</v>
      </c>
      <c r="G158" s="6">
        <f t="shared" si="2"/>
        <v>0</v>
      </c>
    </row>
    <row r="159" ht="14.25" customHeight="1">
      <c r="A159" s="1"/>
      <c r="B159" s="2"/>
      <c r="C159" s="3" t="s">
        <v>16</v>
      </c>
      <c r="D159" s="4" t="s">
        <v>17</v>
      </c>
      <c r="E159" s="5">
        <v>33100.0</v>
      </c>
      <c r="F159" s="5">
        <v>33100.0</v>
      </c>
      <c r="G159" s="6">
        <f t="shared" si="2"/>
        <v>0</v>
      </c>
    </row>
    <row r="160" ht="14.25" customHeight="1">
      <c r="A160" s="1"/>
      <c r="B160" s="22">
        <v>1700.0</v>
      </c>
      <c r="E160" s="23">
        <v>144310.0</v>
      </c>
      <c r="F160" s="23">
        <f>SUM(F150:F159)</f>
        <v>145510</v>
      </c>
      <c r="G160" s="6">
        <f t="shared" si="2"/>
        <v>0.008315432056</v>
      </c>
    </row>
    <row r="161" ht="14.25" customHeight="1">
      <c r="A161" s="1"/>
      <c r="B161" s="2"/>
      <c r="C161" s="54"/>
      <c r="D161" s="30"/>
      <c r="E161" s="32"/>
      <c r="F161" s="32"/>
      <c r="G161" s="6" t="str">
        <f t="shared" si="2"/>
        <v/>
      </c>
    </row>
    <row r="162" ht="14.25" customHeight="1">
      <c r="A162" s="1"/>
      <c r="B162" s="33">
        <v>1710.0</v>
      </c>
      <c r="C162" s="34"/>
      <c r="D162" s="35" t="s">
        <v>48</v>
      </c>
      <c r="E162" s="35">
        <v>2024.0</v>
      </c>
      <c r="F162" s="36">
        <v>2025.0</v>
      </c>
      <c r="G162" s="6">
        <f t="shared" si="2"/>
        <v>0.0004940711462</v>
      </c>
    </row>
    <row r="163" ht="14.25" customHeight="1">
      <c r="A163" s="1"/>
      <c r="B163" s="2"/>
      <c r="C163" s="3" t="s">
        <v>7</v>
      </c>
      <c r="D163" s="4" t="s">
        <v>8</v>
      </c>
      <c r="E163" s="5">
        <v>8400.0</v>
      </c>
      <c r="F163" s="5">
        <v>8400.0</v>
      </c>
      <c r="G163" s="6">
        <f t="shared" si="2"/>
        <v>0</v>
      </c>
    </row>
    <row r="164" ht="14.25" customHeight="1">
      <c r="A164" s="1"/>
      <c r="B164" s="2"/>
      <c r="C164" s="3" t="s">
        <v>43</v>
      </c>
      <c r="D164" s="4" t="s">
        <v>44</v>
      </c>
      <c r="E164" s="5">
        <v>0.0</v>
      </c>
      <c r="F164" s="5">
        <v>0.0</v>
      </c>
      <c r="G164" s="6" t="str">
        <f t="shared" si="2"/>
        <v/>
      </c>
    </row>
    <row r="165" ht="14.25" customHeight="1">
      <c r="A165" s="1"/>
      <c r="B165" s="2"/>
      <c r="C165" s="3" t="s">
        <v>9</v>
      </c>
      <c r="D165" s="4" t="s">
        <v>10</v>
      </c>
      <c r="E165" s="5">
        <v>0.0</v>
      </c>
      <c r="F165" s="5">
        <v>0.0</v>
      </c>
      <c r="G165" s="6" t="str">
        <f t="shared" si="2"/>
        <v/>
      </c>
    </row>
    <row r="166" ht="14.25" customHeight="1">
      <c r="A166" s="1"/>
      <c r="B166" s="2"/>
      <c r="C166" s="3" t="s">
        <v>11</v>
      </c>
      <c r="D166" s="4" t="s">
        <v>12</v>
      </c>
      <c r="E166" s="5">
        <v>5200.0</v>
      </c>
      <c r="F166" s="5">
        <v>5200.0</v>
      </c>
      <c r="G166" s="6">
        <f t="shared" si="2"/>
        <v>0</v>
      </c>
    </row>
    <row r="167" ht="14.25" customHeight="1">
      <c r="A167" s="1"/>
      <c r="B167" s="2"/>
      <c r="C167" s="3" t="s">
        <v>13</v>
      </c>
      <c r="D167" s="21" t="s">
        <v>14</v>
      </c>
      <c r="E167" s="5">
        <v>11700.0</v>
      </c>
      <c r="F167" s="5">
        <v>11700.0</v>
      </c>
      <c r="G167" s="6">
        <f t="shared" si="2"/>
        <v>0</v>
      </c>
    </row>
    <row r="168" ht="14.25" customHeight="1">
      <c r="A168" s="1"/>
      <c r="B168" s="2"/>
      <c r="C168" s="3">
        <v>150.0</v>
      </c>
      <c r="D168" s="4" t="s">
        <v>15</v>
      </c>
      <c r="E168" s="5">
        <v>5000.0</v>
      </c>
      <c r="F168" s="5">
        <v>5000.0</v>
      </c>
      <c r="G168" s="6">
        <f t="shared" si="2"/>
        <v>0</v>
      </c>
    </row>
    <row r="169" ht="14.25" customHeight="1">
      <c r="A169" s="1"/>
      <c r="B169" s="2"/>
      <c r="C169" s="3" t="s">
        <v>26</v>
      </c>
      <c r="D169" s="4" t="s">
        <v>27</v>
      </c>
      <c r="E169" s="5">
        <v>0.0</v>
      </c>
      <c r="F169" s="5">
        <v>0.0</v>
      </c>
      <c r="G169" s="6" t="str">
        <f t="shared" si="2"/>
        <v/>
      </c>
    </row>
    <row r="170" ht="14.25" customHeight="1">
      <c r="A170" s="1"/>
      <c r="B170" s="2"/>
      <c r="C170" s="3" t="s">
        <v>16</v>
      </c>
      <c r="D170" s="4" t="s">
        <v>17</v>
      </c>
      <c r="E170" s="5">
        <v>8000.0</v>
      </c>
      <c r="F170" s="5">
        <v>8000.0</v>
      </c>
      <c r="G170" s="6">
        <f t="shared" si="2"/>
        <v>0</v>
      </c>
    </row>
    <row r="171" ht="14.25" customHeight="1">
      <c r="A171" s="1"/>
      <c r="B171" s="22">
        <v>1710.0</v>
      </c>
      <c r="E171" s="23">
        <v>38300.0</v>
      </c>
      <c r="F171" s="23">
        <f>SUM(F163:F170)</f>
        <v>38300</v>
      </c>
      <c r="G171" s="6">
        <f t="shared" si="2"/>
        <v>0</v>
      </c>
    </row>
    <row r="172" ht="14.25" customHeight="1">
      <c r="A172" s="1"/>
      <c r="B172" s="2"/>
      <c r="C172" s="3"/>
      <c r="D172" s="4"/>
      <c r="E172" s="4"/>
      <c r="F172" s="4"/>
      <c r="G172" s="6" t="str">
        <f t="shared" si="2"/>
        <v/>
      </c>
    </row>
    <row r="173" ht="14.25" customHeight="1">
      <c r="A173" s="1"/>
      <c r="B173" s="33">
        <v>2210.0</v>
      </c>
      <c r="C173" s="34"/>
      <c r="D173" s="27" t="s">
        <v>49</v>
      </c>
      <c r="E173" s="35">
        <v>2024.0</v>
      </c>
      <c r="F173" s="36">
        <v>2025.0</v>
      </c>
      <c r="G173" s="6">
        <f t="shared" si="2"/>
        <v>0.0004940711462</v>
      </c>
    </row>
    <row r="174" ht="14.25" customHeight="1">
      <c r="A174" s="1"/>
      <c r="B174" s="2"/>
      <c r="C174" s="3" t="s">
        <v>50</v>
      </c>
      <c r="D174" s="41" t="s">
        <v>51</v>
      </c>
      <c r="E174" s="5">
        <v>40000.0</v>
      </c>
      <c r="F174" s="20">
        <v>30000.0</v>
      </c>
      <c r="G174" s="6">
        <f t="shared" si="2"/>
        <v>-0.25</v>
      </c>
    </row>
    <row r="175" ht="14.25" customHeight="1">
      <c r="A175" s="1"/>
      <c r="B175" s="2"/>
      <c r="C175" s="3" t="s">
        <v>52</v>
      </c>
      <c r="D175" s="4" t="s">
        <v>53</v>
      </c>
      <c r="E175" s="5">
        <v>10000.0</v>
      </c>
      <c r="F175" s="5">
        <v>10000.0</v>
      </c>
      <c r="G175" s="6">
        <f t="shared" si="2"/>
        <v>0</v>
      </c>
    </row>
    <row r="176" ht="14.25" customHeight="1">
      <c r="A176" s="1"/>
      <c r="B176" s="2"/>
      <c r="C176" s="3" t="s">
        <v>54</v>
      </c>
      <c r="D176" s="4" t="s">
        <v>55</v>
      </c>
      <c r="E176" s="5">
        <v>45000.0</v>
      </c>
      <c r="F176" s="20">
        <v>25000.0</v>
      </c>
      <c r="G176" s="6">
        <f t="shared" si="2"/>
        <v>-0.4444444444</v>
      </c>
    </row>
    <row r="177" ht="14.25" customHeight="1">
      <c r="A177" s="1"/>
      <c r="B177" s="2"/>
      <c r="C177" s="3" t="s">
        <v>56</v>
      </c>
      <c r="D177" s="4" t="s">
        <v>57</v>
      </c>
      <c r="E177" s="5">
        <v>15000.0</v>
      </c>
      <c r="F177" s="5">
        <v>15000.0</v>
      </c>
      <c r="G177" s="6">
        <f t="shared" si="2"/>
        <v>0</v>
      </c>
    </row>
    <row r="178" ht="14.25" customHeight="1">
      <c r="A178" s="1"/>
      <c r="B178" s="2"/>
      <c r="C178" s="3" t="s">
        <v>58</v>
      </c>
      <c r="D178" s="4" t="s">
        <v>59</v>
      </c>
      <c r="E178" s="5">
        <v>9000.0</v>
      </c>
      <c r="F178" s="5">
        <v>9000.0</v>
      </c>
      <c r="G178" s="6">
        <f t="shared" si="2"/>
        <v>0</v>
      </c>
    </row>
    <row r="179" ht="14.25" customHeight="1">
      <c r="A179" s="1"/>
      <c r="B179" s="2"/>
      <c r="C179" s="3" t="s">
        <v>60</v>
      </c>
      <c r="D179" s="4" t="s">
        <v>61</v>
      </c>
      <c r="E179" s="5">
        <v>12000.0</v>
      </c>
      <c r="F179" s="5">
        <v>12000.0</v>
      </c>
      <c r="G179" s="6">
        <f t="shared" si="2"/>
        <v>0</v>
      </c>
    </row>
    <row r="180" ht="14.25" customHeight="1">
      <c r="A180" s="1"/>
      <c r="B180" s="22">
        <v>2210.0</v>
      </c>
      <c r="E180" s="23">
        <v>131000.0</v>
      </c>
      <c r="F180" s="23">
        <f>SUM(F174:F179)</f>
        <v>101000</v>
      </c>
      <c r="G180" s="6">
        <f t="shared" si="2"/>
        <v>-0.2290076336</v>
      </c>
    </row>
    <row r="181" ht="14.25" customHeight="1">
      <c r="A181" s="1"/>
      <c r="B181" s="2"/>
      <c r="C181" s="3"/>
      <c r="D181" s="4"/>
      <c r="E181" s="4"/>
      <c r="F181" s="4"/>
      <c r="G181" s="6" t="str">
        <f t="shared" si="2"/>
        <v/>
      </c>
    </row>
    <row r="182" ht="14.25" customHeight="1">
      <c r="A182" s="1"/>
      <c r="B182" s="33">
        <v>2310.0</v>
      </c>
      <c r="C182" s="34"/>
      <c r="D182" s="35" t="s">
        <v>62</v>
      </c>
      <c r="E182" s="35">
        <v>2024.0</v>
      </c>
      <c r="F182" s="36">
        <v>2025.0</v>
      </c>
      <c r="G182" s="6">
        <f t="shared" si="2"/>
        <v>0.0004940711462</v>
      </c>
    </row>
    <row r="183" ht="14.25" customHeight="1">
      <c r="A183" s="1"/>
      <c r="B183" s="2"/>
      <c r="C183" s="3" t="s">
        <v>7</v>
      </c>
      <c r="D183" s="4" t="s">
        <v>8</v>
      </c>
      <c r="E183" s="5">
        <v>24500.0</v>
      </c>
      <c r="F183" s="5">
        <v>24500.0</v>
      </c>
      <c r="G183" s="6">
        <f t="shared" si="2"/>
        <v>0</v>
      </c>
    </row>
    <row r="184" ht="14.25" customHeight="1">
      <c r="A184" s="1"/>
      <c r="B184" s="2"/>
      <c r="C184" s="3" t="s">
        <v>9</v>
      </c>
      <c r="D184" s="4" t="s">
        <v>10</v>
      </c>
      <c r="E184" s="5">
        <v>300.0</v>
      </c>
      <c r="F184" s="20">
        <v>600.0</v>
      </c>
      <c r="G184" s="6">
        <f t="shared" si="2"/>
        <v>1</v>
      </c>
    </row>
    <row r="185" ht="14.25" customHeight="1">
      <c r="A185" s="1"/>
      <c r="B185" s="2"/>
      <c r="C185" s="3" t="s">
        <v>11</v>
      </c>
      <c r="D185" s="4" t="s">
        <v>12</v>
      </c>
      <c r="E185" s="5">
        <v>11000.0</v>
      </c>
      <c r="F185" s="5">
        <v>11000.0</v>
      </c>
      <c r="G185" s="6">
        <f t="shared" si="2"/>
        <v>0</v>
      </c>
    </row>
    <row r="186" ht="14.25" customHeight="1">
      <c r="A186" s="1"/>
      <c r="B186" s="2"/>
      <c r="C186" s="3" t="s">
        <v>13</v>
      </c>
      <c r="D186" s="21" t="s">
        <v>14</v>
      </c>
      <c r="E186" s="5">
        <v>15000.0</v>
      </c>
      <c r="F186" s="5">
        <v>15000.0</v>
      </c>
      <c r="G186" s="6">
        <f t="shared" si="2"/>
        <v>0</v>
      </c>
    </row>
    <row r="187" ht="14.25" customHeight="1">
      <c r="A187" s="1"/>
      <c r="B187" s="2"/>
      <c r="C187" s="3">
        <v>150.0</v>
      </c>
      <c r="D187" s="4" t="s">
        <v>15</v>
      </c>
      <c r="E187" s="5">
        <v>1500.0</v>
      </c>
      <c r="F187" s="5">
        <v>1500.0</v>
      </c>
      <c r="G187" s="6">
        <f t="shared" si="2"/>
        <v>0</v>
      </c>
    </row>
    <row r="188" ht="14.25" customHeight="1">
      <c r="A188" s="1"/>
      <c r="B188" s="2"/>
      <c r="C188" s="3" t="s">
        <v>26</v>
      </c>
      <c r="D188" s="4" t="s">
        <v>27</v>
      </c>
      <c r="E188" s="5">
        <v>110.0</v>
      </c>
      <c r="F188" s="5">
        <v>110.0</v>
      </c>
      <c r="G188" s="6">
        <f t="shared" si="2"/>
        <v>0</v>
      </c>
    </row>
    <row r="189" ht="14.25" customHeight="1">
      <c r="A189" s="1"/>
      <c r="B189" s="2"/>
      <c r="C189" s="3" t="s">
        <v>16</v>
      </c>
      <c r="D189" s="4" t="s">
        <v>17</v>
      </c>
      <c r="E189" s="5">
        <v>18000.0</v>
      </c>
      <c r="F189" s="5">
        <v>18000.0</v>
      </c>
      <c r="G189" s="6">
        <f t="shared" si="2"/>
        <v>0</v>
      </c>
    </row>
    <row r="190" ht="14.25" customHeight="1">
      <c r="A190" s="1"/>
      <c r="B190" s="2"/>
      <c r="C190" s="3" t="s">
        <v>37</v>
      </c>
      <c r="D190" s="41" t="s">
        <v>19</v>
      </c>
      <c r="E190" s="5">
        <v>25500.0</v>
      </c>
      <c r="F190" s="5">
        <v>25500.0</v>
      </c>
      <c r="G190" s="6">
        <f t="shared" si="2"/>
        <v>0</v>
      </c>
    </row>
    <row r="191" ht="14.25" customHeight="1">
      <c r="A191" s="1"/>
      <c r="B191" s="2"/>
      <c r="C191" s="3" t="s">
        <v>38</v>
      </c>
      <c r="D191" s="4" t="s">
        <v>34</v>
      </c>
      <c r="E191" s="5">
        <v>4100.0</v>
      </c>
      <c r="F191" s="5">
        <v>4100.0</v>
      </c>
      <c r="G191" s="6">
        <f t="shared" si="2"/>
        <v>0</v>
      </c>
    </row>
    <row r="192" ht="14.25" customHeight="1">
      <c r="A192" s="1"/>
      <c r="B192" s="2"/>
      <c r="C192" s="3" t="s">
        <v>39</v>
      </c>
      <c r="D192" s="4" t="s">
        <v>21</v>
      </c>
      <c r="E192" s="5">
        <v>8000.0</v>
      </c>
      <c r="F192" s="5">
        <v>8000.0</v>
      </c>
      <c r="G192" s="6">
        <f t="shared" si="2"/>
        <v>0</v>
      </c>
    </row>
    <row r="193" ht="14.25" customHeight="1">
      <c r="A193" s="1"/>
      <c r="B193" s="2"/>
      <c r="C193" s="3" t="s">
        <v>40</v>
      </c>
      <c r="D193" s="4" t="s">
        <v>17</v>
      </c>
      <c r="E193" s="5">
        <v>11500.0</v>
      </c>
      <c r="F193" s="5">
        <v>11500.0</v>
      </c>
      <c r="G193" s="6">
        <f t="shared" si="2"/>
        <v>0</v>
      </c>
    </row>
    <row r="194" ht="14.25" customHeight="1">
      <c r="A194" s="1"/>
      <c r="B194" s="2"/>
      <c r="C194" s="3" t="s">
        <v>18</v>
      </c>
      <c r="D194" s="4" t="s">
        <v>19</v>
      </c>
      <c r="E194" s="5">
        <v>80000.0</v>
      </c>
      <c r="F194" s="5">
        <v>80000.0</v>
      </c>
      <c r="G194" s="6">
        <f t="shared" si="2"/>
        <v>0</v>
      </c>
    </row>
    <row r="195" ht="14.25" customHeight="1">
      <c r="A195" s="1"/>
      <c r="B195" s="2"/>
      <c r="C195" s="3" t="s">
        <v>20</v>
      </c>
      <c r="D195" s="4" t="s">
        <v>21</v>
      </c>
      <c r="E195" s="5">
        <v>25000.0</v>
      </c>
      <c r="F195" s="5">
        <v>25000.0</v>
      </c>
      <c r="G195" s="6">
        <f t="shared" si="2"/>
        <v>0</v>
      </c>
    </row>
    <row r="196" ht="14.25" customHeight="1">
      <c r="A196" s="1"/>
      <c r="B196" s="2"/>
      <c r="C196" s="3" t="s">
        <v>22</v>
      </c>
      <c r="D196" s="4" t="s">
        <v>17</v>
      </c>
      <c r="E196" s="5">
        <v>31500.0</v>
      </c>
      <c r="F196" s="5">
        <v>31500.0</v>
      </c>
      <c r="G196" s="6">
        <f t="shared" si="2"/>
        <v>0</v>
      </c>
    </row>
    <row r="197" ht="14.25" customHeight="1">
      <c r="A197" s="1"/>
      <c r="B197" s="22">
        <v>2310.0</v>
      </c>
      <c r="E197" s="23">
        <v>256010.0</v>
      </c>
      <c r="F197" s="23">
        <f>SUM(F183:F196)</f>
        <v>256310</v>
      </c>
      <c r="G197" s="6">
        <f t="shared" si="2"/>
        <v>0.001171829225</v>
      </c>
    </row>
    <row r="198" ht="14.25" customHeight="1">
      <c r="A198" s="1"/>
      <c r="B198" s="2"/>
      <c r="C198" s="3"/>
      <c r="D198" s="4"/>
      <c r="E198" s="5"/>
      <c r="F198" s="5"/>
      <c r="G198" s="6" t="str">
        <f t="shared" si="2"/>
        <v/>
      </c>
    </row>
    <row r="199" ht="14.25" customHeight="1">
      <c r="A199" s="1"/>
      <c r="B199" s="33">
        <v>2311.0</v>
      </c>
      <c r="C199" s="34"/>
      <c r="D199" s="35" t="s">
        <v>63</v>
      </c>
      <c r="E199" s="35">
        <v>2024.0</v>
      </c>
      <c r="F199" s="36">
        <v>2025.0</v>
      </c>
      <c r="G199" s="6">
        <f t="shared" si="2"/>
        <v>0.0004940711462</v>
      </c>
    </row>
    <row r="200" ht="14.25" customHeight="1">
      <c r="A200" s="1"/>
      <c r="B200" s="2"/>
      <c r="C200" s="3" t="s">
        <v>29</v>
      </c>
      <c r="D200" s="4" t="s">
        <v>30</v>
      </c>
      <c r="E200" s="5">
        <v>14500.0</v>
      </c>
      <c r="F200" s="5">
        <v>14500.0</v>
      </c>
      <c r="G200" s="6">
        <f t="shared" si="2"/>
        <v>0</v>
      </c>
    </row>
    <row r="201" ht="14.25" customHeight="1">
      <c r="A201" s="1"/>
      <c r="B201" s="2"/>
      <c r="C201" s="3" t="s">
        <v>24</v>
      </c>
      <c r="D201" s="4" t="s">
        <v>25</v>
      </c>
      <c r="E201" s="5">
        <v>78500.0</v>
      </c>
      <c r="F201" s="5">
        <f>36000+42500</f>
        <v>78500</v>
      </c>
      <c r="G201" s="6">
        <f t="shared" si="2"/>
        <v>0</v>
      </c>
    </row>
    <row r="202" ht="14.25" customHeight="1">
      <c r="A202" s="1"/>
      <c r="B202" s="2"/>
      <c r="C202" s="3" t="s">
        <v>9</v>
      </c>
      <c r="D202" s="4" t="s">
        <v>10</v>
      </c>
      <c r="E202" s="5">
        <v>4400.0</v>
      </c>
      <c r="F202" s="20">
        <v>14400.0</v>
      </c>
      <c r="G202" s="6">
        <f t="shared" si="2"/>
        <v>2.272727273</v>
      </c>
    </row>
    <row r="203" ht="14.25" customHeight="1">
      <c r="A203" s="1"/>
      <c r="B203" s="2"/>
      <c r="C203" s="3" t="s">
        <v>11</v>
      </c>
      <c r="D203" s="4" t="s">
        <v>12</v>
      </c>
      <c r="E203" s="5">
        <v>30762.5</v>
      </c>
      <c r="F203" s="5">
        <f>17000+13762.5</f>
        <v>30762.5</v>
      </c>
      <c r="G203" s="6">
        <f t="shared" si="2"/>
        <v>0</v>
      </c>
    </row>
    <row r="204" ht="14.25" customHeight="1">
      <c r="A204" s="1"/>
      <c r="B204" s="2"/>
      <c r="C204" s="3" t="s">
        <v>13</v>
      </c>
      <c r="D204" s="21" t="s">
        <v>14</v>
      </c>
      <c r="E204" s="5">
        <v>34750.0</v>
      </c>
      <c r="F204" s="5">
        <f>18500+16250</f>
        <v>34750</v>
      </c>
      <c r="G204" s="6">
        <f t="shared" si="2"/>
        <v>0</v>
      </c>
    </row>
    <row r="205" ht="14.25" customHeight="1">
      <c r="A205" s="1"/>
      <c r="B205" s="2"/>
      <c r="C205" s="3">
        <v>150.0</v>
      </c>
      <c r="D205" s="4" t="s">
        <v>15</v>
      </c>
      <c r="E205" s="5">
        <v>3725.0</v>
      </c>
      <c r="F205" s="5">
        <f>2100+1625</f>
        <v>3725</v>
      </c>
      <c r="G205" s="6">
        <f t="shared" si="2"/>
        <v>0</v>
      </c>
    </row>
    <row r="206" ht="14.25" customHeight="1">
      <c r="A206" s="1"/>
      <c r="B206" s="2"/>
      <c r="C206" s="3" t="s">
        <v>26</v>
      </c>
      <c r="D206" s="4" t="s">
        <v>27</v>
      </c>
      <c r="E206" s="5">
        <v>110.0</v>
      </c>
      <c r="F206" s="20">
        <v>5000.0</v>
      </c>
      <c r="G206" s="6">
        <f t="shared" si="2"/>
        <v>44.45454545</v>
      </c>
    </row>
    <row r="207" ht="14.25" customHeight="1">
      <c r="A207" s="1"/>
      <c r="B207" s="2"/>
      <c r="C207" s="3" t="s">
        <v>16</v>
      </c>
      <c r="D207" s="4" t="s">
        <v>17</v>
      </c>
      <c r="E207" s="5">
        <v>50250.0</v>
      </c>
      <c r="F207" s="5">
        <f>26500+23750</f>
        <v>50250</v>
      </c>
      <c r="G207" s="6">
        <f t="shared" si="2"/>
        <v>0</v>
      </c>
    </row>
    <row r="208" ht="14.25" customHeight="1">
      <c r="A208" s="1"/>
      <c r="B208" s="2"/>
      <c r="C208" s="3" t="s">
        <v>37</v>
      </c>
      <c r="D208" s="41" t="s">
        <v>19</v>
      </c>
      <c r="E208" s="5">
        <v>51000.0</v>
      </c>
      <c r="F208" s="5">
        <v>51000.0</v>
      </c>
      <c r="G208" s="6">
        <f t="shared" si="2"/>
        <v>0</v>
      </c>
    </row>
    <row r="209" ht="14.25" customHeight="1">
      <c r="A209" s="1"/>
      <c r="B209" s="2"/>
      <c r="C209" s="3" t="s">
        <v>38</v>
      </c>
      <c r="D209" s="4" t="s">
        <v>34</v>
      </c>
      <c r="E209" s="5">
        <v>3100.0</v>
      </c>
      <c r="F209" s="20">
        <v>10000.0</v>
      </c>
      <c r="G209" s="6">
        <f t="shared" si="2"/>
        <v>2.225806452</v>
      </c>
    </row>
    <row r="210" ht="14.25" customHeight="1">
      <c r="A210" s="1"/>
      <c r="B210" s="2"/>
      <c r="C210" s="3" t="s">
        <v>39</v>
      </c>
      <c r="D210" s="4" t="s">
        <v>21</v>
      </c>
      <c r="E210" s="5">
        <v>14000.0</v>
      </c>
      <c r="F210" s="5">
        <v>14000.0</v>
      </c>
      <c r="G210" s="6">
        <f t="shared" si="2"/>
        <v>0</v>
      </c>
    </row>
    <row r="211" ht="14.25" customHeight="1">
      <c r="A211" s="1"/>
      <c r="B211" s="2"/>
      <c r="C211" s="3" t="s">
        <v>40</v>
      </c>
      <c r="D211" s="4" t="s">
        <v>17</v>
      </c>
      <c r="E211" s="5">
        <v>20000.0</v>
      </c>
      <c r="F211" s="5">
        <v>20000.0</v>
      </c>
      <c r="G211" s="6">
        <f t="shared" si="2"/>
        <v>0</v>
      </c>
    </row>
    <row r="212" ht="14.25" customHeight="1">
      <c r="A212" s="1"/>
      <c r="B212" s="2"/>
      <c r="C212" s="3" t="s">
        <v>18</v>
      </c>
      <c r="D212" s="4" t="s">
        <v>19</v>
      </c>
      <c r="E212" s="5">
        <v>930000.0</v>
      </c>
      <c r="F212" s="5">
        <v>930000.0</v>
      </c>
      <c r="G212" s="6">
        <f t="shared" si="2"/>
        <v>0</v>
      </c>
    </row>
    <row r="213" ht="14.25" customHeight="1">
      <c r="A213" s="1"/>
      <c r="B213" s="2"/>
      <c r="C213" s="3" t="s">
        <v>20</v>
      </c>
      <c r="D213" s="4" t="s">
        <v>21</v>
      </c>
      <c r="E213" s="5">
        <v>260000.0</v>
      </c>
      <c r="F213" s="5">
        <v>260000.0</v>
      </c>
      <c r="G213" s="6">
        <f t="shared" si="2"/>
        <v>0</v>
      </c>
    </row>
    <row r="214" ht="14.25" customHeight="1">
      <c r="A214" s="1"/>
      <c r="B214" s="2"/>
      <c r="C214" s="3" t="s">
        <v>22</v>
      </c>
      <c r="D214" s="4" t="s">
        <v>17</v>
      </c>
      <c r="E214" s="5">
        <v>343000.0</v>
      </c>
      <c r="F214" s="5">
        <v>343000.0</v>
      </c>
      <c r="G214" s="6">
        <f t="shared" si="2"/>
        <v>0</v>
      </c>
    </row>
    <row r="215" ht="14.25" customHeight="1">
      <c r="A215" s="1"/>
      <c r="B215" s="22">
        <v>2311.0</v>
      </c>
      <c r="E215" s="23">
        <v>1838097.5</v>
      </c>
      <c r="F215" s="23">
        <f>SUM(F200:F214)</f>
        <v>1859887.5</v>
      </c>
      <c r="G215" s="6">
        <f t="shared" si="2"/>
        <v>0.01185464862</v>
      </c>
    </row>
    <row r="216" ht="14.25" customHeight="1">
      <c r="A216" s="1"/>
      <c r="B216" s="2"/>
      <c r="C216" s="3"/>
      <c r="D216" s="4"/>
      <c r="E216" s="5"/>
      <c r="F216" s="5"/>
      <c r="G216" s="6" t="str">
        <f t="shared" si="2"/>
        <v/>
      </c>
    </row>
    <row r="217" ht="14.25" customHeight="1">
      <c r="A217" s="1"/>
      <c r="B217" s="33">
        <v>2411.0</v>
      </c>
      <c r="C217" s="34"/>
      <c r="D217" s="27" t="s">
        <v>64</v>
      </c>
      <c r="E217" s="35">
        <v>2024.0</v>
      </c>
      <c r="F217" s="36">
        <v>2025.0</v>
      </c>
      <c r="G217" s="6">
        <f t="shared" si="2"/>
        <v>0.0004940711462</v>
      </c>
    </row>
    <row r="218" ht="14.25" customHeight="1">
      <c r="A218" s="1"/>
      <c r="B218" s="2"/>
      <c r="C218" s="3" t="s">
        <v>18</v>
      </c>
      <c r="D218" s="4" t="s">
        <v>19</v>
      </c>
      <c r="E218" s="5">
        <v>150000.0</v>
      </c>
      <c r="F218" s="5">
        <v>150000.0</v>
      </c>
      <c r="G218" s="6">
        <f t="shared" si="2"/>
        <v>0</v>
      </c>
    </row>
    <row r="219" ht="14.25" customHeight="1">
      <c r="A219" s="1"/>
      <c r="B219" s="2"/>
      <c r="C219" s="3" t="s">
        <v>22</v>
      </c>
      <c r="D219" s="4" t="s">
        <v>17</v>
      </c>
      <c r="E219" s="5">
        <v>79000.0</v>
      </c>
      <c r="F219" s="5">
        <v>79000.0</v>
      </c>
      <c r="G219" s="6">
        <f t="shared" si="2"/>
        <v>0</v>
      </c>
    </row>
    <row r="220" ht="14.25" customHeight="1">
      <c r="A220" s="1"/>
      <c r="B220" s="22">
        <v>2411.0</v>
      </c>
      <c r="E220" s="23">
        <v>229000.0</v>
      </c>
      <c r="F220" s="23">
        <f>SUM(F218:F219)</f>
        <v>229000</v>
      </c>
      <c r="G220" s="6">
        <f t="shared" si="2"/>
        <v>0</v>
      </c>
    </row>
    <row r="221" ht="14.25" customHeight="1">
      <c r="A221" s="1"/>
      <c r="B221" s="2"/>
      <c r="C221" s="3"/>
      <c r="D221" s="4"/>
      <c r="E221" s="5"/>
      <c r="F221" s="5"/>
      <c r="G221" s="6" t="str">
        <f t="shared" si="2"/>
        <v/>
      </c>
    </row>
    <row r="222" ht="14.25" customHeight="1">
      <c r="A222" s="1"/>
      <c r="B222" s="33">
        <v>3200.0</v>
      </c>
      <c r="C222" s="34"/>
      <c r="D222" s="27" t="s">
        <v>65</v>
      </c>
      <c r="E222" s="35">
        <v>2024.0</v>
      </c>
      <c r="F222" s="36">
        <v>2025.0</v>
      </c>
      <c r="G222" s="6">
        <f t="shared" si="2"/>
        <v>0.0004940711462</v>
      </c>
    </row>
    <row r="223" ht="14.25" customHeight="1">
      <c r="A223" s="1"/>
      <c r="B223" s="2"/>
      <c r="C223" s="3" t="s">
        <v>5</v>
      </c>
      <c r="D223" s="4" t="s">
        <v>6</v>
      </c>
      <c r="E223" s="5">
        <v>15300.0</v>
      </c>
      <c r="F223" s="5">
        <v>15300.0</v>
      </c>
      <c r="G223" s="6">
        <f t="shared" si="2"/>
        <v>0</v>
      </c>
    </row>
    <row r="224" ht="14.25" customHeight="1">
      <c r="A224" s="1"/>
      <c r="B224" s="2"/>
      <c r="C224" s="3" t="s">
        <v>9</v>
      </c>
      <c r="D224" s="4" t="s">
        <v>10</v>
      </c>
      <c r="E224" s="5">
        <v>3600.0</v>
      </c>
      <c r="F224" s="20">
        <v>4050.0</v>
      </c>
      <c r="G224" s="6">
        <f t="shared" si="2"/>
        <v>0.125</v>
      </c>
    </row>
    <row r="225" ht="14.25" customHeight="1">
      <c r="A225" s="1"/>
      <c r="B225" s="2"/>
      <c r="C225" s="3" t="s">
        <v>11</v>
      </c>
      <c r="D225" s="4" t="s">
        <v>12</v>
      </c>
      <c r="E225" s="5">
        <v>6500.0</v>
      </c>
      <c r="F225" s="5">
        <v>6500.0</v>
      </c>
      <c r="G225" s="6">
        <f t="shared" si="2"/>
        <v>0</v>
      </c>
    </row>
    <row r="226" ht="14.25" customHeight="1">
      <c r="A226" s="1"/>
      <c r="B226" s="2"/>
      <c r="C226" s="3" t="s">
        <v>13</v>
      </c>
      <c r="D226" s="21" t="s">
        <v>14</v>
      </c>
      <c r="E226" s="5">
        <v>11000.0</v>
      </c>
      <c r="F226" s="5">
        <v>11000.0</v>
      </c>
      <c r="G226" s="6">
        <f t="shared" si="2"/>
        <v>0</v>
      </c>
    </row>
    <row r="227" ht="14.25" customHeight="1">
      <c r="A227" s="1"/>
      <c r="B227" s="2"/>
      <c r="C227" s="3" t="s">
        <v>37</v>
      </c>
      <c r="D227" s="41" t="s">
        <v>19</v>
      </c>
      <c r="E227" s="5">
        <v>37000.0</v>
      </c>
      <c r="F227" s="5">
        <v>37000.0</v>
      </c>
      <c r="G227" s="6">
        <f t="shared" si="2"/>
        <v>0</v>
      </c>
    </row>
    <row r="228" ht="14.25" customHeight="1">
      <c r="A228" s="1"/>
      <c r="B228" s="2"/>
      <c r="C228" s="3" t="s">
        <v>38</v>
      </c>
      <c r="D228" s="4" t="s">
        <v>34</v>
      </c>
      <c r="E228" s="5">
        <v>1050.0</v>
      </c>
      <c r="F228" s="20">
        <v>1500.0</v>
      </c>
      <c r="G228" s="6">
        <f t="shared" si="2"/>
        <v>0.4285714286</v>
      </c>
    </row>
    <row r="229" ht="14.25" customHeight="1">
      <c r="A229" s="1"/>
      <c r="B229" s="2"/>
      <c r="C229" s="3" t="s">
        <v>39</v>
      </c>
      <c r="D229" s="4" t="s">
        <v>21</v>
      </c>
      <c r="E229" s="5">
        <v>11000.0</v>
      </c>
      <c r="F229" s="5">
        <v>11000.0</v>
      </c>
      <c r="G229" s="6">
        <f t="shared" si="2"/>
        <v>0</v>
      </c>
    </row>
    <row r="230" ht="14.25" customHeight="1">
      <c r="A230" s="1"/>
      <c r="B230" s="2"/>
      <c r="C230" s="3" t="s">
        <v>18</v>
      </c>
      <c r="D230" s="4" t="s">
        <v>19</v>
      </c>
      <c r="E230" s="5">
        <v>56000.0</v>
      </c>
      <c r="F230" s="5">
        <v>56000.0</v>
      </c>
      <c r="G230" s="6">
        <f t="shared" si="2"/>
        <v>0</v>
      </c>
    </row>
    <row r="231" ht="14.25" customHeight="1">
      <c r="A231" s="1"/>
      <c r="B231" s="2"/>
      <c r="C231" s="3" t="s">
        <v>20</v>
      </c>
      <c r="D231" s="4" t="s">
        <v>21</v>
      </c>
      <c r="E231" s="55">
        <v>16000.0</v>
      </c>
      <c r="F231" s="5">
        <v>16000.0</v>
      </c>
      <c r="G231" s="6">
        <f t="shared" si="2"/>
        <v>0</v>
      </c>
    </row>
    <row r="232" ht="14.25" customHeight="1">
      <c r="A232" s="1"/>
      <c r="B232" s="2"/>
      <c r="C232" s="3">
        <v>150.0</v>
      </c>
      <c r="D232" s="4" t="s">
        <v>15</v>
      </c>
      <c r="E232" s="55">
        <v>670.0</v>
      </c>
      <c r="F232" s="5">
        <v>670.0</v>
      </c>
      <c r="G232" s="6">
        <f t="shared" si="2"/>
        <v>0</v>
      </c>
    </row>
    <row r="233" ht="14.25" customHeight="1">
      <c r="A233" s="1"/>
      <c r="B233" s="2"/>
      <c r="C233" s="37" t="s">
        <v>26</v>
      </c>
      <c r="D233" s="21" t="s">
        <v>27</v>
      </c>
      <c r="E233" s="39">
        <v>0.0</v>
      </c>
      <c r="F233" s="20">
        <v>2000.0</v>
      </c>
      <c r="G233" s="6" t="str">
        <f t="shared" si="2"/>
        <v/>
      </c>
    </row>
    <row r="234" ht="14.25" customHeight="1">
      <c r="A234" s="1"/>
      <c r="B234" s="2"/>
      <c r="C234" s="3" t="s">
        <v>16</v>
      </c>
      <c r="D234" s="4" t="s">
        <v>17</v>
      </c>
      <c r="E234" s="55">
        <v>9600.0</v>
      </c>
      <c r="F234" s="20">
        <v>10200.0</v>
      </c>
      <c r="G234" s="6">
        <f t="shared" si="2"/>
        <v>0.0625</v>
      </c>
    </row>
    <row r="235" ht="14.25" customHeight="1">
      <c r="A235" s="1"/>
      <c r="B235" s="2"/>
      <c r="C235" s="3" t="s">
        <v>40</v>
      </c>
      <c r="D235" s="4" t="s">
        <v>17</v>
      </c>
      <c r="E235" s="5">
        <v>13500.0</v>
      </c>
      <c r="F235" s="5">
        <v>13500.0</v>
      </c>
      <c r="G235" s="6">
        <f t="shared" si="2"/>
        <v>0</v>
      </c>
    </row>
    <row r="236" ht="14.25" customHeight="1">
      <c r="A236" s="1"/>
      <c r="B236" s="2"/>
      <c r="C236" s="3" t="s">
        <v>22</v>
      </c>
      <c r="D236" s="4" t="s">
        <v>17</v>
      </c>
      <c r="E236" s="5">
        <v>20000.0</v>
      </c>
      <c r="F236" s="5">
        <v>20000.0</v>
      </c>
      <c r="G236" s="6">
        <f t="shared" si="2"/>
        <v>0</v>
      </c>
    </row>
    <row r="237" ht="14.25" customHeight="1">
      <c r="A237" s="1"/>
      <c r="B237" s="22">
        <v>3200.0</v>
      </c>
      <c r="E237" s="23">
        <v>201220.0</v>
      </c>
      <c r="F237" s="23">
        <f>SUM(F223:F236)</f>
        <v>204720</v>
      </c>
      <c r="G237" s="6">
        <f t="shared" si="2"/>
        <v>0.01739389723</v>
      </c>
    </row>
    <row r="238" ht="14.25" customHeight="1">
      <c r="A238" s="1"/>
      <c r="B238" s="22"/>
      <c r="C238" s="4"/>
      <c r="D238" s="4"/>
      <c r="E238" s="32"/>
      <c r="F238" s="32"/>
      <c r="G238" s="6" t="str">
        <f t="shared" si="2"/>
        <v/>
      </c>
    </row>
    <row r="239" ht="14.25" customHeight="1">
      <c r="A239" s="1"/>
      <c r="B239" s="33">
        <v>3261.0</v>
      </c>
      <c r="C239" s="34"/>
      <c r="D239" s="27" t="s">
        <v>66</v>
      </c>
      <c r="E239" s="35">
        <v>2024.0</v>
      </c>
      <c r="F239" s="36">
        <v>2025.0</v>
      </c>
      <c r="G239" s="6">
        <f t="shared" si="2"/>
        <v>0.0004940711462</v>
      </c>
    </row>
    <row r="240" ht="14.25" customHeight="1">
      <c r="A240" s="1"/>
      <c r="B240" s="2"/>
      <c r="C240" s="3" t="s">
        <v>18</v>
      </c>
      <c r="D240" s="4" t="s">
        <v>19</v>
      </c>
      <c r="E240" s="5">
        <v>390000.0</v>
      </c>
      <c r="F240" s="20">
        <v>360000.0</v>
      </c>
      <c r="G240" s="6">
        <f t="shared" si="2"/>
        <v>-0.07692307692</v>
      </c>
    </row>
    <row r="241" ht="14.25" customHeight="1">
      <c r="A241" s="1"/>
      <c r="B241" s="2"/>
      <c r="C241" s="3" t="s">
        <v>33</v>
      </c>
      <c r="D241" s="4" t="s">
        <v>34</v>
      </c>
      <c r="E241" s="5">
        <v>2100.0</v>
      </c>
      <c r="F241" s="5">
        <v>2100.0</v>
      </c>
      <c r="G241" s="6">
        <f t="shared" si="2"/>
        <v>0</v>
      </c>
    </row>
    <row r="242" ht="14.25" customHeight="1">
      <c r="A242" s="1"/>
      <c r="B242" s="2"/>
      <c r="C242" s="3" t="s">
        <v>20</v>
      </c>
      <c r="D242" s="4" t="s">
        <v>21</v>
      </c>
      <c r="E242" s="5">
        <v>36500.0</v>
      </c>
      <c r="F242" s="20">
        <v>35000.0</v>
      </c>
      <c r="G242" s="6">
        <f t="shared" si="2"/>
        <v>-0.04109589041</v>
      </c>
    </row>
    <row r="243" ht="14.25" customHeight="1">
      <c r="A243" s="1"/>
      <c r="B243" s="2"/>
      <c r="C243" s="3" t="s">
        <v>22</v>
      </c>
      <c r="D243" s="4" t="s">
        <v>17</v>
      </c>
      <c r="E243" s="5">
        <v>137000.0</v>
      </c>
      <c r="F243" s="20">
        <v>130000.0</v>
      </c>
      <c r="G243" s="6">
        <f t="shared" si="2"/>
        <v>-0.05109489051</v>
      </c>
    </row>
    <row r="244" ht="14.25" customHeight="1">
      <c r="A244" s="1"/>
      <c r="B244" s="22">
        <v>3261.0</v>
      </c>
      <c r="E244" s="23">
        <v>565600.0</v>
      </c>
      <c r="F244" s="23">
        <f>SUM(F240:F243)</f>
        <v>527100</v>
      </c>
      <c r="G244" s="6">
        <f t="shared" si="2"/>
        <v>-0.06806930693</v>
      </c>
    </row>
    <row r="245" ht="14.25" customHeight="1">
      <c r="A245" s="1"/>
      <c r="B245" s="22"/>
      <c r="C245" s="4"/>
      <c r="D245" s="4"/>
      <c r="E245" s="32"/>
      <c r="F245" s="32"/>
      <c r="G245" s="6" t="str">
        <f t="shared" si="2"/>
        <v/>
      </c>
    </row>
    <row r="246" ht="14.25" customHeight="1">
      <c r="A246" s="1"/>
      <c r="B246" s="33">
        <v>3262.0</v>
      </c>
      <c r="C246" s="34"/>
      <c r="D246" s="35" t="s">
        <v>67</v>
      </c>
      <c r="E246" s="35">
        <v>2024.0</v>
      </c>
      <c r="F246" s="36">
        <v>2025.0</v>
      </c>
      <c r="G246" s="6">
        <f t="shared" si="2"/>
        <v>0.0004940711462</v>
      </c>
    </row>
    <row r="247" ht="14.25" customHeight="1">
      <c r="A247" s="1"/>
      <c r="B247" s="2"/>
      <c r="C247" s="3" t="s">
        <v>18</v>
      </c>
      <c r="D247" s="41" t="s">
        <v>19</v>
      </c>
      <c r="E247" s="5">
        <v>99000.0</v>
      </c>
      <c r="F247" s="5">
        <v>99000.0</v>
      </c>
      <c r="G247" s="6">
        <f t="shared" si="2"/>
        <v>0</v>
      </c>
    </row>
    <row r="248" ht="14.25" customHeight="1">
      <c r="A248" s="1"/>
      <c r="B248" s="2"/>
      <c r="C248" s="3" t="s">
        <v>33</v>
      </c>
      <c r="D248" s="41" t="s">
        <v>34</v>
      </c>
      <c r="E248" s="5">
        <v>350.0</v>
      </c>
      <c r="F248" s="20">
        <v>6000.0</v>
      </c>
      <c r="G248" s="6">
        <f t="shared" si="2"/>
        <v>16.14285714</v>
      </c>
    </row>
    <row r="249" ht="14.25" customHeight="1">
      <c r="A249" s="1"/>
      <c r="B249" s="2"/>
      <c r="C249" s="3" t="s">
        <v>20</v>
      </c>
      <c r="D249" s="41" t="s">
        <v>21</v>
      </c>
      <c r="E249" s="5">
        <v>27000.0</v>
      </c>
      <c r="F249" s="5">
        <v>27000.0</v>
      </c>
      <c r="G249" s="6">
        <f t="shared" si="2"/>
        <v>0</v>
      </c>
    </row>
    <row r="250" ht="14.25" customHeight="1">
      <c r="A250" s="1"/>
      <c r="B250" s="2"/>
      <c r="C250" s="3" t="s">
        <v>22</v>
      </c>
      <c r="D250" s="41" t="s">
        <v>17</v>
      </c>
      <c r="E250" s="5">
        <v>36000.0</v>
      </c>
      <c r="F250" s="5">
        <v>36000.0</v>
      </c>
      <c r="G250" s="6">
        <f t="shared" si="2"/>
        <v>0</v>
      </c>
    </row>
    <row r="251" ht="14.25" customHeight="1">
      <c r="A251" s="1"/>
      <c r="B251" s="22">
        <v>3262.0</v>
      </c>
      <c r="E251" s="23">
        <v>162350.0</v>
      </c>
      <c r="F251" s="23">
        <f>SUM(F247:F250)</f>
        <v>168000</v>
      </c>
      <c r="G251" s="6">
        <f t="shared" si="2"/>
        <v>0.0348013551</v>
      </c>
    </row>
    <row r="252" ht="14.25" customHeight="1">
      <c r="A252" s="1"/>
      <c r="B252" s="22"/>
      <c r="C252" s="4"/>
      <c r="D252" s="4"/>
      <c r="E252" s="32"/>
      <c r="F252" s="32"/>
      <c r="G252" s="6" t="str">
        <f t="shared" si="2"/>
        <v/>
      </c>
    </row>
    <row r="253" ht="14.25" customHeight="1">
      <c r="A253" s="1"/>
      <c r="B253" s="33">
        <v>3300.0</v>
      </c>
      <c r="C253" s="34"/>
      <c r="D253" s="27" t="s">
        <v>68</v>
      </c>
      <c r="E253" s="35">
        <v>2024.0</v>
      </c>
      <c r="F253" s="36">
        <v>2025.0</v>
      </c>
      <c r="G253" s="6">
        <f t="shared" si="2"/>
        <v>0.0004940711462</v>
      </c>
    </row>
    <row r="254" ht="14.25" customHeight="1">
      <c r="A254" s="1"/>
      <c r="B254" s="2"/>
      <c r="C254" s="3" t="s">
        <v>5</v>
      </c>
      <c r="D254" s="4" t="s">
        <v>6</v>
      </c>
      <c r="E254" s="5">
        <v>16100.0</v>
      </c>
      <c r="F254" s="5">
        <v>16100.0</v>
      </c>
      <c r="G254" s="6">
        <f t="shared" si="2"/>
        <v>0</v>
      </c>
    </row>
    <row r="255" ht="14.25" customHeight="1">
      <c r="A255" s="1"/>
      <c r="B255" s="2"/>
      <c r="C255" s="3" t="s">
        <v>9</v>
      </c>
      <c r="D255" s="4" t="s">
        <v>10</v>
      </c>
      <c r="E255" s="5">
        <v>2700.0</v>
      </c>
      <c r="F255" s="20">
        <v>2850.0</v>
      </c>
      <c r="G255" s="6">
        <f t="shared" si="2"/>
        <v>0.05555555556</v>
      </c>
    </row>
    <row r="256" ht="14.25" customHeight="1">
      <c r="A256" s="1"/>
      <c r="B256" s="2"/>
      <c r="C256" s="3" t="s">
        <v>11</v>
      </c>
      <c r="D256" s="4" t="s">
        <v>12</v>
      </c>
      <c r="E256" s="5">
        <v>6400.0</v>
      </c>
      <c r="F256" s="5">
        <v>6400.0</v>
      </c>
      <c r="G256" s="6">
        <f t="shared" si="2"/>
        <v>0</v>
      </c>
    </row>
    <row r="257" ht="14.25" customHeight="1">
      <c r="A257" s="1"/>
      <c r="B257" s="2"/>
      <c r="C257" s="3" t="s">
        <v>13</v>
      </c>
      <c r="D257" s="21" t="s">
        <v>14</v>
      </c>
      <c r="E257" s="5">
        <v>16800.0</v>
      </c>
      <c r="F257" s="5">
        <v>16800.0</v>
      </c>
      <c r="G257" s="6">
        <f t="shared" si="2"/>
        <v>0</v>
      </c>
    </row>
    <row r="258" ht="14.25" customHeight="1">
      <c r="A258" s="1"/>
      <c r="B258" s="2"/>
      <c r="C258" s="3">
        <v>150.0</v>
      </c>
      <c r="D258" s="4" t="s">
        <v>15</v>
      </c>
      <c r="E258" s="5">
        <v>680.0</v>
      </c>
      <c r="F258" s="5">
        <v>680.0</v>
      </c>
      <c r="G258" s="6">
        <f t="shared" si="2"/>
        <v>0</v>
      </c>
    </row>
    <row r="259" ht="14.25" customHeight="1">
      <c r="A259" s="1"/>
      <c r="B259" s="2"/>
      <c r="C259" s="3" t="s">
        <v>16</v>
      </c>
      <c r="D259" s="4" t="s">
        <v>17</v>
      </c>
      <c r="E259" s="5">
        <v>13600.0</v>
      </c>
      <c r="F259" s="5">
        <v>13600.0</v>
      </c>
      <c r="G259" s="6">
        <f t="shared" si="2"/>
        <v>0</v>
      </c>
    </row>
    <row r="260" ht="14.25" customHeight="1">
      <c r="A260" s="1"/>
      <c r="B260" s="2"/>
      <c r="C260" s="3" t="s">
        <v>18</v>
      </c>
      <c r="D260" s="41" t="s">
        <v>19</v>
      </c>
      <c r="E260" s="5">
        <v>57500.0</v>
      </c>
      <c r="F260" s="5">
        <v>57500.0</v>
      </c>
      <c r="G260" s="6">
        <f t="shared" si="2"/>
        <v>0</v>
      </c>
    </row>
    <row r="261" ht="14.25" customHeight="1">
      <c r="A261" s="1"/>
      <c r="B261" s="2"/>
      <c r="C261" s="3" t="s">
        <v>33</v>
      </c>
      <c r="D261" s="41" t="s">
        <v>34</v>
      </c>
      <c r="E261" s="5">
        <v>5200.0</v>
      </c>
      <c r="F261" s="5">
        <v>5200.0</v>
      </c>
      <c r="G261" s="6">
        <f t="shared" si="2"/>
        <v>0</v>
      </c>
    </row>
    <row r="262" ht="14.25" customHeight="1">
      <c r="A262" s="1"/>
      <c r="B262" s="2"/>
      <c r="C262" s="3" t="s">
        <v>20</v>
      </c>
      <c r="D262" s="41" t="s">
        <v>21</v>
      </c>
      <c r="E262" s="5">
        <v>16300.0</v>
      </c>
      <c r="F262" s="5">
        <v>16300.0</v>
      </c>
      <c r="G262" s="6">
        <f t="shared" si="2"/>
        <v>0</v>
      </c>
    </row>
    <row r="263" ht="14.25" customHeight="1">
      <c r="A263" s="1"/>
      <c r="B263" s="2"/>
      <c r="C263" s="3" t="s">
        <v>26</v>
      </c>
      <c r="D263" s="41" t="s">
        <v>27</v>
      </c>
      <c r="E263" s="20">
        <v>0.0</v>
      </c>
      <c r="F263" s="20">
        <v>3000.0</v>
      </c>
      <c r="G263" s="6" t="str">
        <f t="shared" si="2"/>
        <v/>
      </c>
    </row>
    <row r="264" ht="14.25" customHeight="1">
      <c r="A264" s="1"/>
      <c r="B264" s="2"/>
      <c r="C264" s="3" t="s">
        <v>22</v>
      </c>
      <c r="D264" s="41" t="s">
        <v>17</v>
      </c>
      <c r="E264" s="5">
        <v>23000.0</v>
      </c>
      <c r="F264" s="5">
        <v>23000.0</v>
      </c>
      <c r="G264" s="6">
        <f t="shared" si="2"/>
        <v>0</v>
      </c>
    </row>
    <row r="265" ht="14.25" customHeight="1">
      <c r="A265" s="1"/>
      <c r="B265" s="22">
        <v>3300.0</v>
      </c>
      <c r="E265" s="23">
        <v>158280.0</v>
      </c>
      <c r="F265" s="23">
        <f>SUM(F254:F264)</f>
        <v>161430</v>
      </c>
      <c r="G265" s="6">
        <f t="shared" si="2"/>
        <v>0.01990144049</v>
      </c>
    </row>
    <row r="266" ht="14.25" customHeight="1">
      <c r="A266" s="1"/>
      <c r="B266" s="2"/>
      <c r="C266" s="3"/>
      <c r="D266" s="4"/>
      <c r="E266" s="5"/>
      <c r="F266" s="5"/>
      <c r="G266" s="6" t="str">
        <f t="shared" si="2"/>
        <v/>
      </c>
    </row>
    <row r="267" ht="14.25" customHeight="1">
      <c r="A267" s="1"/>
      <c r="B267" s="33">
        <v>3321.0</v>
      </c>
      <c r="C267" s="34"/>
      <c r="D267" s="35" t="s">
        <v>69</v>
      </c>
      <c r="E267" s="35">
        <v>2024.0</v>
      </c>
      <c r="F267" s="36">
        <v>2025.0</v>
      </c>
      <c r="G267" s="6">
        <f t="shared" si="2"/>
        <v>0.0004940711462</v>
      </c>
    </row>
    <row r="268" ht="14.25" customHeight="1">
      <c r="A268" s="1"/>
      <c r="B268" s="2"/>
      <c r="C268" s="3" t="s">
        <v>29</v>
      </c>
      <c r="D268" s="4" t="s">
        <v>30</v>
      </c>
      <c r="E268" s="5">
        <v>21100.0</v>
      </c>
      <c r="F268" s="5">
        <v>21100.0</v>
      </c>
      <c r="G268" s="6">
        <f t="shared" si="2"/>
        <v>0</v>
      </c>
    </row>
    <row r="269" ht="14.25" customHeight="1">
      <c r="A269" s="1"/>
      <c r="B269" s="2"/>
      <c r="C269" s="3" t="s">
        <v>5</v>
      </c>
      <c r="D269" s="4" t="s">
        <v>6</v>
      </c>
      <c r="E269" s="5">
        <v>30000.0</v>
      </c>
      <c r="F269" s="5">
        <v>30000.0</v>
      </c>
      <c r="G269" s="6">
        <f t="shared" si="2"/>
        <v>0</v>
      </c>
    </row>
    <row r="270" ht="14.25" customHeight="1">
      <c r="A270" s="1"/>
      <c r="B270" s="2"/>
      <c r="C270" s="3" t="s">
        <v>7</v>
      </c>
      <c r="D270" s="4" t="s">
        <v>8</v>
      </c>
      <c r="E270" s="5">
        <v>48000.0</v>
      </c>
      <c r="F270" s="5">
        <v>48000.0</v>
      </c>
      <c r="G270" s="6">
        <f t="shared" si="2"/>
        <v>0</v>
      </c>
      <c r="H270" s="40">
        <f>12000</f>
        <v>12000</v>
      </c>
    </row>
    <row r="271" ht="14.25" customHeight="1">
      <c r="A271" s="1"/>
      <c r="B271" s="2"/>
      <c r="C271" s="3" t="s">
        <v>9</v>
      </c>
      <c r="D271" s="4" t="s">
        <v>10</v>
      </c>
      <c r="E271" s="5">
        <v>16300.0</v>
      </c>
      <c r="F271" s="20">
        <v>17100.0</v>
      </c>
      <c r="G271" s="6">
        <f t="shared" si="2"/>
        <v>0.0490797546</v>
      </c>
    </row>
    <row r="272" ht="14.25" customHeight="1">
      <c r="A272" s="1"/>
      <c r="B272" s="2"/>
      <c r="C272" s="3" t="s">
        <v>11</v>
      </c>
      <c r="D272" s="4" t="s">
        <v>12</v>
      </c>
      <c r="E272" s="5">
        <v>41000.0</v>
      </c>
      <c r="F272" s="5">
        <v>41000.0</v>
      </c>
      <c r="G272" s="6">
        <f t="shared" si="2"/>
        <v>0</v>
      </c>
      <c r="H272" s="40">
        <f>4500</f>
        <v>4500</v>
      </c>
    </row>
    <row r="273" ht="14.25" customHeight="1">
      <c r="A273" s="1"/>
      <c r="B273" s="2"/>
      <c r="C273" s="3" t="s">
        <v>13</v>
      </c>
      <c r="D273" s="21" t="s">
        <v>14</v>
      </c>
      <c r="E273" s="5">
        <v>48000.0</v>
      </c>
      <c r="F273" s="5">
        <v>48000.0</v>
      </c>
      <c r="G273" s="6">
        <f t="shared" si="2"/>
        <v>0</v>
      </c>
      <c r="H273" s="40">
        <f>5000</f>
        <v>5000</v>
      </c>
    </row>
    <row r="274" ht="14.25" customHeight="1">
      <c r="A274" s="1"/>
      <c r="B274" s="2"/>
      <c r="C274" s="3">
        <v>150.0</v>
      </c>
      <c r="D274" s="4" t="s">
        <v>15</v>
      </c>
      <c r="E274" s="5">
        <v>5000.0</v>
      </c>
      <c r="F274" s="5">
        <v>5000.0</v>
      </c>
      <c r="G274" s="6">
        <f t="shared" si="2"/>
        <v>0</v>
      </c>
      <c r="H274" s="40">
        <f>700</f>
        <v>700</v>
      </c>
    </row>
    <row r="275" ht="14.25" customHeight="1">
      <c r="A275" s="1"/>
      <c r="B275" s="2"/>
      <c r="C275" s="3" t="s">
        <v>26</v>
      </c>
      <c r="D275" s="4" t="s">
        <v>27</v>
      </c>
      <c r="E275" s="5">
        <v>1600.0</v>
      </c>
      <c r="F275" s="20">
        <v>3000.0</v>
      </c>
      <c r="G275" s="6">
        <f t="shared" si="2"/>
        <v>0.875</v>
      </c>
    </row>
    <row r="276" ht="14.25" customHeight="1">
      <c r="A276" s="1"/>
      <c r="B276" s="2"/>
      <c r="C276" s="3" t="s">
        <v>16</v>
      </c>
      <c r="D276" s="4" t="s">
        <v>17</v>
      </c>
      <c r="E276" s="5">
        <v>62000.0</v>
      </c>
      <c r="F276" s="5">
        <v>62000.0</v>
      </c>
      <c r="G276" s="6">
        <f t="shared" si="2"/>
        <v>0</v>
      </c>
      <c r="H276" s="40">
        <f>7000</f>
        <v>7000</v>
      </c>
    </row>
    <row r="277" ht="14.25" customHeight="1">
      <c r="A277" s="1"/>
      <c r="B277" s="2"/>
      <c r="C277" s="3" t="s">
        <v>18</v>
      </c>
      <c r="D277" s="4" t="s">
        <v>19</v>
      </c>
      <c r="E277" s="5">
        <v>50000.0</v>
      </c>
      <c r="F277" s="5">
        <v>39265.0</v>
      </c>
      <c r="G277" s="6">
        <f t="shared" si="2"/>
        <v>-0.2147</v>
      </c>
    </row>
    <row r="278" ht="14.25" customHeight="1">
      <c r="A278" s="1"/>
      <c r="B278" s="2"/>
      <c r="C278" s="3" t="s">
        <v>20</v>
      </c>
      <c r="D278" s="4" t="s">
        <v>21</v>
      </c>
      <c r="E278" s="5">
        <v>17500.0</v>
      </c>
      <c r="F278" s="5">
        <v>17500.0</v>
      </c>
      <c r="G278" s="6">
        <f t="shared" si="2"/>
        <v>0</v>
      </c>
    </row>
    <row r="279" ht="14.25" customHeight="1">
      <c r="A279" s="1"/>
      <c r="B279" s="2"/>
      <c r="C279" s="3" t="s">
        <v>22</v>
      </c>
      <c r="D279" s="4" t="s">
        <v>17</v>
      </c>
      <c r="E279" s="5">
        <v>20000.0</v>
      </c>
      <c r="F279" s="5">
        <v>20000.0</v>
      </c>
      <c r="G279" s="6">
        <f t="shared" si="2"/>
        <v>0</v>
      </c>
    </row>
    <row r="280" ht="14.25" customHeight="1">
      <c r="A280" s="1"/>
      <c r="B280" s="22">
        <v>3321.0</v>
      </c>
      <c r="E280" s="23">
        <v>360500.0</v>
      </c>
      <c r="F280" s="23">
        <f>SUM(F268:F279)</f>
        <v>351965</v>
      </c>
      <c r="G280" s="6">
        <f t="shared" si="2"/>
        <v>-0.02367545076</v>
      </c>
    </row>
    <row r="281" ht="14.25" customHeight="1">
      <c r="A281" s="1"/>
      <c r="B281" s="2"/>
      <c r="C281" s="30"/>
      <c r="D281" s="31"/>
      <c r="E281" s="5"/>
      <c r="F281" s="5"/>
      <c r="G281" s="6" t="str">
        <f t="shared" si="2"/>
        <v/>
      </c>
    </row>
    <row r="282" ht="14.25" customHeight="1">
      <c r="A282" s="1"/>
      <c r="B282" s="33">
        <v>3340.0</v>
      </c>
      <c r="C282" s="34"/>
      <c r="D282" s="35" t="s">
        <v>70</v>
      </c>
      <c r="E282" s="35">
        <v>2024.0</v>
      </c>
      <c r="F282" s="36">
        <v>2025.0</v>
      </c>
      <c r="G282" s="6">
        <f t="shared" si="2"/>
        <v>0.0004940711462</v>
      </c>
    </row>
    <row r="283" ht="14.25" customHeight="1">
      <c r="A283" s="1"/>
      <c r="B283" s="2"/>
      <c r="C283" s="3" t="s">
        <v>37</v>
      </c>
      <c r="D283" s="41" t="s">
        <v>19</v>
      </c>
      <c r="E283" s="5">
        <v>63000.0</v>
      </c>
      <c r="F283" s="5">
        <v>63000.0</v>
      </c>
      <c r="G283" s="6">
        <f t="shared" si="2"/>
        <v>0</v>
      </c>
    </row>
    <row r="284" ht="14.25" customHeight="1">
      <c r="A284" s="1"/>
      <c r="B284" s="2"/>
      <c r="C284" s="3" t="s">
        <v>38</v>
      </c>
      <c r="D284" s="4" t="s">
        <v>34</v>
      </c>
      <c r="E284" s="5">
        <v>110.0</v>
      </c>
      <c r="F284" s="20">
        <v>1150.0</v>
      </c>
      <c r="G284" s="6">
        <f t="shared" si="2"/>
        <v>9.454545455</v>
      </c>
    </row>
    <row r="285" ht="14.25" customHeight="1">
      <c r="A285" s="1"/>
      <c r="B285" s="2"/>
      <c r="C285" s="3" t="s">
        <v>39</v>
      </c>
      <c r="D285" s="4" t="s">
        <v>21</v>
      </c>
      <c r="E285" s="5">
        <v>18000.0</v>
      </c>
      <c r="F285" s="5">
        <v>18000.0</v>
      </c>
      <c r="G285" s="6">
        <f t="shared" si="2"/>
        <v>0</v>
      </c>
    </row>
    <row r="286" ht="14.25" customHeight="1">
      <c r="A286" s="1"/>
      <c r="B286" s="2"/>
      <c r="C286" s="3" t="s">
        <v>40</v>
      </c>
      <c r="D286" s="4" t="s">
        <v>17</v>
      </c>
      <c r="E286" s="5">
        <v>25000.0</v>
      </c>
      <c r="F286" s="5">
        <v>25000.0</v>
      </c>
      <c r="G286" s="6">
        <f t="shared" si="2"/>
        <v>0</v>
      </c>
    </row>
    <row r="287" ht="14.25" customHeight="1">
      <c r="A287" s="1"/>
      <c r="B287" s="22">
        <v>3340.0</v>
      </c>
      <c r="E287" s="23">
        <v>106110.0</v>
      </c>
      <c r="F287" s="23">
        <f>SUM(F283:F286)</f>
        <v>107150</v>
      </c>
      <c r="G287" s="6">
        <f t="shared" si="2"/>
        <v>0.00980114975</v>
      </c>
    </row>
    <row r="288" ht="14.25" customHeight="1">
      <c r="A288" s="1"/>
      <c r="B288" s="2"/>
      <c r="C288" s="3"/>
      <c r="D288" s="4"/>
      <c r="E288" s="5"/>
      <c r="F288" s="5"/>
      <c r="G288" s="6" t="str">
        <f t="shared" si="2"/>
        <v/>
      </c>
    </row>
    <row r="289" ht="14.25" customHeight="1">
      <c r="A289" s="1"/>
      <c r="B289" s="33">
        <v>3370.0</v>
      </c>
      <c r="C289" s="34"/>
      <c r="D289" s="27" t="s">
        <v>71</v>
      </c>
      <c r="E289" s="35">
        <v>2024.0</v>
      </c>
      <c r="F289" s="36">
        <v>2025.0</v>
      </c>
      <c r="G289" s="6">
        <f t="shared" si="2"/>
        <v>0.0004940711462</v>
      </c>
    </row>
    <row r="290" ht="14.25" customHeight="1">
      <c r="A290" s="1"/>
      <c r="B290" s="2"/>
      <c r="C290" s="3" t="s">
        <v>43</v>
      </c>
      <c r="D290" s="4" t="s">
        <v>44</v>
      </c>
      <c r="E290" s="5">
        <v>12000.0</v>
      </c>
      <c r="F290" s="20">
        <v>6000.0</v>
      </c>
      <c r="G290" s="6">
        <f t="shared" si="2"/>
        <v>-0.5</v>
      </c>
    </row>
    <row r="291" ht="14.25" customHeight="1">
      <c r="A291" s="1"/>
      <c r="B291" s="2"/>
      <c r="C291" s="3" t="s">
        <v>9</v>
      </c>
      <c r="D291" s="4" t="s">
        <v>10</v>
      </c>
      <c r="E291" s="5">
        <v>2200.0</v>
      </c>
      <c r="F291" s="5">
        <v>2200.0</v>
      </c>
      <c r="G291" s="6">
        <f t="shared" si="2"/>
        <v>0</v>
      </c>
    </row>
    <row r="292" ht="14.25" customHeight="1">
      <c r="A292" s="1"/>
      <c r="B292" s="2"/>
      <c r="C292" s="3" t="s">
        <v>11</v>
      </c>
      <c r="D292" s="4" t="s">
        <v>12</v>
      </c>
      <c r="E292" s="5">
        <v>4500.0</v>
      </c>
      <c r="F292" s="5">
        <v>4500.0</v>
      </c>
      <c r="G292" s="6">
        <f t="shared" si="2"/>
        <v>0</v>
      </c>
    </row>
    <row r="293" ht="14.25" customHeight="1">
      <c r="A293" s="1"/>
      <c r="B293" s="2"/>
      <c r="C293" s="3" t="s">
        <v>13</v>
      </c>
      <c r="D293" s="21" t="s">
        <v>14</v>
      </c>
      <c r="E293" s="5">
        <v>8500.0</v>
      </c>
      <c r="F293" s="20">
        <v>5500.0</v>
      </c>
      <c r="G293" s="6">
        <f t="shared" si="2"/>
        <v>-0.3529411765</v>
      </c>
    </row>
    <row r="294" ht="14.25" customHeight="1">
      <c r="A294" s="1"/>
      <c r="B294" s="2"/>
      <c r="C294" s="3">
        <v>150.0</v>
      </c>
      <c r="D294" s="4" t="s">
        <v>15</v>
      </c>
      <c r="E294" s="5">
        <v>700.0</v>
      </c>
      <c r="F294" s="5">
        <v>700.0</v>
      </c>
      <c r="G294" s="6">
        <f t="shared" si="2"/>
        <v>0</v>
      </c>
      <c r="H294" s="38" t="s">
        <v>72</v>
      </c>
      <c r="I294" s="38" t="s">
        <v>73</v>
      </c>
    </row>
    <row r="295" ht="14.25" customHeight="1">
      <c r="A295" s="1"/>
      <c r="B295" s="2"/>
      <c r="C295" s="3" t="s">
        <v>16</v>
      </c>
      <c r="D295" s="4" t="s">
        <v>17</v>
      </c>
      <c r="E295" s="5">
        <v>7000.0</v>
      </c>
      <c r="F295" s="20">
        <v>4000.0</v>
      </c>
      <c r="G295" s="6">
        <f t="shared" si="2"/>
        <v>-0.4285714286</v>
      </c>
    </row>
    <row r="296" ht="14.25" customHeight="1">
      <c r="A296" s="1"/>
      <c r="B296" s="2"/>
      <c r="C296" s="3" t="s">
        <v>37</v>
      </c>
      <c r="D296" s="41" t="s">
        <v>19</v>
      </c>
      <c r="E296" s="5">
        <v>12500.0</v>
      </c>
      <c r="F296" s="20">
        <v>6500.0</v>
      </c>
      <c r="G296" s="6">
        <f t="shared" si="2"/>
        <v>-0.48</v>
      </c>
    </row>
    <row r="297" ht="14.25" customHeight="1">
      <c r="A297" s="1"/>
      <c r="B297" s="2"/>
      <c r="C297" s="3" t="s">
        <v>38</v>
      </c>
      <c r="D297" s="4" t="s">
        <v>34</v>
      </c>
      <c r="E297" s="5">
        <v>1050.0</v>
      </c>
      <c r="F297" s="5">
        <v>1050.0</v>
      </c>
      <c r="G297" s="6">
        <f t="shared" si="2"/>
        <v>0</v>
      </c>
    </row>
    <row r="298" ht="14.25" customHeight="1">
      <c r="A298" s="1"/>
      <c r="B298" s="2"/>
      <c r="C298" s="3" t="s">
        <v>39</v>
      </c>
      <c r="D298" s="4" t="s">
        <v>21</v>
      </c>
      <c r="E298" s="5">
        <v>5050.0</v>
      </c>
      <c r="F298" s="5">
        <v>5050.0</v>
      </c>
      <c r="G298" s="6">
        <f t="shared" si="2"/>
        <v>0</v>
      </c>
    </row>
    <row r="299" ht="14.25" customHeight="1">
      <c r="A299" s="1"/>
      <c r="B299" s="2"/>
      <c r="C299" s="3" t="s">
        <v>40</v>
      </c>
      <c r="D299" s="4" t="s">
        <v>17</v>
      </c>
      <c r="E299" s="5">
        <v>6200.0</v>
      </c>
      <c r="F299" s="20">
        <v>3200.0</v>
      </c>
      <c r="G299" s="6">
        <f t="shared" si="2"/>
        <v>-0.4838709677</v>
      </c>
    </row>
    <row r="300" ht="14.25" customHeight="1">
      <c r="A300" s="1"/>
      <c r="B300" s="22">
        <v>3370.0</v>
      </c>
      <c r="E300" s="23">
        <v>59700.0</v>
      </c>
      <c r="F300" s="23">
        <f>SUM(F290:F299)</f>
        <v>38700</v>
      </c>
      <c r="G300" s="6">
        <f t="shared" si="2"/>
        <v>-0.351758794</v>
      </c>
    </row>
    <row r="301" ht="14.25" customHeight="1">
      <c r="A301" s="1"/>
      <c r="B301" s="56"/>
      <c r="C301" s="57"/>
      <c r="D301" s="57"/>
      <c r="E301" s="58"/>
      <c r="F301" s="58"/>
      <c r="G301" s="6" t="str">
        <f t="shared" si="2"/>
        <v/>
      </c>
    </row>
    <row r="302" ht="14.25" customHeight="1">
      <c r="A302" s="1"/>
      <c r="B302" s="33">
        <v>3373.0</v>
      </c>
      <c r="C302" s="34"/>
      <c r="D302" s="59" t="s">
        <v>74</v>
      </c>
      <c r="E302" s="35">
        <v>2024.0</v>
      </c>
      <c r="F302" s="36">
        <v>2025.0</v>
      </c>
      <c r="G302" s="6">
        <f t="shared" si="2"/>
        <v>0.0004940711462</v>
      </c>
    </row>
    <row r="303" ht="14.25" customHeight="1">
      <c r="A303" s="1"/>
      <c r="B303" s="2"/>
      <c r="C303" s="3" t="s">
        <v>29</v>
      </c>
      <c r="D303" s="4" t="s">
        <v>30</v>
      </c>
      <c r="E303" s="5">
        <v>0.0</v>
      </c>
      <c r="F303" s="5">
        <v>0.0</v>
      </c>
      <c r="G303" s="6" t="str">
        <f t="shared" si="2"/>
        <v/>
      </c>
    </row>
    <row r="304" ht="14.25" customHeight="1">
      <c r="A304" s="1"/>
      <c r="B304" s="2"/>
      <c r="C304" s="3" t="s">
        <v>24</v>
      </c>
      <c r="D304" s="4" t="s">
        <v>25</v>
      </c>
      <c r="E304" s="5">
        <v>19300.0</v>
      </c>
      <c r="F304" s="5">
        <v>19300.0</v>
      </c>
      <c r="G304" s="6">
        <f t="shared" si="2"/>
        <v>0</v>
      </c>
    </row>
    <row r="305" ht="14.25" customHeight="1">
      <c r="A305" s="1"/>
      <c r="B305" s="2"/>
      <c r="C305" s="3" t="s">
        <v>9</v>
      </c>
      <c r="D305" s="4" t="s">
        <v>10</v>
      </c>
      <c r="E305" s="5">
        <v>5800.0</v>
      </c>
      <c r="F305" s="20">
        <v>6400.0</v>
      </c>
      <c r="G305" s="6">
        <f t="shared" si="2"/>
        <v>0.1034482759</v>
      </c>
    </row>
    <row r="306" ht="14.25" customHeight="1">
      <c r="A306" s="1"/>
      <c r="B306" s="2"/>
      <c r="C306" s="3" t="s">
        <v>11</v>
      </c>
      <c r="D306" s="4" t="s">
        <v>12</v>
      </c>
      <c r="E306" s="5">
        <v>8400.0</v>
      </c>
      <c r="F306" s="5">
        <v>8400.0</v>
      </c>
      <c r="G306" s="6">
        <f t="shared" si="2"/>
        <v>0</v>
      </c>
    </row>
    <row r="307" ht="14.25" customHeight="1">
      <c r="A307" s="1"/>
      <c r="B307" s="2"/>
      <c r="C307" s="3" t="s">
        <v>13</v>
      </c>
      <c r="D307" s="21" t="s">
        <v>14</v>
      </c>
      <c r="E307" s="5">
        <v>10000.0</v>
      </c>
      <c r="F307" s="5">
        <v>10000.0</v>
      </c>
      <c r="G307" s="6">
        <f t="shared" si="2"/>
        <v>0</v>
      </c>
    </row>
    <row r="308" ht="14.25" customHeight="1">
      <c r="A308" s="1"/>
      <c r="B308" s="2"/>
      <c r="C308" s="3">
        <v>150.0</v>
      </c>
      <c r="D308" s="4" t="s">
        <v>15</v>
      </c>
      <c r="E308" s="5">
        <v>930.0</v>
      </c>
      <c r="F308" s="5">
        <v>930.0</v>
      </c>
      <c r="G308" s="6">
        <f t="shared" si="2"/>
        <v>0</v>
      </c>
    </row>
    <row r="309" ht="14.25" customHeight="1">
      <c r="A309" s="1"/>
      <c r="B309" s="2"/>
      <c r="C309" s="3" t="s">
        <v>26</v>
      </c>
      <c r="D309" s="4" t="s">
        <v>27</v>
      </c>
      <c r="E309" s="5">
        <v>105.0</v>
      </c>
      <c r="F309" s="20">
        <v>5000.0</v>
      </c>
      <c r="G309" s="6">
        <f t="shared" si="2"/>
        <v>46.61904762</v>
      </c>
    </row>
    <row r="310" ht="14.25" customHeight="1">
      <c r="A310" s="1"/>
      <c r="B310" s="2"/>
      <c r="C310" s="3" t="s">
        <v>16</v>
      </c>
      <c r="D310" s="4" t="s">
        <v>17</v>
      </c>
      <c r="E310" s="5">
        <v>14000.0</v>
      </c>
      <c r="F310" s="5">
        <v>14000.0</v>
      </c>
      <c r="G310" s="6">
        <f t="shared" si="2"/>
        <v>0</v>
      </c>
    </row>
    <row r="311" ht="14.25" customHeight="1">
      <c r="A311" s="1"/>
      <c r="B311" s="2"/>
      <c r="C311" s="3" t="s">
        <v>18</v>
      </c>
      <c r="D311" s="4" t="s">
        <v>19</v>
      </c>
      <c r="E311" s="5">
        <v>77000.0</v>
      </c>
      <c r="F311" s="5">
        <v>77000.0</v>
      </c>
      <c r="G311" s="6">
        <f t="shared" si="2"/>
        <v>0</v>
      </c>
    </row>
    <row r="312" ht="14.25" customHeight="1">
      <c r="A312" s="1"/>
      <c r="B312" s="2"/>
      <c r="C312" s="3" t="s">
        <v>33</v>
      </c>
      <c r="D312" s="4" t="s">
        <v>34</v>
      </c>
      <c r="E312" s="5">
        <v>2000.0</v>
      </c>
      <c r="F312" s="20">
        <v>10000.0</v>
      </c>
      <c r="G312" s="6">
        <f t="shared" si="2"/>
        <v>4</v>
      </c>
    </row>
    <row r="313" ht="14.25" customHeight="1">
      <c r="A313" s="1"/>
      <c r="B313" s="2"/>
      <c r="C313" s="3" t="s">
        <v>20</v>
      </c>
      <c r="D313" s="4" t="s">
        <v>21</v>
      </c>
      <c r="E313" s="5">
        <v>20500.0</v>
      </c>
      <c r="F313" s="5">
        <v>20500.0</v>
      </c>
      <c r="G313" s="6">
        <f t="shared" si="2"/>
        <v>0</v>
      </c>
    </row>
    <row r="314" ht="14.25" customHeight="1">
      <c r="A314" s="1"/>
      <c r="B314" s="2"/>
      <c r="C314" s="3" t="s">
        <v>22</v>
      </c>
      <c r="D314" s="4" t="s">
        <v>17</v>
      </c>
      <c r="E314" s="5">
        <v>27000.0</v>
      </c>
      <c r="F314" s="5">
        <v>27000.0</v>
      </c>
      <c r="G314" s="6">
        <f t="shared" si="2"/>
        <v>0</v>
      </c>
    </row>
    <row r="315" ht="14.25" customHeight="1">
      <c r="A315" s="1"/>
      <c r="B315" s="22">
        <v>3373.0</v>
      </c>
      <c r="E315" s="23">
        <v>185035.0</v>
      </c>
      <c r="F315" s="23">
        <f>SUM(F303:F314)</f>
        <v>198530</v>
      </c>
      <c r="G315" s="6">
        <f t="shared" si="2"/>
        <v>0.07293214797</v>
      </c>
    </row>
    <row r="316" ht="14.25" customHeight="1">
      <c r="A316" s="1"/>
      <c r="B316" s="2"/>
      <c r="C316" s="3"/>
      <c r="D316" s="4"/>
      <c r="E316" s="5"/>
      <c r="F316" s="5"/>
      <c r="G316" s="6" t="str">
        <f t="shared" si="2"/>
        <v/>
      </c>
    </row>
    <row r="317" ht="14.25" customHeight="1">
      <c r="A317" s="1"/>
      <c r="B317" s="33">
        <v>3380.0</v>
      </c>
      <c r="C317" s="34"/>
      <c r="D317" s="35" t="s">
        <v>75</v>
      </c>
      <c r="E317" s="35">
        <v>2024.0</v>
      </c>
      <c r="F317" s="36">
        <v>2025.0</v>
      </c>
      <c r="G317" s="6">
        <f t="shared" si="2"/>
        <v>0.0004940711462</v>
      </c>
    </row>
    <row r="318" ht="14.25" customHeight="1">
      <c r="A318" s="1"/>
      <c r="B318" s="2"/>
      <c r="C318" s="3" t="s">
        <v>7</v>
      </c>
      <c r="D318" s="4" t="s">
        <v>8</v>
      </c>
      <c r="E318" s="5">
        <v>12500.0</v>
      </c>
      <c r="F318" s="5">
        <v>12500.0</v>
      </c>
      <c r="G318" s="6">
        <f t="shared" si="2"/>
        <v>0</v>
      </c>
    </row>
    <row r="319" ht="14.25" customHeight="1">
      <c r="A319" s="1"/>
      <c r="B319" s="2"/>
      <c r="C319" s="3" t="s">
        <v>9</v>
      </c>
      <c r="D319" s="4" t="s">
        <v>10</v>
      </c>
      <c r="E319" s="5">
        <v>780.0</v>
      </c>
      <c r="F319" s="5">
        <v>780.0</v>
      </c>
      <c r="G319" s="6">
        <f t="shared" si="2"/>
        <v>0</v>
      </c>
    </row>
    <row r="320" ht="14.25" customHeight="1">
      <c r="A320" s="1"/>
      <c r="B320" s="2"/>
      <c r="C320" s="3" t="s">
        <v>11</v>
      </c>
      <c r="D320" s="4" t="s">
        <v>12</v>
      </c>
      <c r="E320" s="5">
        <v>5050.0</v>
      </c>
      <c r="F320" s="5">
        <v>5050.0</v>
      </c>
      <c r="G320" s="6">
        <f t="shared" si="2"/>
        <v>0</v>
      </c>
    </row>
    <row r="321" ht="14.25" customHeight="1">
      <c r="A321" s="1"/>
      <c r="B321" s="2"/>
      <c r="C321" s="3" t="s">
        <v>13</v>
      </c>
      <c r="D321" s="21" t="s">
        <v>14</v>
      </c>
      <c r="E321" s="5">
        <v>7350.0</v>
      </c>
      <c r="F321" s="5">
        <v>7350.0</v>
      </c>
      <c r="G321" s="6">
        <f t="shared" si="2"/>
        <v>0</v>
      </c>
    </row>
    <row r="322" ht="14.25" customHeight="1">
      <c r="A322" s="1"/>
      <c r="B322" s="2"/>
      <c r="C322" s="3">
        <v>150.0</v>
      </c>
      <c r="D322" s="4" t="s">
        <v>15</v>
      </c>
      <c r="E322" s="5">
        <v>780.0</v>
      </c>
      <c r="F322" s="5">
        <v>780.0</v>
      </c>
      <c r="G322" s="6">
        <f t="shared" si="2"/>
        <v>0</v>
      </c>
    </row>
    <row r="323" ht="14.25" customHeight="1">
      <c r="A323" s="1"/>
      <c r="B323" s="2"/>
      <c r="C323" s="3" t="s">
        <v>26</v>
      </c>
      <c r="D323" s="4" t="s">
        <v>27</v>
      </c>
      <c r="E323" s="5">
        <v>520.0</v>
      </c>
      <c r="F323" s="20">
        <v>3000.0</v>
      </c>
      <c r="G323" s="6">
        <f t="shared" si="2"/>
        <v>4.769230769</v>
      </c>
    </row>
    <row r="324" ht="14.25" customHeight="1">
      <c r="A324" s="1"/>
      <c r="B324" s="2"/>
      <c r="C324" s="3" t="s">
        <v>16</v>
      </c>
      <c r="D324" s="4" t="s">
        <v>17</v>
      </c>
      <c r="E324" s="5">
        <v>8500.0</v>
      </c>
      <c r="F324" s="5">
        <v>8500.0</v>
      </c>
      <c r="G324" s="6">
        <f t="shared" si="2"/>
        <v>0</v>
      </c>
    </row>
    <row r="325" ht="14.25" customHeight="1">
      <c r="A325" s="1"/>
      <c r="B325" s="22">
        <v>3380.0</v>
      </c>
      <c r="E325" s="23">
        <v>35480.0</v>
      </c>
      <c r="F325" s="23">
        <f>SUM(F318:F324)</f>
        <v>37960</v>
      </c>
      <c r="G325" s="6">
        <f t="shared" si="2"/>
        <v>0.06989853439</v>
      </c>
    </row>
    <row r="326" ht="14.25" customHeight="1">
      <c r="A326" s="1"/>
      <c r="B326" s="2"/>
      <c r="C326" s="3"/>
      <c r="D326" s="4"/>
      <c r="E326" s="5"/>
      <c r="F326" s="5"/>
      <c r="G326" s="6" t="str">
        <f t="shared" si="2"/>
        <v/>
      </c>
    </row>
    <row r="327" ht="14.25" customHeight="1">
      <c r="A327" s="1"/>
      <c r="B327" s="33">
        <v>3410.0</v>
      </c>
      <c r="C327" s="34"/>
      <c r="D327" s="35" t="s">
        <v>76</v>
      </c>
      <c r="E327" s="35">
        <v>2024.0</v>
      </c>
      <c r="F327" s="36">
        <v>2025.0</v>
      </c>
      <c r="G327" s="6">
        <f t="shared" si="2"/>
        <v>0.0004940711462</v>
      </c>
    </row>
    <row r="328" ht="14.25" customHeight="1">
      <c r="A328" s="1"/>
      <c r="B328" s="2"/>
      <c r="C328" s="3" t="s">
        <v>5</v>
      </c>
      <c r="D328" s="4" t="s">
        <v>6</v>
      </c>
      <c r="E328" s="5">
        <v>15000.0</v>
      </c>
      <c r="F328" s="5">
        <v>15000.0</v>
      </c>
      <c r="G328" s="6">
        <f t="shared" si="2"/>
        <v>0</v>
      </c>
    </row>
    <row r="329" ht="14.25" customHeight="1">
      <c r="A329" s="1"/>
      <c r="B329" s="2"/>
      <c r="C329" s="3" t="s">
        <v>7</v>
      </c>
      <c r="D329" s="4" t="s">
        <v>8</v>
      </c>
      <c r="E329" s="5">
        <v>12000.0</v>
      </c>
      <c r="F329" s="5">
        <v>12000.0</v>
      </c>
      <c r="G329" s="6">
        <f t="shared" si="2"/>
        <v>0</v>
      </c>
    </row>
    <row r="330" ht="14.25" customHeight="1">
      <c r="A330" s="1"/>
      <c r="B330" s="2"/>
      <c r="C330" s="3" t="s">
        <v>9</v>
      </c>
      <c r="D330" s="4" t="s">
        <v>10</v>
      </c>
      <c r="E330" s="5">
        <v>780.0</v>
      </c>
      <c r="F330" s="20">
        <v>1180.0</v>
      </c>
      <c r="G330" s="6">
        <f t="shared" si="2"/>
        <v>0.5128205128</v>
      </c>
    </row>
    <row r="331" ht="14.25" customHeight="1">
      <c r="A331" s="1"/>
      <c r="B331" s="2"/>
      <c r="C331" s="3" t="s">
        <v>11</v>
      </c>
      <c r="D331" s="4" t="s">
        <v>12</v>
      </c>
      <c r="E331" s="5">
        <v>11000.0</v>
      </c>
      <c r="F331" s="5">
        <v>11000.0</v>
      </c>
      <c r="G331" s="6">
        <f t="shared" si="2"/>
        <v>0</v>
      </c>
    </row>
    <row r="332" ht="14.25" customHeight="1">
      <c r="A332" s="1"/>
      <c r="B332" s="2"/>
      <c r="C332" s="3" t="s">
        <v>13</v>
      </c>
      <c r="D332" s="21" t="s">
        <v>14</v>
      </c>
      <c r="E332" s="5">
        <v>14000.0</v>
      </c>
      <c r="F332" s="5">
        <v>14000.0</v>
      </c>
      <c r="G332" s="6">
        <f t="shared" si="2"/>
        <v>0</v>
      </c>
    </row>
    <row r="333" ht="14.25" customHeight="1">
      <c r="A333" s="1"/>
      <c r="B333" s="2"/>
      <c r="C333" s="3">
        <v>150.0</v>
      </c>
      <c r="D333" s="4" t="s">
        <v>15</v>
      </c>
      <c r="E333" s="5">
        <v>1400.0</v>
      </c>
      <c r="F333" s="5">
        <v>1400.0</v>
      </c>
      <c r="G333" s="6">
        <f t="shared" si="2"/>
        <v>0</v>
      </c>
    </row>
    <row r="334" ht="14.25" customHeight="1">
      <c r="A334" s="1"/>
      <c r="B334" s="2"/>
      <c r="C334" s="3" t="s">
        <v>26</v>
      </c>
      <c r="D334" s="4" t="s">
        <v>27</v>
      </c>
      <c r="E334" s="5">
        <v>8500.0</v>
      </c>
      <c r="F334" s="20">
        <v>15000.0</v>
      </c>
      <c r="G334" s="6">
        <f t="shared" si="2"/>
        <v>0.7647058824</v>
      </c>
    </row>
    <row r="335" ht="14.25" customHeight="1">
      <c r="A335" s="1"/>
      <c r="B335" s="2"/>
      <c r="C335" s="3" t="s">
        <v>16</v>
      </c>
      <c r="D335" s="4" t="s">
        <v>17</v>
      </c>
      <c r="E335" s="5">
        <v>19000.0</v>
      </c>
      <c r="F335" s="20">
        <v>21000.0</v>
      </c>
      <c r="G335" s="6">
        <f t="shared" si="2"/>
        <v>0.1052631579</v>
      </c>
    </row>
    <row r="336" ht="14.25" customHeight="1">
      <c r="A336" s="1"/>
      <c r="B336" s="22">
        <v>3410.0</v>
      </c>
      <c r="E336" s="23">
        <v>81680.0</v>
      </c>
      <c r="F336" s="23">
        <f>SUM(F328:F335)</f>
        <v>90580</v>
      </c>
      <c r="G336" s="6">
        <f t="shared" si="2"/>
        <v>0.1089618022</v>
      </c>
    </row>
    <row r="337" ht="14.25" customHeight="1">
      <c r="A337" s="1"/>
      <c r="B337" s="2"/>
      <c r="C337" s="3"/>
      <c r="D337" s="30"/>
      <c r="E337" s="32"/>
      <c r="F337" s="32"/>
      <c r="G337" s="6" t="str">
        <f t="shared" si="2"/>
        <v/>
      </c>
    </row>
    <row r="338" ht="14.25" customHeight="1">
      <c r="A338" s="1"/>
      <c r="B338" s="33">
        <v>3420.0</v>
      </c>
      <c r="C338" s="34"/>
      <c r="D338" s="35" t="s">
        <v>77</v>
      </c>
      <c r="E338" s="35">
        <v>2024.0</v>
      </c>
      <c r="F338" s="36">
        <v>2025.0</v>
      </c>
      <c r="G338" s="6">
        <f t="shared" si="2"/>
        <v>0.0004940711462</v>
      </c>
    </row>
    <row r="339" ht="14.25" customHeight="1">
      <c r="A339" s="1"/>
      <c r="B339" s="2"/>
      <c r="C339" s="3" t="s">
        <v>24</v>
      </c>
      <c r="D339" s="4" t="s">
        <v>25</v>
      </c>
      <c r="E339" s="5">
        <v>37500.0</v>
      </c>
      <c r="F339" s="5">
        <v>37500.0</v>
      </c>
      <c r="G339" s="6">
        <f t="shared" si="2"/>
        <v>0</v>
      </c>
    </row>
    <row r="340" ht="14.25" customHeight="1">
      <c r="A340" s="1"/>
      <c r="B340" s="2"/>
      <c r="C340" s="3" t="s">
        <v>9</v>
      </c>
      <c r="D340" s="4" t="s">
        <v>10</v>
      </c>
      <c r="E340" s="5">
        <v>2600.0</v>
      </c>
      <c r="F340" s="20">
        <v>3400.0</v>
      </c>
      <c r="G340" s="6">
        <f t="shared" si="2"/>
        <v>0.3076923077</v>
      </c>
    </row>
    <row r="341" ht="14.25" customHeight="1">
      <c r="A341" s="1"/>
      <c r="B341" s="2"/>
      <c r="C341" s="3" t="s">
        <v>11</v>
      </c>
      <c r="D341" s="4" t="s">
        <v>12</v>
      </c>
      <c r="E341" s="5">
        <v>15800.0</v>
      </c>
      <c r="F341" s="5">
        <v>15800.0</v>
      </c>
      <c r="G341" s="6">
        <f t="shared" si="2"/>
        <v>0</v>
      </c>
    </row>
    <row r="342" ht="14.25" customHeight="1">
      <c r="A342" s="1"/>
      <c r="B342" s="2"/>
      <c r="C342" s="3" t="s">
        <v>13</v>
      </c>
      <c r="D342" s="21" t="s">
        <v>14</v>
      </c>
      <c r="E342" s="5">
        <v>21000.0</v>
      </c>
      <c r="F342" s="5">
        <v>21000.0</v>
      </c>
      <c r="G342" s="6">
        <f t="shared" si="2"/>
        <v>0</v>
      </c>
    </row>
    <row r="343" ht="14.25" customHeight="1">
      <c r="A343" s="1"/>
      <c r="B343" s="2"/>
      <c r="C343" s="3">
        <v>150.0</v>
      </c>
      <c r="D343" s="4" t="s">
        <v>15</v>
      </c>
      <c r="E343" s="5">
        <v>1900.0</v>
      </c>
      <c r="F343" s="5">
        <v>1900.0</v>
      </c>
      <c r="G343" s="6">
        <f t="shared" si="2"/>
        <v>0</v>
      </c>
    </row>
    <row r="344" ht="14.25" customHeight="1">
      <c r="A344" s="1"/>
      <c r="B344" s="2"/>
      <c r="C344" s="3" t="s">
        <v>26</v>
      </c>
      <c r="D344" s="4" t="s">
        <v>27</v>
      </c>
      <c r="E344" s="5">
        <v>520.0</v>
      </c>
      <c r="F344" s="20">
        <v>2000.0</v>
      </c>
      <c r="G344" s="6">
        <f t="shared" si="2"/>
        <v>2.846153846</v>
      </c>
    </row>
    <row r="345" ht="14.25" customHeight="1">
      <c r="A345" s="1"/>
      <c r="B345" s="2"/>
      <c r="C345" s="3" t="s">
        <v>16</v>
      </c>
      <c r="D345" s="4" t="s">
        <v>17</v>
      </c>
      <c r="E345" s="5">
        <v>20000.0</v>
      </c>
      <c r="F345" s="5">
        <v>20000.0</v>
      </c>
      <c r="G345" s="6">
        <f t="shared" si="2"/>
        <v>0</v>
      </c>
    </row>
    <row r="346" ht="14.25" customHeight="1">
      <c r="A346" s="1"/>
      <c r="B346" s="2"/>
      <c r="C346" s="3" t="s">
        <v>37</v>
      </c>
      <c r="D346" s="41" t="s">
        <v>19</v>
      </c>
      <c r="E346" s="5">
        <v>61500.0</v>
      </c>
      <c r="F346" s="5">
        <v>61500.0</v>
      </c>
      <c r="G346" s="6">
        <f t="shared" si="2"/>
        <v>0</v>
      </c>
    </row>
    <row r="347" ht="14.25" customHeight="1">
      <c r="A347" s="1"/>
      <c r="B347" s="2"/>
      <c r="C347" s="3" t="s">
        <v>39</v>
      </c>
      <c r="D347" s="4" t="s">
        <v>21</v>
      </c>
      <c r="E347" s="5">
        <v>20000.0</v>
      </c>
      <c r="F347" s="5">
        <v>20000.0</v>
      </c>
      <c r="G347" s="6">
        <f t="shared" si="2"/>
        <v>0</v>
      </c>
    </row>
    <row r="348" ht="14.25" customHeight="1">
      <c r="A348" s="1"/>
      <c r="B348" s="2"/>
      <c r="C348" s="3" t="s">
        <v>18</v>
      </c>
      <c r="D348" s="41" t="s">
        <v>19</v>
      </c>
      <c r="E348" s="5">
        <v>163000.0</v>
      </c>
      <c r="F348" s="5">
        <v>163000.0</v>
      </c>
      <c r="G348" s="6">
        <f t="shared" si="2"/>
        <v>0</v>
      </c>
      <c r="H348" s="40">
        <f>1100</f>
        <v>1100</v>
      </c>
    </row>
    <row r="349" ht="14.25" customHeight="1">
      <c r="A349" s="1"/>
      <c r="B349" s="2"/>
      <c r="C349" s="3" t="s">
        <v>33</v>
      </c>
      <c r="D349" s="4" t="s">
        <v>34</v>
      </c>
      <c r="E349" s="5">
        <v>3100.0</v>
      </c>
      <c r="F349" s="20">
        <v>7000.0</v>
      </c>
      <c r="G349" s="6">
        <f t="shared" si="2"/>
        <v>1.258064516</v>
      </c>
    </row>
    <row r="350" ht="14.25" customHeight="1">
      <c r="A350" s="1"/>
      <c r="B350" s="2"/>
      <c r="C350" s="3" t="s">
        <v>20</v>
      </c>
      <c r="D350" s="4" t="s">
        <v>21</v>
      </c>
      <c r="E350" s="5">
        <v>52500.0</v>
      </c>
      <c r="F350" s="5">
        <v>52500.0</v>
      </c>
      <c r="G350" s="6">
        <f t="shared" si="2"/>
        <v>0</v>
      </c>
      <c r="H350" s="40">
        <f>100</f>
        <v>100</v>
      </c>
    </row>
    <row r="351" ht="14.25" customHeight="1">
      <c r="A351" s="1"/>
      <c r="B351" s="2"/>
      <c r="C351" s="3" t="s">
        <v>40</v>
      </c>
      <c r="D351" s="4" t="s">
        <v>17</v>
      </c>
      <c r="E351" s="5">
        <v>22500.0</v>
      </c>
      <c r="F351" s="5">
        <v>22500.0</v>
      </c>
      <c r="G351" s="6">
        <f t="shared" si="2"/>
        <v>0</v>
      </c>
    </row>
    <row r="352" ht="14.25" customHeight="1">
      <c r="A352" s="1"/>
      <c r="B352" s="2"/>
      <c r="C352" s="3" t="s">
        <v>22</v>
      </c>
      <c r="D352" s="4" t="s">
        <v>17</v>
      </c>
      <c r="E352" s="5">
        <v>61000.0</v>
      </c>
      <c r="F352" s="5">
        <v>61000.0</v>
      </c>
      <c r="G352" s="6">
        <f t="shared" si="2"/>
        <v>0</v>
      </c>
      <c r="H352" s="40">
        <f>400</f>
        <v>400</v>
      </c>
    </row>
    <row r="353" ht="14.25" customHeight="1">
      <c r="A353" s="1"/>
      <c r="B353" s="22">
        <v>3420.0</v>
      </c>
      <c r="E353" s="23">
        <v>482920.0</v>
      </c>
      <c r="F353" s="23">
        <f>SUM(F339:F352)</f>
        <v>489100</v>
      </c>
      <c r="G353" s="6">
        <f t="shared" si="2"/>
        <v>0.01279715067</v>
      </c>
    </row>
    <row r="354" ht="14.25" customHeight="1">
      <c r="A354" s="1"/>
      <c r="B354" s="2"/>
      <c r="C354" s="60"/>
      <c r="D354" s="31"/>
      <c r="E354" s="32"/>
      <c r="F354" s="32"/>
      <c r="G354" s="6" t="str">
        <f t="shared" si="2"/>
        <v/>
      </c>
    </row>
    <row r="355" ht="14.25" customHeight="1">
      <c r="A355" s="1"/>
      <c r="B355" s="33">
        <v>4320.0</v>
      </c>
      <c r="C355" s="34"/>
      <c r="D355" s="35" t="s">
        <v>78</v>
      </c>
      <c r="E355" s="35">
        <v>2024.0</v>
      </c>
      <c r="F355" s="36">
        <v>2025.0</v>
      </c>
      <c r="G355" s="6">
        <f t="shared" si="2"/>
        <v>0.0004940711462</v>
      </c>
    </row>
    <row r="356" ht="14.25" customHeight="1">
      <c r="A356" s="1"/>
      <c r="B356" s="2"/>
      <c r="C356" s="3" t="s">
        <v>24</v>
      </c>
      <c r="D356" s="4" t="s">
        <v>25</v>
      </c>
      <c r="E356" s="5">
        <v>17600.0</v>
      </c>
      <c r="F356" s="5">
        <v>17600.0</v>
      </c>
      <c r="G356" s="6">
        <f t="shared" si="2"/>
        <v>0</v>
      </c>
    </row>
    <row r="357" ht="14.25" customHeight="1">
      <c r="A357" s="1"/>
      <c r="B357" s="2"/>
      <c r="C357" s="3" t="s">
        <v>11</v>
      </c>
      <c r="D357" s="4" t="s">
        <v>12</v>
      </c>
      <c r="E357" s="5">
        <v>5700.0</v>
      </c>
      <c r="F357" s="5">
        <v>5700.0</v>
      </c>
      <c r="G357" s="6">
        <f t="shared" si="2"/>
        <v>0</v>
      </c>
    </row>
    <row r="358" ht="14.25" customHeight="1">
      <c r="A358" s="1"/>
      <c r="B358" s="2"/>
      <c r="C358" s="3" t="s">
        <v>13</v>
      </c>
      <c r="D358" s="21" t="s">
        <v>14</v>
      </c>
      <c r="E358" s="5">
        <v>6700.0</v>
      </c>
      <c r="F358" s="5">
        <v>6700.0</v>
      </c>
      <c r="G358" s="6">
        <f t="shared" si="2"/>
        <v>0</v>
      </c>
    </row>
    <row r="359" ht="14.25" customHeight="1">
      <c r="A359" s="1"/>
      <c r="B359" s="2"/>
      <c r="C359" s="3" t="s">
        <v>9</v>
      </c>
      <c r="D359" s="4" t="s">
        <v>10</v>
      </c>
      <c r="E359" s="5"/>
      <c r="F359" s="20">
        <v>550.0</v>
      </c>
      <c r="G359" s="6"/>
    </row>
    <row r="360" ht="14.25" customHeight="1">
      <c r="A360" s="1"/>
      <c r="B360" s="2"/>
      <c r="C360" s="3">
        <v>150.0</v>
      </c>
      <c r="D360" s="4" t="s">
        <v>15</v>
      </c>
      <c r="E360" s="5">
        <v>670.0</v>
      </c>
      <c r="F360" s="5">
        <v>670.0</v>
      </c>
      <c r="G360" s="6">
        <f t="shared" ref="G360:G669" si="3">IFERROR(((F360-E360)/E360), "")</f>
        <v>0</v>
      </c>
    </row>
    <row r="361" ht="14.25" customHeight="1">
      <c r="A361" s="1"/>
      <c r="B361" s="2"/>
      <c r="C361" s="3" t="s">
        <v>16</v>
      </c>
      <c r="D361" s="4" t="s">
        <v>17</v>
      </c>
      <c r="E361" s="5">
        <v>9800.0</v>
      </c>
      <c r="F361" s="5">
        <v>9800.0</v>
      </c>
      <c r="G361" s="6">
        <f t="shared" si="3"/>
        <v>0</v>
      </c>
    </row>
    <row r="362" ht="14.25" customHeight="1">
      <c r="A362" s="1"/>
      <c r="B362" s="2"/>
      <c r="C362" s="3" t="s">
        <v>18</v>
      </c>
      <c r="D362" s="41" t="s">
        <v>19</v>
      </c>
      <c r="E362" s="5">
        <v>63500.0</v>
      </c>
      <c r="F362" s="5">
        <v>63500.0</v>
      </c>
      <c r="G362" s="6">
        <f t="shared" si="3"/>
        <v>0</v>
      </c>
    </row>
    <row r="363" ht="14.25" customHeight="1">
      <c r="A363" s="1"/>
      <c r="B363" s="2"/>
      <c r="C363" s="3" t="s">
        <v>20</v>
      </c>
      <c r="D363" s="4" t="s">
        <v>21</v>
      </c>
      <c r="E363" s="5">
        <v>16500.0</v>
      </c>
      <c r="F363" s="5">
        <v>16500.0</v>
      </c>
      <c r="G363" s="6">
        <f t="shared" si="3"/>
        <v>0</v>
      </c>
    </row>
    <row r="364" ht="14.25" customHeight="1">
      <c r="A364" s="1"/>
      <c r="B364" s="2"/>
      <c r="C364" s="3" t="s">
        <v>22</v>
      </c>
      <c r="D364" s="4" t="s">
        <v>17</v>
      </c>
      <c r="E364" s="5">
        <v>22000.0</v>
      </c>
      <c r="F364" s="5">
        <v>22000.0</v>
      </c>
      <c r="G364" s="6">
        <f t="shared" si="3"/>
        <v>0</v>
      </c>
    </row>
    <row r="365" ht="14.25" customHeight="1">
      <c r="A365" s="1"/>
      <c r="B365" s="22">
        <v>4320.0</v>
      </c>
      <c r="E365" s="23">
        <v>142470.0</v>
      </c>
      <c r="F365" s="23">
        <f>SUM(F356:F364)</f>
        <v>143020</v>
      </c>
      <c r="G365" s="6">
        <f t="shared" si="3"/>
        <v>0.003860461852</v>
      </c>
    </row>
    <row r="366" ht="14.25" customHeight="1">
      <c r="A366" s="1"/>
      <c r="B366" s="2"/>
      <c r="C366" s="54"/>
      <c r="D366" s="30"/>
      <c r="E366" s="32"/>
      <c r="F366" s="32"/>
      <c r="G366" s="6" t="str">
        <f t="shared" si="3"/>
        <v/>
      </c>
    </row>
    <row r="367" ht="14.25" customHeight="1">
      <c r="A367" s="1"/>
      <c r="B367" s="33">
        <v>4330.0</v>
      </c>
      <c r="C367" s="34"/>
      <c r="D367" s="35" t="s">
        <v>79</v>
      </c>
      <c r="E367" s="35">
        <v>2024.0</v>
      </c>
      <c r="F367" s="36">
        <v>2025.0</v>
      </c>
      <c r="G367" s="6">
        <f t="shared" si="3"/>
        <v>0.0004940711462</v>
      </c>
    </row>
    <row r="368" ht="14.25" customHeight="1">
      <c r="A368" s="1"/>
      <c r="B368" s="2"/>
      <c r="C368" s="3" t="s">
        <v>29</v>
      </c>
      <c r="D368" s="4" t="s">
        <v>25</v>
      </c>
      <c r="E368" s="5">
        <v>18500.0</v>
      </c>
      <c r="F368" s="5">
        <v>18500.0</v>
      </c>
      <c r="G368" s="6">
        <f t="shared" si="3"/>
        <v>0</v>
      </c>
    </row>
    <row r="369" ht="14.25" customHeight="1">
      <c r="A369" s="1"/>
      <c r="B369" s="2"/>
      <c r="C369" s="3" t="s">
        <v>5</v>
      </c>
      <c r="D369" s="4" t="s">
        <v>6</v>
      </c>
      <c r="E369" s="5">
        <v>0.0</v>
      </c>
      <c r="F369" s="5">
        <v>0.0</v>
      </c>
      <c r="G369" s="6" t="str">
        <f t="shared" si="3"/>
        <v/>
      </c>
    </row>
    <row r="370" ht="14.25" customHeight="1">
      <c r="A370" s="1"/>
      <c r="B370" s="2"/>
      <c r="C370" s="3" t="s">
        <v>7</v>
      </c>
      <c r="D370" s="4" t="s">
        <v>8</v>
      </c>
      <c r="E370" s="5">
        <v>12700.0</v>
      </c>
      <c r="F370" s="5">
        <v>12700.0</v>
      </c>
      <c r="G370" s="6">
        <f t="shared" si="3"/>
        <v>0</v>
      </c>
    </row>
    <row r="371" ht="14.25" customHeight="1">
      <c r="A371" s="1"/>
      <c r="B371" s="2"/>
      <c r="C371" s="3" t="s">
        <v>9</v>
      </c>
      <c r="D371" s="4" t="s">
        <v>10</v>
      </c>
      <c r="E371" s="5">
        <v>3650.0</v>
      </c>
      <c r="F371" s="20">
        <v>3900.0</v>
      </c>
      <c r="G371" s="6">
        <f t="shared" si="3"/>
        <v>0.06849315068</v>
      </c>
    </row>
    <row r="372" ht="14.25" customHeight="1">
      <c r="A372" s="1"/>
      <c r="B372" s="2"/>
      <c r="C372" s="3" t="s">
        <v>11</v>
      </c>
      <c r="D372" s="4" t="s">
        <v>12</v>
      </c>
      <c r="E372" s="5">
        <v>13500.0</v>
      </c>
      <c r="F372" s="5">
        <v>13500.0</v>
      </c>
      <c r="G372" s="6">
        <f t="shared" si="3"/>
        <v>0</v>
      </c>
    </row>
    <row r="373" ht="14.25" customHeight="1">
      <c r="A373" s="1"/>
      <c r="B373" s="2"/>
      <c r="C373" s="3" t="s">
        <v>13</v>
      </c>
      <c r="D373" s="21" t="s">
        <v>14</v>
      </c>
      <c r="E373" s="5">
        <v>16500.0</v>
      </c>
      <c r="F373" s="5">
        <v>16500.0</v>
      </c>
      <c r="G373" s="6">
        <f t="shared" si="3"/>
        <v>0</v>
      </c>
    </row>
    <row r="374" ht="14.25" customHeight="1">
      <c r="A374" s="1"/>
      <c r="B374" s="2"/>
      <c r="C374" s="3">
        <v>150.0</v>
      </c>
      <c r="D374" s="4" t="s">
        <v>15</v>
      </c>
      <c r="E374" s="5">
        <v>1570.0</v>
      </c>
      <c r="F374" s="5">
        <v>1570.0</v>
      </c>
      <c r="G374" s="6">
        <f t="shared" si="3"/>
        <v>0</v>
      </c>
    </row>
    <row r="375" ht="14.25" customHeight="1">
      <c r="A375" s="1"/>
      <c r="B375" s="2"/>
      <c r="C375" s="3" t="s">
        <v>26</v>
      </c>
      <c r="D375" s="4" t="s">
        <v>27</v>
      </c>
      <c r="E375" s="5">
        <v>310.0</v>
      </c>
      <c r="F375" s="20">
        <v>3000.0</v>
      </c>
      <c r="G375" s="6">
        <f t="shared" si="3"/>
        <v>8.677419355</v>
      </c>
    </row>
    <row r="376" ht="14.25" customHeight="1">
      <c r="A376" s="1"/>
      <c r="B376" s="2"/>
      <c r="C376" s="3" t="s">
        <v>16</v>
      </c>
      <c r="D376" s="4" t="s">
        <v>17</v>
      </c>
      <c r="E376" s="5">
        <v>20000.0</v>
      </c>
      <c r="F376" s="5">
        <v>20000.0</v>
      </c>
      <c r="G376" s="6">
        <f t="shared" si="3"/>
        <v>0</v>
      </c>
    </row>
    <row r="377" ht="14.25" customHeight="1">
      <c r="A377" s="1"/>
      <c r="B377" s="2"/>
      <c r="C377" s="3" t="s">
        <v>18</v>
      </c>
      <c r="D377" s="4" t="s">
        <v>19</v>
      </c>
      <c r="E377" s="5">
        <v>82000.0</v>
      </c>
      <c r="F377" s="5">
        <v>82000.0</v>
      </c>
      <c r="G377" s="6">
        <f t="shared" si="3"/>
        <v>0</v>
      </c>
    </row>
    <row r="378" ht="14.25" customHeight="1">
      <c r="A378" s="1"/>
      <c r="B378" s="2"/>
      <c r="C378" s="3" t="s">
        <v>33</v>
      </c>
      <c r="D378" s="4" t="s">
        <v>34</v>
      </c>
      <c r="E378" s="5">
        <v>2100.0</v>
      </c>
      <c r="F378" s="20">
        <v>12000.0</v>
      </c>
      <c r="G378" s="6">
        <f t="shared" si="3"/>
        <v>4.714285714</v>
      </c>
    </row>
    <row r="379" ht="14.25" customHeight="1">
      <c r="A379" s="1"/>
      <c r="B379" s="2"/>
      <c r="C379" s="3" t="s">
        <v>20</v>
      </c>
      <c r="D379" s="4" t="s">
        <v>21</v>
      </c>
      <c r="E379" s="5">
        <v>18500.0</v>
      </c>
      <c r="F379" s="5">
        <v>18500.0</v>
      </c>
      <c r="G379" s="6">
        <f t="shared" si="3"/>
        <v>0</v>
      </c>
    </row>
    <row r="380" ht="14.25" customHeight="1">
      <c r="A380" s="1"/>
      <c r="B380" s="2"/>
      <c r="C380" s="3" t="s">
        <v>22</v>
      </c>
      <c r="D380" s="4" t="s">
        <v>17</v>
      </c>
      <c r="E380" s="5">
        <v>29700.0</v>
      </c>
      <c r="F380" s="5">
        <v>29700.0</v>
      </c>
      <c r="G380" s="6">
        <f t="shared" si="3"/>
        <v>0</v>
      </c>
    </row>
    <row r="381" ht="14.25" customHeight="1">
      <c r="A381" s="1"/>
      <c r="B381" s="22">
        <v>4330.0</v>
      </c>
      <c r="E381" s="23">
        <v>219030.0</v>
      </c>
      <c r="F381" s="23">
        <f>SUM(F368:F380)</f>
        <v>231870</v>
      </c>
      <c r="G381" s="6">
        <f t="shared" si="3"/>
        <v>0.05862210656</v>
      </c>
    </row>
    <row r="382" ht="14.25" customHeight="1">
      <c r="A382" s="1"/>
      <c r="B382" s="2"/>
      <c r="C382" s="54"/>
      <c r="D382" s="30"/>
      <c r="E382" s="32"/>
      <c r="F382" s="32"/>
      <c r="G382" s="6" t="str">
        <f t="shared" si="3"/>
        <v/>
      </c>
    </row>
    <row r="383" ht="14.25" customHeight="1">
      <c r="A383" s="1"/>
      <c r="B383" s="33">
        <v>4930.0</v>
      </c>
      <c r="C383" s="34"/>
      <c r="D383" s="35" t="s">
        <v>80</v>
      </c>
      <c r="E383" s="35">
        <v>2024.0</v>
      </c>
      <c r="F383" s="36">
        <v>2025.0</v>
      </c>
      <c r="G383" s="6">
        <f t="shared" si="3"/>
        <v>0.0004940711462</v>
      </c>
    </row>
    <row r="384" ht="14.25" customHeight="1">
      <c r="A384" s="1"/>
      <c r="B384" s="2"/>
      <c r="C384" s="3" t="s">
        <v>24</v>
      </c>
      <c r="D384" s="4" t="s">
        <v>25</v>
      </c>
      <c r="E384" s="5">
        <v>19000.0</v>
      </c>
      <c r="F384" s="5">
        <v>19000.0</v>
      </c>
      <c r="G384" s="6">
        <f t="shared" si="3"/>
        <v>0</v>
      </c>
    </row>
    <row r="385" ht="14.25" customHeight="1">
      <c r="A385" s="1"/>
      <c r="B385" s="2"/>
      <c r="C385" s="3" t="s">
        <v>9</v>
      </c>
      <c r="D385" s="4" t="s">
        <v>10</v>
      </c>
      <c r="E385" s="5">
        <v>3600.0</v>
      </c>
      <c r="F385" s="5">
        <v>3600.0</v>
      </c>
      <c r="G385" s="6">
        <f t="shared" si="3"/>
        <v>0</v>
      </c>
    </row>
    <row r="386" ht="14.25" customHeight="1">
      <c r="A386" s="1"/>
      <c r="B386" s="2"/>
      <c r="C386" s="3" t="s">
        <v>11</v>
      </c>
      <c r="D386" s="4" t="s">
        <v>12</v>
      </c>
      <c r="E386" s="5">
        <v>8400.0</v>
      </c>
      <c r="F386" s="5">
        <v>8400.0</v>
      </c>
      <c r="G386" s="6">
        <f t="shared" si="3"/>
        <v>0</v>
      </c>
    </row>
    <row r="387" ht="14.25" customHeight="1">
      <c r="A387" s="1"/>
      <c r="B387" s="2"/>
      <c r="C387" s="3" t="s">
        <v>13</v>
      </c>
      <c r="D387" s="21" t="s">
        <v>14</v>
      </c>
      <c r="E387" s="5">
        <v>10000.0</v>
      </c>
      <c r="F387" s="5">
        <v>10000.0</v>
      </c>
      <c r="G387" s="6">
        <f t="shared" si="3"/>
        <v>0</v>
      </c>
    </row>
    <row r="388" ht="14.25" customHeight="1">
      <c r="A388" s="1"/>
      <c r="B388" s="2"/>
      <c r="C388" s="3">
        <v>150.0</v>
      </c>
      <c r="D388" s="4" t="s">
        <v>15</v>
      </c>
      <c r="E388" s="5">
        <v>900.0</v>
      </c>
      <c r="F388" s="5">
        <v>900.0</v>
      </c>
      <c r="G388" s="6">
        <f t="shared" si="3"/>
        <v>0</v>
      </c>
    </row>
    <row r="389" ht="14.25" customHeight="1">
      <c r="A389" s="1"/>
      <c r="B389" s="2"/>
      <c r="C389" s="3" t="s">
        <v>26</v>
      </c>
      <c r="D389" s="4" t="s">
        <v>27</v>
      </c>
      <c r="E389" s="5">
        <v>550.0</v>
      </c>
      <c r="F389" s="20">
        <v>3500.0</v>
      </c>
      <c r="G389" s="6">
        <f t="shared" si="3"/>
        <v>5.363636364</v>
      </c>
    </row>
    <row r="390" ht="14.25" customHeight="1">
      <c r="A390" s="1"/>
      <c r="B390" s="2"/>
      <c r="C390" s="3" t="s">
        <v>16</v>
      </c>
      <c r="D390" s="4" t="s">
        <v>17</v>
      </c>
      <c r="E390" s="5">
        <v>14000.0</v>
      </c>
      <c r="F390" s="5">
        <v>14000.0</v>
      </c>
      <c r="G390" s="6">
        <f t="shared" si="3"/>
        <v>0</v>
      </c>
    </row>
    <row r="391" ht="14.25" customHeight="1">
      <c r="A391" s="1"/>
      <c r="B391" s="22">
        <v>4930.0</v>
      </c>
      <c r="E391" s="23">
        <v>56450.0</v>
      </c>
      <c r="F391" s="23">
        <f>SUM(F384:F390)</f>
        <v>59400</v>
      </c>
      <c r="G391" s="6">
        <f t="shared" si="3"/>
        <v>0.05225863596</v>
      </c>
    </row>
    <row r="392" ht="14.25" customHeight="1">
      <c r="A392" s="1"/>
      <c r="B392" s="2"/>
      <c r="C392" s="3"/>
      <c r="D392" s="4"/>
      <c r="E392" s="5"/>
      <c r="F392" s="5"/>
      <c r="G392" s="6" t="str">
        <f t="shared" si="3"/>
        <v/>
      </c>
    </row>
    <row r="393" ht="14.25" customHeight="1">
      <c r="A393" s="1"/>
      <c r="B393" s="33">
        <v>9120.0</v>
      </c>
      <c r="C393" s="34"/>
      <c r="D393" s="35" t="s">
        <v>81</v>
      </c>
      <c r="E393" s="35">
        <v>2024.0</v>
      </c>
      <c r="F393" s="36">
        <v>2025.0</v>
      </c>
      <c r="G393" s="6">
        <f t="shared" si="3"/>
        <v>0.0004940711462</v>
      </c>
    </row>
    <row r="394" ht="14.25" customHeight="1">
      <c r="A394" s="1"/>
      <c r="B394" s="61"/>
      <c r="C394" s="3" t="s">
        <v>82</v>
      </c>
      <c r="D394" s="4" t="s">
        <v>19</v>
      </c>
      <c r="E394" s="20">
        <v>65080.0</v>
      </c>
      <c r="F394" s="20">
        <f> 65080 + 'Liberaciones &amp; Libre desig'!I3</f>
        <v>233080</v>
      </c>
      <c r="G394" s="6">
        <f t="shared" si="3"/>
        <v>2.58143823</v>
      </c>
      <c r="H394" s="38" t="s">
        <v>83</v>
      </c>
    </row>
    <row r="395" ht="14.25" customHeight="1">
      <c r="A395" s="1"/>
      <c r="B395" s="2"/>
      <c r="C395" s="3" t="s">
        <v>84</v>
      </c>
      <c r="D395" s="4" t="s">
        <v>85</v>
      </c>
      <c r="E395" s="20">
        <v>0.0</v>
      </c>
      <c r="F395" s="20">
        <f>'Liberaciones &amp; Libre desig'!I4</f>
        <v>105000</v>
      </c>
      <c r="G395" s="6" t="str">
        <f t="shared" si="3"/>
        <v/>
      </c>
    </row>
    <row r="396" ht="14.25" customHeight="1">
      <c r="A396" s="1"/>
      <c r="B396" s="2"/>
      <c r="C396" s="3" t="s">
        <v>5</v>
      </c>
      <c r="D396" s="4" t="s">
        <v>6</v>
      </c>
      <c r="E396" s="20">
        <v>15700.0</v>
      </c>
      <c r="F396" s="20">
        <v>15700.0</v>
      </c>
      <c r="G396" s="6">
        <f t="shared" si="3"/>
        <v>0</v>
      </c>
    </row>
    <row r="397" ht="14.25" customHeight="1">
      <c r="A397" s="1"/>
      <c r="B397" s="2"/>
      <c r="C397" s="3" t="s">
        <v>7</v>
      </c>
      <c r="D397" s="4" t="s">
        <v>8</v>
      </c>
      <c r="E397" s="20">
        <v>13500.0</v>
      </c>
      <c r="F397" s="20">
        <v>13500.0</v>
      </c>
      <c r="G397" s="6">
        <f t="shared" si="3"/>
        <v>0</v>
      </c>
    </row>
    <row r="398" ht="14.25" customHeight="1">
      <c r="A398" s="1"/>
      <c r="B398" s="2"/>
      <c r="C398" s="3" t="s">
        <v>9</v>
      </c>
      <c r="D398" s="4" t="s">
        <v>10</v>
      </c>
      <c r="E398" s="20">
        <v>4100.0</v>
      </c>
      <c r="F398" s="20">
        <v>4500.0</v>
      </c>
      <c r="G398" s="6">
        <f t="shared" si="3"/>
        <v>0.09756097561</v>
      </c>
    </row>
    <row r="399" ht="14.25" customHeight="1">
      <c r="A399" s="1"/>
      <c r="B399" s="2"/>
      <c r="C399" s="3" t="s">
        <v>11</v>
      </c>
      <c r="D399" s="4" t="s">
        <v>12</v>
      </c>
      <c r="E399" s="20">
        <v>11000.0</v>
      </c>
      <c r="F399" s="20">
        <v>11000.0</v>
      </c>
      <c r="G399" s="6">
        <f t="shared" si="3"/>
        <v>0</v>
      </c>
    </row>
    <row r="400" ht="14.25" customHeight="1">
      <c r="A400" s="1"/>
      <c r="B400" s="2"/>
      <c r="C400" s="3" t="s">
        <v>13</v>
      </c>
      <c r="D400" s="21" t="s">
        <v>14</v>
      </c>
      <c r="E400" s="20">
        <v>29000.0</v>
      </c>
      <c r="F400" s="20">
        <v>29000.0</v>
      </c>
      <c r="G400" s="6">
        <f t="shared" si="3"/>
        <v>0</v>
      </c>
    </row>
    <row r="401" ht="14.25" customHeight="1">
      <c r="A401" s="1"/>
      <c r="B401" s="2"/>
      <c r="C401" s="3">
        <v>150.0</v>
      </c>
      <c r="D401" s="4" t="s">
        <v>15</v>
      </c>
      <c r="E401" s="20">
        <v>1370.0</v>
      </c>
      <c r="F401" s="20">
        <v>1370.0</v>
      </c>
      <c r="G401" s="6">
        <f t="shared" si="3"/>
        <v>0</v>
      </c>
    </row>
    <row r="402" ht="14.25" customHeight="1">
      <c r="A402" s="1"/>
      <c r="B402" s="2"/>
      <c r="C402" s="3" t="s">
        <v>16</v>
      </c>
      <c r="D402" s="4" t="s">
        <v>17</v>
      </c>
      <c r="E402" s="20">
        <v>29370.0</v>
      </c>
      <c r="F402" s="20">
        <f> 29370 + 'Liberaciones &amp; Libre desig'!J3</f>
        <v>79770</v>
      </c>
      <c r="G402" s="6">
        <f t="shared" si="3"/>
        <v>1.716036772</v>
      </c>
    </row>
    <row r="403" ht="14.25" customHeight="1">
      <c r="A403" s="1"/>
      <c r="B403" s="2"/>
      <c r="C403" s="3" t="s">
        <v>22</v>
      </c>
      <c r="D403" s="4" t="s">
        <v>86</v>
      </c>
      <c r="E403" s="20">
        <v>18000.0</v>
      </c>
      <c r="F403" s="20">
        <f>18000 + 'Liberaciones &amp; Libre desig'!J4</f>
        <v>49500</v>
      </c>
      <c r="G403" s="6">
        <f t="shared" si="3"/>
        <v>1.75</v>
      </c>
    </row>
    <row r="404" ht="14.25" customHeight="1">
      <c r="A404" s="1"/>
      <c r="B404" s="22">
        <v>9120.0</v>
      </c>
      <c r="E404" s="23">
        <v>187120.0</v>
      </c>
      <c r="F404" s="23">
        <f>SUM(F394:F403)</f>
        <v>542420</v>
      </c>
      <c r="G404" s="6">
        <f t="shared" si="3"/>
        <v>1.898781531</v>
      </c>
      <c r="H404" s="38" t="s">
        <v>87</v>
      </c>
    </row>
    <row r="405" ht="14.25" customHeight="1">
      <c r="A405" s="1"/>
      <c r="B405" s="2"/>
      <c r="C405" s="3"/>
      <c r="D405" s="4"/>
      <c r="E405" s="5"/>
      <c r="F405" s="5"/>
      <c r="G405" s="6" t="str">
        <f t="shared" si="3"/>
        <v/>
      </c>
    </row>
    <row r="406" ht="14.25" customHeight="1">
      <c r="A406" s="1"/>
      <c r="B406" s="33">
        <v>9200.0</v>
      </c>
      <c r="C406" s="34"/>
      <c r="D406" s="35" t="s">
        <v>88</v>
      </c>
      <c r="E406" s="35">
        <v>2024.0</v>
      </c>
      <c r="F406" s="36">
        <v>2025.0</v>
      </c>
      <c r="G406" s="6">
        <f t="shared" si="3"/>
        <v>0.0004940711462</v>
      </c>
    </row>
    <row r="407" ht="14.25" customHeight="1">
      <c r="A407" s="1"/>
      <c r="B407" s="2"/>
      <c r="C407" s="3" t="s">
        <v>24</v>
      </c>
      <c r="D407" s="4" t="s">
        <v>25</v>
      </c>
      <c r="E407" s="5">
        <v>18600.0</v>
      </c>
      <c r="F407" s="5">
        <v>18600.0</v>
      </c>
      <c r="G407" s="6">
        <f t="shared" si="3"/>
        <v>0</v>
      </c>
    </row>
    <row r="408" ht="14.25" customHeight="1">
      <c r="A408" s="1"/>
      <c r="B408" s="2"/>
      <c r="C408" s="3" t="s">
        <v>5</v>
      </c>
      <c r="D408" s="4" t="s">
        <v>6</v>
      </c>
      <c r="E408" s="5">
        <v>70500.0</v>
      </c>
      <c r="F408" s="5">
        <v>70500.0</v>
      </c>
      <c r="G408" s="6">
        <f t="shared" si="3"/>
        <v>0</v>
      </c>
    </row>
    <row r="409" ht="14.25" customHeight="1">
      <c r="A409" s="1"/>
      <c r="B409" s="2"/>
      <c r="C409" s="3" t="s">
        <v>9</v>
      </c>
      <c r="D409" s="4" t="s">
        <v>10</v>
      </c>
      <c r="E409" s="5">
        <v>7700.0</v>
      </c>
      <c r="F409" s="20">
        <v>8100.0</v>
      </c>
      <c r="G409" s="6">
        <f t="shared" si="3"/>
        <v>0.05194805195</v>
      </c>
    </row>
    <row r="410" ht="14.25" customHeight="1">
      <c r="A410" s="1"/>
      <c r="B410" s="2"/>
      <c r="C410" s="3" t="s">
        <v>11</v>
      </c>
      <c r="D410" s="4" t="s">
        <v>12</v>
      </c>
      <c r="E410" s="5">
        <v>36800.0</v>
      </c>
      <c r="F410" s="5">
        <v>36800.0</v>
      </c>
      <c r="G410" s="6">
        <f t="shared" si="3"/>
        <v>0</v>
      </c>
    </row>
    <row r="411" ht="14.25" customHeight="1">
      <c r="A411" s="1"/>
      <c r="B411" s="2"/>
      <c r="C411" s="3" t="s">
        <v>13</v>
      </c>
      <c r="D411" s="21" t="s">
        <v>14</v>
      </c>
      <c r="E411" s="5">
        <v>47600.0</v>
      </c>
      <c r="F411" s="5">
        <v>47600.0</v>
      </c>
      <c r="G411" s="6">
        <f t="shared" si="3"/>
        <v>0</v>
      </c>
    </row>
    <row r="412" ht="14.25" customHeight="1">
      <c r="A412" s="1"/>
      <c r="B412" s="2"/>
      <c r="C412" s="3">
        <v>150.0</v>
      </c>
      <c r="D412" s="4" t="s">
        <v>15</v>
      </c>
      <c r="E412" s="5">
        <v>4210.0</v>
      </c>
      <c r="F412" s="5">
        <v>4210.0</v>
      </c>
      <c r="G412" s="6">
        <f t="shared" si="3"/>
        <v>0</v>
      </c>
    </row>
    <row r="413" ht="14.25" customHeight="1">
      <c r="A413" s="1"/>
      <c r="B413" s="2"/>
      <c r="C413" s="3" t="s">
        <v>26</v>
      </c>
      <c r="D413" s="4" t="s">
        <v>27</v>
      </c>
      <c r="E413" s="5">
        <v>1050.0</v>
      </c>
      <c r="F413" s="20">
        <v>6000.0</v>
      </c>
      <c r="G413" s="6">
        <f t="shared" si="3"/>
        <v>4.714285714</v>
      </c>
    </row>
    <row r="414" ht="14.25" customHeight="1">
      <c r="A414" s="1"/>
      <c r="B414" s="2"/>
      <c r="C414" s="3" t="s">
        <v>16</v>
      </c>
      <c r="D414" s="4" t="s">
        <v>17</v>
      </c>
      <c r="E414" s="5">
        <v>55500.0</v>
      </c>
      <c r="F414" s="5">
        <v>55500.0</v>
      </c>
      <c r="G414" s="6">
        <f t="shared" si="3"/>
        <v>0</v>
      </c>
    </row>
    <row r="415" ht="14.25" customHeight="1">
      <c r="A415" s="1"/>
      <c r="B415" s="22">
        <v>9200.0</v>
      </c>
      <c r="E415" s="23">
        <v>241960.0</v>
      </c>
      <c r="F415" s="23">
        <f>SUM(F407:F414)</f>
        <v>247310</v>
      </c>
      <c r="G415" s="6">
        <f t="shared" si="3"/>
        <v>0.02211109274</v>
      </c>
    </row>
    <row r="416" ht="14.25" customHeight="1">
      <c r="A416" s="1"/>
      <c r="B416" s="2"/>
      <c r="C416" s="54"/>
      <c r="D416" s="30"/>
      <c r="E416" s="32"/>
      <c r="F416" s="32"/>
      <c r="G416" s="6" t="str">
        <f t="shared" si="3"/>
        <v/>
      </c>
    </row>
    <row r="417" ht="14.25" customHeight="1">
      <c r="A417" s="1"/>
      <c r="B417" s="33">
        <v>9201.0</v>
      </c>
      <c r="C417" s="34"/>
      <c r="D417" s="35" t="s">
        <v>89</v>
      </c>
      <c r="E417" s="35">
        <v>2024.0</v>
      </c>
      <c r="F417" s="36">
        <v>2025.0</v>
      </c>
      <c r="G417" s="6">
        <f t="shared" si="3"/>
        <v>0.0004940711462</v>
      </c>
    </row>
    <row r="418" ht="14.25" customHeight="1">
      <c r="A418" s="1"/>
      <c r="B418" s="62"/>
      <c r="C418" s="3" t="s">
        <v>29</v>
      </c>
      <c r="D418" s="4" t="s">
        <v>30</v>
      </c>
      <c r="E418" s="5">
        <v>50000.0</v>
      </c>
      <c r="F418" s="20">
        <v>72000.0</v>
      </c>
      <c r="G418" s="6">
        <f t="shared" si="3"/>
        <v>0.44</v>
      </c>
    </row>
    <row r="419" ht="14.25" customHeight="1">
      <c r="A419" s="1"/>
      <c r="B419" s="62"/>
      <c r="C419" s="3" t="s">
        <v>5</v>
      </c>
      <c r="D419" s="4" t="s">
        <v>6</v>
      </c>
      <c r="E419" s="5">
        <v>30000.0</v>
      </c>
      <c r="F419" s="5">
        <v>30000.0</v>
      </c>
      <c r="G419" s="6">
        <f t="shared" si="3"/>
        <v>0</v>
      </c>
    </row>
    <row r="420" ht="14.25" customHeight="1">
      <c r="A420" s="1"/>
      <c r="B420" s="62"/>
      <c r="C420" s="3" t="s">
        <v>7</v>
      </c>
      <c r="D420" s="4" t="s">
        <v>8</v>
      </c>
      <c r="E420" s="5">
        <v>37000.0</v>
      </c>
      <c r="F420" s="5">
        <v>37000.0</v>
      </c>
      <c r="G420" s="6">
        <f t="shared" si="3"/>
        <v>0</v>
      </c>
    </row>
    <row r="421" ht="14.25" customHeight="1">
      <c r="A421" s="1"/>
      <c r="B421" s="62"/>
      <c r="C421" s="3" t="s">
        <v>43</v>
      </c>
      <c r="D421" s="4" t="s">
        <v>44</v>
      </c>
      <c r="E421" s="5">
        <v>12100.0</v>
      </c>
      <c r="F421" s="5">
        <v>12100.0</v>
      </c>
      <c r="G421" s="6">
        <f t="shared" si="3"/>
        <v>0</v>
      </c>
    </row>
    <row r="422" ht="14.25" customHeight="1">
      <c r="A422" s="1"/>
      <c r="B422" s="62"/>
      <c r="C422" s="3" t="s">
        <v>9</v>
      </c>
      <c r="D422" s="4" t="s">
        <v>10</v>
      </c>
      <c r="E422" s="5">
        <v>22000.0</v>
      </c>
      <c r="F422" s="20">
        <v>22350.0</v>
      </c>
      <c r="G422" s="6">
        <f t="shared" si="3"/>
        <v>0.01590909091</v>
      </c>
    </row>
    <row r="423" ht="14.25" customHeight="1">
      <c r="A423" s="1"/>
      <c r="B423" s="62"/>
      <c r="C423" s="3" t="s">
        <v>11</v>
      </c>
      <c r="D423" s="4" t="s">
        <v>12</v>
      </c>
      <c r="E423" s="5">
        <v>58000.0</v>
      </c>
      <c r="F423" s="20">
        <v>68000.0</v>
      </c>
      <c r="G423" s="6">
        <f t="shared" si="3"/>
        <v>0.1724137931</v>
      </c>
    </row>
    <row r="424" ht="14.25" customHeight="1">
      <c r="A424" s="1"/>
      <c r="B424" s="62"/>
      <c r="C424" s="3" t="s">
        <v>13</v>
      </c>
      <c r="D424" s="21" t="s">
        <v>14</v>
      </c>
      <c r="E424" s="5">
        <v>110000.0</v>
      </c>
      <c r="F424" s="20">
        <v>120000.0</v>
      </c>
      <c r="G424" s="6">
        <f t="shared" si="3"/>
        <v>0.09090909091</v>
      </c>
    </row>
    <row r="425" ht="14.25" customHeight="1">
      <c r="A425" s="1"/>
      <c r="B425" s="62"/>
      <c r="C425" s="3">
        <v>150.0</v>
      </c>
      <c r="D425" s="4" t="s">
        <v>15</v>
      </c>
      <c r="E425" s="5">
        <v>6000.0</v>
      </c>
      <c r="F425" s="20">
        <v>7000.0</v>
      </c>
      <c r="G425" s="6">
        <f t="shared" si="3"/>
        <v>0.1666666667</v>
      </c>
    </row>
    <row r="426" ht="14.25" customHeight="1">
      <c r="A426" s="1"/>
      <c r="B426" s="62"/>
      <c r="C426" s="3" t="s">
        <v>26</v>
      </c>
      <c r="D426" s="4" t="s">
        <v>27</v>
      </c>
      <c r="E426" s="5">
        <v>1100.0</v>
      </c>
      <c r="F426" s="20">
        <v>3000.0</v>
      </c>
      <c r="G426" s="6">
        <f t="shared" si="3"/>
        <v>1.727272727</v>
      </c>
    </row>
    <row r="427" ht="14.25" customHeight="1">
      <c r="A427" s="1"/>
      <c r="B427" s="62"/>
      <c r="C427" s="3" t="s">
        <v>16</v>
      </c>
      <c r="D427" s="4" t="s">
        <v>17</v>
      </c>
      <c r="E427" s="5">
        <v>80000.0</v>
      </c>
      <c r="F427" s="20">
        <v>96000.0</v>
      </c>
      <c r="G427" s="6">
        <f t="shared" si="3"/>
        <v>0.2</v>
      </c>
    </row>
    <row r="428" ht="14.25" customHeight="1">
      <c r="A428" s="1"/>
      <c r="B428" s="62"/>
      <c r="C428" s="3" t="s">
        <v>18</v>
      </c>
      <c r="D428" s="4" t="s">
        <v>19</v>
      </c>
      <c r="E428" s="5">
        <v>20000.0</v>
      </c>
      <c r="F428" s="5">
        <v>20000.0</v>
      </c>
      <c r="G428" s="6">
        <f t="shared" si="3"/>
        <v>0</v>
      </c>
    </row>
    <row r="429" ht="14.25" customHeight="1">
      <c r="A429" s="1"/>
      <c r="B429" s="62"/>
      <c r="C429" s="3" t="s">
        <v>20</v>
      </c>
      <c r="D429" s="4" t="s">
        <v>21</v>
      </c>
      <c r="E429" s="5">
        <v>950.0</v>
      </c>
      <c r="F429" s="5">
        <v>950.0</v>
      </c>
      <c r="G429" s="6">
        <f t="shared" si="3"/>
        <v>0</v>
      </c>
    </row>
    <row r="430" ht="14.25" customHeight="1">
      <c r="A430" s="1"/>
      <c r="B430" s="62"/>
      <c r="C430" s="3" t="s">
        <v>22</v>
      </c>
      <c r="D430" s="4" t="s">
        <v>17</v>
      </c>
      <c r="E430" s="5">
        <v>7100.0</v>
      </c>
      <c r="F430" s="5">
        <v>7100.0</v>
      </c>
      <c r="G430" s="6">
        <f t="shared" si="3"/>
        <v>0</v>
      </c>
    </row>
    <row r="431" ht="14.25" customHeight="1">
      <c r="A431" s="1"/>
      <c r="B431" s="22">
        <v>9201.0</v>
      </c>
      <c r="E431" s="23">
        <v>434250.0</v>
      </c>
      <c r="F431" s="23">
        <f>SUM(F418:F430)</f>
        <v>495500</v>
      </c>
      <c r="G431" s="6">
        <f t="shared" si="3"/>
        <v>0.1410477835</v>
      </c>
    </row>
    <row r="432" ht="14.25" customHeight="1">
      <c r="A432" s="1"/>
      <c r="B432" s="62"/>
      <c r="C432" s="30"/>
      <c r="D432" s="30"/>
      <c r="E432" s="32"/>
      <c r="F432" s="32"/>
      <c r="G432" s="6" t="str">
        <f t="shared" si="3"/>
        <v/>
      </c>
    </row>
    <row r="433" ht="14.25" customHeight="1">
      <c r="A433" s="1"/>
      <c r="B433" s="33">
        <v>9202.0</v>
      </c>
      <c r="C433" s="34"/>
      <c r="D433" s="35" t="s">
        <v>90</v>
      </c>
      <c r="E433" s="35">
        <v>2024.0</v>
      </c>
      <c r="F433" s="36">
        <v>2025.0</v>
      </c>
      <c r="G433" s="6">
        <f t="shared" si="3"/>
        <v>0.0004940711462</v>
      </c>
    </row>
    <row r="434" ht="14.25" customHeight="1">
      <c r="A434" s="1"/>
      <c r="B434" s="2"/>
      <c r="C434" s="3" t="s">
        <v>29</v>
      </c>
      <c r="D434" s="4" t="s">
        <v>30</v>
      </c>
      <c r="E434" s="5">
        <v>22500.0</v>
      </c>
      <c r="F434" s="20">
        <v>45000.0</v>
      </c>
      <c r="G434" s="6">
        <f t="shared" si="3"/>
        <v>1</v>
      </c>
    </row>
    <row r="435" ht="14.25" customHeight="1">
      <c r="A435" s="1"/>
      <c r="B435" s="2"/>
      <c r="C435" s="3" t="s">
        <v>5</v>
      </c>
      <c r="D435" s="4" t="s">
        <v>6</v>
      </c>
      <c r="E435" s="5">
        <v>15000.0</v>
      </c>
      <c r="F435" s="5">
        <v>15000.0</v>
      </c>
      <c r="G435" s="6">
        <f t="shared" si="3"/>
        <v>0</v>
      </c>
    </row>
    <row r="436" ht="14.25" customHeight="1">
      <c r="A436" s="1"/>
      <c r="B436" s="2"/>
      <c r="C436" s="3" t="s">
        <v>7</v>
      </c>
      <c r="D436" s="4" t="s">
        <v>8</v>
      </c>
      <c r="E436" s="5">
        <v>12200.0</v>
      </c>
      <c r="F436" s="5">
        <v>12200.0</v>
      </c>
      <c r="G436" s="6">
        <f t="shared" si="3"/>
        <v>0</v>
      </c>
    </row>
    <row r="437" ht="14.25" customHeight="1">
      <c r="A437" s="1"/>
      <c r="B437" s="2"/>
      <c r="C437" s="3" t="s">
        <v>9</v>
      </c>
      <c r="D437" s="4" t="s">
        <v>10</v>
      </c>
      <c r="E437" s="5">
        <v>4000.0</v>
      </c>
      <c r="F437" s="20">
        <v>5000.0</v>
      </c>
      <c r="G437" s="6">
        <f t="shared" si="3"/>
        <v>0.25</v>
      </c>
    </row>
    <row r="438" ht="14.25" customHeight="1">
      <c r="A438" s="1"/>
      <c r="B438" s="2"/>
      <c r="C438" s="3" t="s">
        <v>11</v>
      </c>
      <c r="D438" s="4" t="s">
        <v>12</v>
      </c>
      <c r="E438" s="5">
        <v>21500.0</v>
      </c>
      <c r="F438" s="20">
        <v>31500.0</v>
      </c>
      <c r="G438" s="6">
        <f t="shared" si="3"/>
        <v>0.4651162791</v>
      </c>
    </row>
    <row r="439" ht="14.25" customHeight="1">
      <c r="A439" s="1"/>
      <c r="B439" s="2"/>
      <c r="C439" s="3" t="s">
        <v>13</v>
      </c>
      <c r="D439" s="21" t="s">
        <v>14</v>
      </c>
      <c r="E439" s="5">
        <v>35000.0</v>
      </c>
      <c r="F439" s="20">
        <v>50000.0</v>
      </c>
      <c r="G439" s="6">
        <f t="shared" si="3"/>
        <v>0.4285714286</v>
      </c>
    </row>
    <row r="440" ht="14.25" customHeight="1">
      <c r="A440" s="1"/>
      <c r="B440" s="2"/>
      <c r="C440" s="3">
        <v>150.0</v>
      </c>
      <c r="D440" s="4" t="s">
        <v>15</v>
      </c>
      <c r="E440" s="5">
        <v>5000.0</v>
      </c>
      <c r="F440" s="5">
        <v>5000.0</v>
      </c>
      <c r="G440" s="6">
        <f t="shared" si="3"/>
        <v>0</v>
      </c>
    </row>
    <row r="441" ht="14.25" customHeight="1">
      <c r="A441" s="1"/>
      <c r="B441" s="2"/>
      <c r="C441" s="3" t="s">
        <v>26</v>
      </c>
      <c r="D441" s="4" t="s">
        <v>27</v>
      </c>
      <c r="E441" s="5">
        <v>1050.0</v>
      </c>
      <c r="F441" s="20">
        <v>15000.0</v>
      </c>
      <c r="G441" s="6">
        <f t="shared" si="3"/>
        <v>13.28571429</v>
      </c>
    </row>
    <row r="442" ht="14.25" customHeight="1">
      <c r="A442" s="1"/>
      <c r="B442" s="2"/>
      <c r="C442" s="3" t="s">
        <v>16</v>
      </c>
      <c r="D442" s="4" t="s">
        <v>17</v>
      </c>
      <c r="E442" s="5">
        <v>31500.0</v>
      </c>
      <c r="F442" s="20">
        <v>50000.0</v>
      </c>
      <c r="G442" s="6">
        <f t="shared" si="3"/>
        <v>0.5873015873</v>
      </c>
    </row>
    <row r="443" ht="14.25" customHeight="1">
      <c r="A443" s="1"/>
      <c r="B443" s="22">
        <v>9202.0</v>
      </c>
      <c r="E443" s="23">
        <v>147750.0</v>
      </c>
      <c r="F443" s="23">
        <f>SUM(F434:F442)</f>
        <v>228700</v>
      </c>
      <c r="G443" s="6">
        <f t="shared" si="3"/>
        <v>0.5478849408</v>
      </c>
    </row>
    <row r="444" ht="14.25" customHeight="1">
      <c r="A444" s="1"/>
      <c r="B444" s="2"/>
      <c r="C444" s="54"/>
      <c r="D444" s="30"/>
      <c r="E444" s="32"/>
      <c r="F444" s="32"/>
      <c r="G444" s="6" t="str">
        <f t="shared" si="3"/>
        <v/>
      </c>
    </row>
    <row r="445" ht="14.25" customHeight="1">
      <c r="A445" s="1"/>
      <c r="B445" s="33">
        <v>9310.0</v>
      </c>
      <c r="C445" s="34"/>
      <c r="D445" s="35" t="s">
        <v>91</v>
      </c>
      <c r="E445" s="35">
        <v>2024.0</v>
      </c>
      <c r="F445" s="36">
        <v>2025.0</v>
      </c>
      <c r="G445" s="6">
        <f t="shared" si="3"/>
        <v>0.0004940711462</v>
      </c>
    </row>
    <row r="446" ht="14.25" customHeight="1">
      <c r="A446" s="1"/>
      <c r="B446" s="2"/>
      <c r="C446" s="3" t="s">
        <v>29</v>
      </c>
      <c r="D446" s="4" t="s">
        <v>30</v>
      </c>
      <c r="E446" s="5">
        <v>87050.0</v>
      </c>
      <c r="F446" s="5">
        <v>116000.0</v>
      </c>
      <c r="G446" s="6">
        <f t="shared" si="3"/>
        <v>0.3325674899</v>
      </c>
      <c r="H446" s="38"/>
    </row>
    <row r="447" ht="14.25" customHeight="1">
      <c r="A447" s="1"/>
      <c r="B447" s="2"/>
      <c r="C447" s="3" t="s">
        <v>7</v>
      </c>
      <c r="D447" s="4" t="s">
        <v>8</v>
      </c>
      <c r="E447" s="5">
        <v>37500.0</v>
      </c>
      <c r="F447" s="5">
        <v>37500.0</v>
      </c>
      <c r="G447" s="6">
        <f t="shared" si="3"/>
        <v>0</v>
      </c>
    </row>
    <row r="448" ht="14.25" customHeight="1">
      <c r="A448" s="1"/>
      <c r="B448" s="2"/>
      <c r="C448" s="3" t="s">
        <v>9</v>
      </c>
      <c r="D448" s="4" t="s">
        <v>10</v>
      </c>
      <c r="E448" s="5">
        <v>19000.0</v>
      </c>
      <c r="F448" s="20">
        <v>20200.0</v>
      </c>
      <c r="G448" s="6">
        <f t="shared" si="3"/>
        <v>0.06315789474</v>
      </c>
    </row>
    <row r="449" ht="14.25" customHeight="1">
      <c r="A449" s="1"/>
      <c r="B449" s="2"/>
      <c r="C449" s="3" t="s">
        <v>11</v>
      </c>
      <c r="D449" s="4" t="s">
        <v>12</v>
      </c>
      <c r="E449" s="5">
        <v>59500.0</v>
      </c>
      <c r="F449" s="5">
        <v>74110.0</v>
      </c>
      <c r="G449" s="6">
        <f t="shared" si="3"/>
        <v>0.2455462185</v>
      </c>
      <c r="H449" s="38"/>
    </row>
    <row r="450" ht="14.25" customHeight="1">
      <c r="A450" s="1"/>
      <c r="B450" s="2"/>
      <c r="C450" s="3" t="s">
        <v>13</v>
      </c>
      <c r="D450" s="21" t="s">
        <v>14</v>
      </c>
      <c r="E450" s="5">
        <v>103000.0</v>
      </c>
      <c r="F450" s="5">
        <v>133550.0</v>
      </c>
      <c r="G450" s="6">
        <f t="shared" si="3"/>
        <v>0.2966019417</v>
      </c>
      <c r="H450" s="38"/>
    </row>
    <row r="451" ht="14.25" customHeight="1">
      <c r="A451" s="1"/>
      <c r="B451" s="2"/>
      <c r="C451" s="3">
        <v>150.0</v>
      </c>
      <c r="D451" s="4" t="s">
        <v>15</v>
      </c>
      <c r="E451" s="5">
        <v>5750.0</v>
      </c>
      <c r="F451" s="5">
        <v>6875.0</v>
      </c>
      <c r="G451" s="6">
        <f t="shared" si="3"/>
        <v>0.1956521739</v>
      </c>
      <c r="H451" s="38"/>
    </row>
    <row r="452" ht="14.25" customHeight="1">
      <c r="A452" s="1"/>
      <c r="B452" s="2"/>
      <c r="C452" s="3" t="s">
        <v>26</v>
      </c>
      <c r="D452" s="4" t="s">
        <v>27</v>
      </c>
      <c r="E452" s="5">
        <v>1050.0</v>
      </c>
      <c r="F452" s="20">
        <v>3000.0</v>
      </c>
      <c r="G452" s="6">
        <f t="shared" si="3"/>
        <v>1.857142857</v>
      </c>
    </row>
    <row r="453" ht="14.25" customHeight="1">
      <c r="A453" s="1"/>
      <c r="B453" s="2"/>
      <c r="C453" s="3" t="s">
        <v>16</v>
      </c>
      <c r="D453" s="4" t="s">
        <v>17</v>
      </c>
      <c r="E453" s="5">
        <v>80000.0</v>
      </c>
      <c r="F453" s="20">
        <v>109000.0</v>
      </c>
      <c r="G453" s="6">
        <f t="shared" si="3"/>
        <v>0.3625</v>
      </c>
      <c r="H453" s="38"/>
    </row>
    <row r="454" ht="14.25" customHeight="1">
      <c r="A454" s="1"/>
      <c r="B454" s="2"/>
      <c r="C454" s="3" t="s">
        <v>18</v>
      </c>
      <c r="D454" s="4" t="s">
        <v>19</v>
      </c>
      <c r="E454" s="5">
        <v>18500.0</v>
      </c>
      <c r="F454" s="5">
        <v>18500.0</v>
      </c>
      <c r="G454" s="6">
        <f t="shared" si="3"/>
        <v>0</v>
      </c>
    </row>
    <row r="455" ht="14.25" customHeight="1">
      <c r="A455" s="1"/>
      <c r="B455" s="2"/>
      <c r="C455" s="3" t="s">
        <v>20</v>
      </c>
      <c r="D455" s="4" t="s">
        <v>21</v>
      </c>
      <c r="E455" s="5">
        <v>5500.0</v>
      </c>
      <c r="F455" s="5">
        <v>5500.0</v>
      </c>
      <c r="G455" s="6">
        <f t="shared" si="3"/>
        <v>0</v>
      </c>
    </row>
    <row r="456" ht="14.25" customHeight="1">
      <c r="A456" s="1"/>
      <c r="B456" s="2"/>
      <c r="C456" s="3" t="s">
        <v>22</v>
      </c>
      <c r="D456" s="4" t="s">
        <v>17</v>
      </c>
      <c r="E456" s="5">
        <v>6800.0</v>
      </c>
      <c r="F456" s="5">
        <v>6800.0</v>
      </c>
      <c r="G456" s="6">
        <f t="shared" si="3"/>
        <v>0</v>
      </c>
    </row>
    <row r="457" ht="14.25" customHeight="1">
      <c r="A457" s="1"/>
      <c r="B457" s="22">
        <v>9310.0</v>
      </c>
      <c r="E457" s="23">
        <v>423650.0</v>
      </c>
      <c r="F457" s="23">
        <f>SUM(F446:F456)</f>
        <v>531035</v>
      </c>
      <c r="G457" s="6">
        <f t="shared" si="3"/>
        <v>0.2534757465</v>
      </c>
    </row>
    <row r="458" ht="14.25" customHeight="1">
      <c r="A458" s="1"/>
      <c r="B458" s="2"/>
      <c r="C458" s="54"/>
      <c r="D458" s="30"/>
      <c r="E458" s="32"/>
      <c r="F458" s="32"/>
      <c r="G458" s="6" t="str">
        <f t="shared" si="3"/>
        <v/>
      </c>
    </row>
    <row r="459" ht="14.25" customHeight="1">
      <c r="A459" s="1"/>
      <c r="B459" s="33">
        <v>9320.0</v>
      </c>
      <c r="C459" s="34"/>
      <c r="D459" s="35" t="s">
        <v>92</v>
      </c>
      <c r="E459" s="35">
        <v>2024.0</v>
      </c>
      <c r="F459" s="36">
        <v>2025.0</v>
      </c>
      <c r="G459" s="6">
        <f t="shared" si="3"/>
        <v>0.0004940711462</v>
      </c>
    </row>
    <row r="460" ht="14.25" customHeight="1">
      <c r="A460" s="1"/>
      <c r="B460" s="2"/>
      <c r="C460" s="3" t="s">
        <v>29</v>
      </c>
      <c r="D460" s="4" t="s">
        <v>30</v>
      </c>
      <c r="E460" s="5">
        <v>44000.0</v>
      </c>
      <c r="F460" s="5">
        <v>44000.0</v>
      </c>
      <c r="G460" s="6">
        <f t="shared" si="3"/>
        <v>0</v>
      </c>
    </row>
    <row r="461" ht="14.25" customHeight="1">
      <c r="A461" s="1"/>
      <c r="B461" s="2"/>
      <c r="C461" s="3" t="s">
        <v>24</v>
      </c>
      <c r="D461" s="4" t="s">
        <v>25</v>
      </c>
      <c r="E461" s="5">
        <v>58000.0</v>
      </c>
      <c r="F461" s="5">
        <v>58000.0</v>
      </c>
      <c r="G461" s="6">
        <f t="shared" si="3"/>
        <v>0</v>
      </c>
    </row>
    <row r="462" ht="14.25" customHeight="1">
      <c r="A462" s="1"/>
      <c r="B462" s="2"/>
      <c r="C462" s="3" t="s">
        <v>5</v>
      </c>
      <c r="D462" s="4" t="s">
        <v>6</v>
      </c>
      <c r="E462" s="5">
        <v>14000.0</v>
      </c>
      <c r="F462" s="5">
        <v>14000.0</v>
      </c>
      <c r="G462" s="6">
        <f t="shared" si="3"/>
        <v>0</v>
      </c>
    </row>
    <row r="463" ht="14.25" customHeight="1">
      <c r="A463" s="1"/>
      <c r="B463" s="2"/>
      <c r="C463" s="3" t="s">
        <v>7</v>
      </c>
      <c r="D463" s="4" t="s">
        <v>8</v>
      </c>
      <c r="E463" s="5">
        <v>66600.0</v>
      </c>
      <c r="F463" s="5">
        <v>66600.0</v>
      </c>
      <c r="G463" s="6">
        <f t="shared" si="3"/>
        <v>0</v>
      </c>
    </row>
    <row r="464" ht="14.25" customHeight="1">
      <c r="A464" s="1"/>
      <c r="B464" s="2"/>
      <c r="C464" s="3" t="s">
        <v>9</v>
      </c>
      <c r="D464" s="4" t="s">
        <v>10</v>
      </c>
      <c r="E464" s="5">
        <v>17000.0</v>
      </c>
      <c r="F464" s="20">
        <v>19000.0</v>
      </c>
      <c r="G464" s="6">
        <f t="shared" si="3"/>
        <v>0.1176470588</v>
      </c>
    </row>
    <row r="465" ht="14.25" customHeight="1">
      <c r="A465" s="1"/>
      <c r="B465" s="2"/>
      <c r="C465" s="3" t="s">
        <v>11</v>
      </c>
      <c r="D465" s="4" t="s">
        <v>12</v>
      </c>
      <c r="E465" s="5">
        <v>76020.0</v>
      </c>
      <c r="F465" s="5">
        <v>76020.0</v>
      </c>
      <c r="G465" s="6">
        <f t="shared" si="3"/>
        <v>0</v>
      </c>
    </row>
    <row r="466" ht="14.25" customHeight="1">
      <c r="A466" s="1"/>
      <c r="B466" s="2"/>
      <c r="C466" s="3" t="s">
        <v>13</v>
      </c>
      <c r="D466" s="21" t="s">
        <v>14</v>
      </c>
      <c r="E466" s="5">
        <v>114950.0</v>
      </c>
      <c r="F466" s="5">
        <v>114950.0</v>
      </c>
      <c r="G466" s="6">
        <f t="shared" si="3"/>
        <v>0</v>
      </c>
    </row>
    <row r="467" ht="14.25" customHeight="1">
      <c r="A467" s="1"/>
      <c r="B467" s="2"/>
      <c r="C467" s="3">
        <v>150.0</v>
      </c>
      <c r="D467" s="4" t="s">
        <v>15</v>
      </c>
      <c r="E467" s="5">
        <v>12250.0</v>
      </c>
      <c r="F467" s="5">
        <v>12250.0</v>
      </c>
      <c r="G467" s="6">
        <f t="shared" si="3"/>
        <v>0</v>
      </c>
    </row>
    <row r="468" ht="14.25" customHeight="1">
      <c r="A468" s="1"/>
      <c r="B468" s="2"/>
      <c r="C468" s="3" t="s">
        <v>26</v>
      </c>
      <c r="D468" s="4" t="s">
        <v>27</v>
      </c>
      <c r="E468" s="5">
        <v>10000.0</v>
      </c>
      <c r="F468" s="5">
        <v>10000.0</v>
      </c>
      <c r="G468" s="6">
        <f t="shared" si="3"/>
        <v>0</v>
      </c>
    </row>
    <row r="469" ht="14.25" customHeight="1">
      <c r="A469" s="1"/>
      <c r="B469" s="2"/>
      <c r="C469" s="3" t="s">
        <v>16</v>
      </c>
      <c r="D469" s="4" t="s">
        <v>17</v>
      </c>
      <c r="E469" s="5">
        <v>143100.0</v>
      </c>
      <c r="F469" s="5">
        <v>143100.0</v>
      </c>
      <c r="G469" s="6">
        <f t="shared" si="3"/>
        <v>0</v>
      </c>
    </row>
    <row r="470" ht="14.25" customHeight="1">
      <c r="A470" s="1"/>
      <c r="B470" s="2"/>
      <c r="C470" s="3" t="s">
        <v>18</v>
      </c>
      <c r="D470" s="4" t="s">
        <v>19</v>
      </c>
      <c r="E470" s="5">
        <v>115000.0</v>
      </c>
      <c r="F470" s="5">
        <v>115000.0</v>
      </c>
      <c r="G470" s="6">
        <f t="shared" si="3"/>
        <v>0</v>
      </c>
    </row>
    <row r="471" ht="14.25" customHeight="1">
      <c r="A471" s="1"/>
      <c r="B471" s="2"/>
      <c r="C471" s="3" t="s">
        <v>33</v>
      </c>
      <c r="D471" s="4" t="s">
        <v>34</v>
      </c>
      <c r="E471" s="5">
        <v>10000.0</v>
      </c>
      <c r="F471" s="5">
        <v>10000.0</v>
      </c>
      <c r="G471" s="6">
        <f t="shared" si="3"/>
        <v>0</v>
      </c>
    </row>
    <row r="472" ht="14.25" customHeight="1">
      <c r="A472" s="1"/>
      <c r="B472" s="2"/>
      <c r="C472" s="3" t="s">
        <v>20</v>
      </c>
      <c r="D472" s="4" t="s">
        <v>21</v>
      </c>
      <c r="E472" s="5">
        <v>29000.0</v>
      </c>
      <c r="F472" s="5">
        <v>29000.0</v>
      </c>
      <c r="G472" s="6">
        <f t="shared" si="3"/>
        <v>0</v>
      </c>
    </row>
    <row r="473" ht="14.25" customHeight="1">
      <c r="A473" s="1"/>
      <c r="B473" s="2"/>
      <c r="C473" s="3" t="s">
        <v>22</v>
      </c>
      <c r="D473" s="4" t="s">
        <v>17</v>
      </c>
      <c r="E473" s="5">
        <v>40500.0</v>
      </c>
      <c r="F473" s="5">
        <v>40500.0</v>
      </c>
      <c r="G473" s="6">
        <f t="shared" si="3"/>
        <v>0</v>
      </c>
    </row>
    <row r="474" ht="14.25" customHeight="1">
      <c r="A474" s="1"/>
      <c r="B474" s="22">
        <v>9320.0</v>
      </c>
      <c r="E474" s="23">
        <v>750420.0</v>
      </c>
      <c r="F474" s="23">
        <f>SUM(F460:F473)</f>
        <v>752420</v>
      </c>
      <c r="G474" s="6">
        <f t="shared" si="3"/>
        <v>0.002665174169</v>
      </c>
    </row>
    <row r="475" ht="14.25" customHeight="1">
      <c r="A475" s="1"/>
      <c r="B475" s="2"/>
      <c r="C475" s="30"/>
      <c r="D475" s="31"/>
      <c r="E475" s="32"/>
      <c r="F475" s="32"/>
      <c r="G475" s="6" t="str">
        <f t="shared" si="3"/>
        <v/>
      </c>
    </row>
    <row r="476" ht="14.25" customHeight="1">
      <c r="A476" s="1"/>
      <c r="B476" s="33">
        <v>9330.0</v>
      </c>
      <c r="C476" s="34"/>
      <c r="D476" s="35" t="s">
        <v>93</v>
      </c>
      <c r="E476" s="35">
        <v>2024.0</v>
      </c>
      <c r="F476" s="36">
        <v>2025.0</v>
      </c>
      <c r="G476" s="6">
        <f t="shared" si="3"/>
        <v>0.0004940711462</v>
      </c>
    </row>
    <row r="477" ht="14.25" customHeight="1">
      <c r="A477" s="1"/>
      <c r="B477" s="2"/>
      <c r="C477" s="3" t="s">
        <v>29</v>
      </c>
      <c r="D477" s="4" t="s">
        <v>30</v>
      </c>
      <c r="E477" s="5">
        <v>45000.0</v>
      </c>
      <c r="F477" s="20">
        <v>67000.0</v>
      </c>
      <c r="G477" s="6">
        <f t="shared" si="3"/>
        <v>0.4888888889</v>
      </c>
    </row>
    <row r="478" ht="14.25" customHeight="1">
      <c r="A478" s="1"/>
      <c r="B478" s="2"/>
      <c r="C478" s="3" t="s">
        <v>9</v>
      </c>
      <c r="D478" s="4" t="s">
        <v>10</v>
      </c>
      <c r="E478" s="5">
        <v>620.0</v>
      </c>
      <c r="F478" s="20">
        <v>1300.0</v>
      </c>
      <c r="G478" s="6">
        <f t="shared" si="3"/>
        <v>1.096774194</v>
      </c>
    </row>
    <row r="479" ht="14.25" customHeight="1">
      <c r="A479" s="1"/>
      <c r="B479" s="2"/>
      <c r="C479" s="3" t="s">
        <v>11</v>
      </c>
      <c r="D479" s="4" t="s">
        <v>12</v>
      </c>
      <c r="E479" s="5">
        <v>22100.0</v>
      </c>
      <c r="F479" s="20">
        <v>32100.0</v>
      </c>
      <c r="G479" s="6">
        <f t="shared" si="3"/>
        <v>0.4524886878</v>
      </c>
    </row>
    <row r="480" ht="14.25" customHeight="1">
      <c r="A480" s="1"/>
      <c r="B480" s="2"/>
      <c r="C480" s="3" t="s">
        <v>13</v>
      </c>
      <c r="D480" s="21" t="s">
        <v>14</v>
      </c>
      <c r="E480" s="5">
        <v>37000.0</v>
      </c>
      <c r="F480" s="20">
        <v>51000.0</v>
      </c>
      <c r="G480" s="6">
        <f t="shared" si="3"/>
        <v>0.3783783784</v>
      </c>
    </row>
    <row r="481" ht="14.25" customHeight="1">
      <c r="A481" s="1"/>
      <c r="B481" s="2"/>
      <c r="C481" s="3">
        <v>150.0</v>
      </c>
      <c r="D481" s="4" t="s">
        <v>15</v>
      </c>
      <c r="E481" s="5">
        <v>1800.0</v>
      </c>
      <c r="F481" s="5">
        <v>1800.0</v>
      </c>
      <c r="G481" s="6">
        <f t="shared" si="3"/>
        <v>0</v>
      </c>
    </row>
    <row r="482" ht="14.25" customHeight="1">
      <c r="A482" s="1"/>
      <c r="B482" s="2"/>
      <c r="C482" s="3" t="s">
        <v>26</v>
      </c>
      <c r="D482" s="4" t="s">
        <v>27</v>
      </c>
      <c r="E482" s="5">
        <v>210.0</v>
      </c>
      <c r="F482" s="5">
        <v>210.0</v>
      </c>
      <c r="G482" s="6">
        <f t="shared" si="3"/>
        <v>0</v>
      </c>
    </row>
    <row r="483" ht="14.25" customHeight="1">
      <c r="A483" s="1"/>
      <c r="B483" s="2"/>
      <c r="C483" s="3" t="s">
        <v>16</v>
      </c>
      <c r="D483" s="4" t="s">
        <v>17</v>
      </c>
      <c r="E483" s="5">
        <v>30000.0</v>
      </c>
      <c r="F483" s="20">
        <v>45000.0</v>
      </c>
      <c r="G483" s="6">
        <f t="shared" si="3"/>
        <v>0.5</v>
      </c>
    </row>
    <row r="484" ht="14.25" customHeight="1">
      <c r="A484" s="1"/>
      <c r="B484" s="2"/>
      <c r="C484" s="3" t="s">
        <v>18</v>
      </c>
      <c r="D484" s="4" t="s">
        <v>19</v>
      </c>
      <c r="E484" s="5">
        <v>35000.0</v>
      </c>
      <c r="F484" s="5">
        <v>35000.0</v>
      </c>
      <c r="G484" s="6">
        <f t="shared" si="3"/>
        <v>0</v>
      </c>
    </row>
    <row r="485" ht="14.25" customHeight="1">
      <c r="A485" s="1"/>
      <c r="B485" s="2"/>
      <c r="C485" s="3" t="s">
        <v>20</v>
      </c>
      <c r="D485" s="4" t="s">
        <v>21</v>
      </c>
      <c r="E485" s="5">
        <v>11500.0</v>
      </c>
      <c r="F485" s="5">
        <v>11500.0</v>
      </c>
      <c r="G485" s="6">
        <f t="shared" si="3"/>
        <v>0</v>
      </c>
    </row>
    <row r="486" ht="14.25" customHeight="1">
      <c r="A486" s="1"/>
      <c r="B486" s="2"/>
      <c r="C486" s="3" t="s">
        <v>22</v>
      </c>
      <c r="D486" s="4" t="s">
        <v>17</v>
      </c>
      <c r="E486" s="5">
        <v>13800.0</v>
      </c>
      <c r="F486" s="5">
        <v>13800.0</v>
      </c>
      <c r="G486" s="6">
        <f t="shared" si="3"/>
        <v>0</v>
      </c>
    </row>
    <row r="487" ht="14.25" customHeight="1">
      <c r="A487" s="1"/>
      <c r="B487" s="22">
        <v>9330.0</v>
      </c>
      <c r="E487" s="23">
        <v>197030.0</v>
      </c>
      <c r="F487" s="23">
        <f>SUM(F477:F486)</f>
        <v>258710</v>
      </c>
      <c r="G487" s="6">
        <f t="shared" si="3"/>
        <v>0.3130487743</v>
      </c>
    </row>
    <row r="488" ht="14.25" customHeight="1">
      <c r="A488" s="1"/>
      <c r="B488" s="2"/>
      <c r="C488" s="30"/>
      <c r="D488" s="31"/>
      <c r="E488" s="32"/>
      <c r="F488" s="32"/>
      <c r="G488" s="6" t="str">
        <f t="shared" si="3"/>
        <v/>
      </c>
    </row>
    <row r="489" ht="14.25" customHeight="1">
      <c r="A489" s="1"/>
      <c r="B489" s="33">
        <v>9340.0</v>
      </c>
      <c r="C489" s="34"/>
      <c r="D489" s="35" t="s">
        <v>94</v>
      </c>
      <c r="E489" s="35">
        <v>2024.0</v>
      </c>
      <c r="F489" s="36">
        <v>2025.0</v>
      </c>
      <c r="G489" s="6">
        <f t="shared" si="3"/>
        <v>0.0004940711462</v>
      </c>
    </row>
    <row r="490" ht="14.25" customHeight="1">
      <c r="A490" s="1"/>
      <c r="B490" s="2"/>
      <c r="C490" s="3" t="s">
        <v>29</v>
      </c>
      <c r="D490" s="4" t="s">
        <v>30</v>
      </c>
      <c r="E490" s="5">
        <v>25050.0</v>
      </c>
      <c r="F490" s="5">
        <v>25050.0</v>
      </c>
      <c r="G490" s="6">
        <f t="shared" si="3"/>
        <v>0</v>
      </c>
    </row>
    <row r="491" ht="14.25" customHeight="1">
      <c r="A491" s="1"/>
      <c r="B491" s="2"/>
      <c r="C491" s="3" t="s">
        <v>9</v>
      </c>
      <c r="D491" s="4" t="s">
        <v>10</v>
      </c>
      <c r="E491" s="5">
        <v>7300.0</v>
      </c>
      <c r="F491" s="5">
        <v>7300.0</v>
      </c>
      <c r="G491" s="6">
        <f t="shared" si="3"/>
        <v>0</v>
      </c>
    </row>
    <row r="492" ht="14.25" customHeight="1">
      <c r="A492" s="1"/>
      <c r="B492" s="2"/>
      <c r="C492" s="3" t="s">
        <v>11</v>
      </c>
      <c r="D492" s="4" t="s">
        <v>12</v>
      </c>
      <c r="E492" s="5">
        <v>14000.0</v>
      </c>
      <c r="F492" s="5">
        <v>14000.0</v>
      </c>
      <c r="G492" s="6">
        <f t="shared" si="3"/>
        <v>0</v>
      </c>
    </row>
    <row r="493" ht="14.25" customHeight="1">
      <c r="A493" s="1"/>
      <c r="B493" s="2"/>
      <c r="C493" s="3" t="s">
        <v>13</v>
      </c>
      <c r="D493" s="21" t="s">
        <v>14</v>
      </c>
      <c r="E493" s="5">
        <v>26500.0</v>
      </c>
      <c r="F493" s="5">
        <v>26500.0</v>
      </c>
      <c r="G493" s="6">
        <f t="shared" si="3"/>
        <v>0</v>
      </c>
    </row>
    <row r="494" ht="14.25" customHeight="1">
      <c r="A494" s="1"/>
      <c r="B494" s="2"/>
      <c r="C494" s="3">
        <v>150.0</v>
      </c>
      <c r="D494" s="4" t="s">
        <v>15</v>
      </c>
      <c r="E494" s="5">
        <v>900.0</v>
      </c>
      <c r="F494" s="5">
        <v>900.0</v>
      </c>
      <c r="G494" s="6">
        <f t="shared" si="3"/>
        <v>0</v>
      </c>
    </row>
    <row r="495" ht="14.25" customHeight="1">
      <c r="A495" s="1"/>
      <c r="B495" s="2"/>
      <c r="C495" s="3">
        <v>151.0</v>
      </c>
      <c r="D495" s="21" t="s">
        <v>27</v>
      </c>
      <c r="E495" s="5">
        <v>650.0</v>
      </c>
      <c r="F495" s="5">
        <v>650.0</v>
      </c>
      <c r="G495" s="6">
        <f t="shared" si="3"/>
        <v>0</v>
      </c>
    </row>
    <row r="496" ht="14.25" customHeight="1">
      <c r="A496" s="1"/>
      <c r="B496" s="2"/>
      <c r="C496" s="3" t="s">
        <v>16</v>
      </c>
      <c r="D496" s="4" t="s">
        <v>17</v>
      </c>
      <c r="E496" s="5">
        <v>14000.0</v>
      </c>
      <c r="F496" s="5">
        <v>14000.0</v>
      </c>
      <c r="G496" s="6">
        <f t="shared" si="3"/>
        <v>0</v>
      </c>
    </row>
    <row r="497" ht="14.25" customHeight="1">
      <c r="A497" s="1"/>
      <c r="B497" s="2"/>
      <c r="C497" s="3" t="s">
        <v>18</v>
      </c>
      <c r="D497" s="4" t="s">
        <v>19</v>
      </c>
      <c r="E497" s="5">
        <v>13000.0</v>
      </c>
      <c r="F497" s="5">
        <v>13000.0</v>
      </c>
      <c r="G497" s="6">
        <f t="shared" si="3"/>
        <v>0</v>
      </c>
    </row>
    <row r="498" ht="14.25" customHeight="1">
      <c r="A498" s="1"/>
      <c r="B498" s="2"/>
      <c r="C498" s="3" t="s">
        <v>33</v>
      </c>
      <c r="D498" s="4" t="s">
        <v>34</v>
      </c>
      <c r="E498" s="20">
        <v>0.0</v>
      </c>
      <c r="F498" s="20">
        <v>3000.0</v>
      </c>
      <c r="G498" s="6" t="str">
        <f t="shared" si="3"/>
        <v/>
      </c>
    </row>
    <row r="499" ht="14.25" customHeight="1">
      <c r="A499" s="1"/>
      <c r="B499" s="2"/>
      <c r="C499" s="3" t="s">
        <v>20</v>
      </c>
      <c r="D499" s="4" t="s">
        <v>21</v>
      </c>
      <c r="E499" s="5">
        <v>5500.0</v>
      </c>
      <c r="F499" s="5">
        <v>5500.0</v>
      </c>
      <c r="G499" s="6">
        <f t="shared" si="3"/>
        <v>0</v>
      </c>
    </row>
    <row r="500" ht="14.25" customHeight="1">
      <c r="A500" s="1"/>
      <c r="B500" s="2"/>
      <c r="C500" s="3" t="s">
        <v>22</v>
      </c>
      <c r="D500" s="4" t="s">
        <v>17</v>
      </c>
      <c r="E500" s="5">
        <v>5900.0</v>
      </c>
      <c r="F500" s="5">
        <v>5900.0</v>
      </c>
      <c r="G500" s="6">
        <f t="shared" si="3"/>
        <v>0</v>
      </c>
    </row>
    <row r="501" ht="14.25" customHeight="1">
      <c r="A501" s="1"/>
      <c r="B501" s="22">
        <v>9340.0</v>
      </c>
      <c r="E501" s="23">
        <v>112800.0</v>
      </c>
      <c r="F501" s="23">
        <f>SUM(F490:F500)</f>
        <v>115800</v>
      </c>
      <c r="G501" s="6">
        <f t="shared" si="3"/>
        <v>0.02659574468</v>
      </c>
    </row>
    <row r="502" ht="14.25" customHeight="1">
      <c r="A502" s="1"/>
      <c r="B502" s="61"/>
      <c r="C502" s="61"/>
      <c r="D502" s="63"/>
      <c r="E502" s="64"/>
      <c r="F502" s="64"/>
      <c r="G502" s="6" t="str">
        <f t="shared" si="3"/>
        <v/>
      </c>
    </row>
    <row r="503" ht="14.25" customHeight="1">
      <c r="A503" s="1"/>
      <c r="B503" s="2"/>
      <c r="C503" s="54"/>
      <c r="D503" s="22" t="s">
        <v>95</v>
      </c>
      <c r="E503" s="65">
        <v>1.49082905E7</v>
      </c>
      <c r="F503" s="65">
        <f>SUM(F16,F27,F40,F50,F64,F71,F88,F106,F117,F129,F147,F160,F171,F180,F197,F215,F220,F237,F244,F251,F265,F280,F287,F300,F315,F325,F336,F353,F365,F381,F391,F404,F415,F431,F443,F457,F474,F487,F501)</f>
        <v>15562398.5</v>
      </c>
      <c r="G503" s="6">
        <f t="shared" si="3"/>
        <v>0.04387545306</v>
      </c>
      <c r="H503" s="66"/>
      <c r="I503" s="67"/>
      <c r="J503" s="68"/>
      <c r="K503" s="66"/>
    </row>
    <row r="504" ht="14.25" customHeight="1">
      <c r="A504" s="1"/>
      <c r="B504" s="2"/>
      <c r="C504" s="54"/>
      <c r="D504" s="22"/>
      <c r="E504" s="32"/>
      <c r="F504" s="69"/>
      <c r="G504" s="6" t="str">
        <f t="shared" si="3"/>
        <v/>
      </c>
    </row>
    <row r="505" ht="14.25" customHeight="1">
      <c r="A505" s="1"/>
      <c r="B505" s="2"/>
      <c r="C505" s="54"/>
      <c r="D505" s="22"/>
      <c r="E505" s="32"/>
      <c r="F505" s="32"/>
      <c r="G505" s="6" t="str">
        <f t="shared" si="3"/>
        <v/>
      </c>
    </row>
    <row r="506" ht="14.25" customHeight="1">
      <c r="A506" s="1"/>
      <c r="B506" s="2"/>
      <c r="C506" s="54"/>
      <c r="D506" s="22"/>
      <c r="E506" s="32"/>
      <c r="F506" s="32"/>
      <c r="G506" s="6" t="str">
        <f t="shared" si="3"/>
        <v/>
      </c>
    </row>
    <row r="507" ht="14.25" customHeight="1">
      <c r="A507" s="1"/>
      <c r="B507" s="8" t="s">
        <v>0</v>
      </c>
      <c r="C507" s="9"/>
      <c r="D507" s="10" t="s">
        <v>96</v>
      </c>
      <c r="E507" s="11"/>
      <c r="F507" s="11"/>
      <c r="G507" s="6" t="str">
        <f t="shared" si="3"/>
        <v/>
      </c>
    </row>
    <row r="508" ht="14.25" customHeight="1">
      <c r="A508" s="1"/>
      <c r="B508" s="12" t="s">
        <v>2</v>
      </c>
      <c r="C508" s="13" t="s">
        <v>3</v>
      </c>
      <c r="D508" s="14"/>
      <c r="E508" s="15">
        <v>2024.0</v>
      </c>
      <c r="F508" s="70">
        <v>2025.0</v>
      </c>
      <c r="G508" s="6">
        <f t="shared" si="3"/>
        <v>0.0004940711462</v>
      </c>
    </row>
    <row r="509" ht="14.25" customHeight="1">
      <c r="A509" s="1"/>
      <c r="B509" s="71">
        <v>1320.0</v>
      </c>
      <c r="C509" s="72"/>
      <c r="D509" s="50" t="s">
        <v>23</v>
      </c>
      <c r="E509" s="51">
        <v>2024.0</v>
      </c>
      <c r="F509" s="51">
        <v>2025.0</v>
      </c>
      <c r="G509" s="6">
        <f t="shared" si="3"/>
        <v>0.0004940711462</v>
      </c>
    </row>
    <row r="510" ht="14.25" customHeight="1">
      <c r="A510" s="1"/>
      <c r="B510" s="2"/>
      <c r="C510" s="54">
        <v>203.0</v>
      </c>
      <c r="D510" s="73" t="s">
        <v>97</v>
      </c>
      <c r="E510" s="20">
        <v>500.0</v>
      </c>
      <c r="F510" s="5">
        <v>500.0</v>
      </c>
      <c r="G510" s="6">
        <f t="shared" si="3"/>
        <v>0</v>
      </c>
    </row>
    <row r="511" ht="14.25" customHeight="1">
      <c r="A511" s="1"/>
      <c r="B511" s="2"/>
      <c r="C511" s="54">
        <v>212.0</v>
      </c>
      <c r="D511" s="73" t="s">
        <v>98</v>
      </c>
      <c r="E511" s="20">
        <v>46000.0</v>
      </c>
      <c r="F511" s="5">
        <v>46000.0</v>
      </c>
      <c r="G511" s="6">
        <f t="shared" si="3"/>
        <v>0</v>
      </c>
    </row>
    <row r="512" ht="14.25" customHeight="1">
      <c r="A512" s="1"/>
      <c r="B512" s="2"/>
      <c r="C512" s="54">
        <v>213.0</v>
      </c>
      <c r="D512" s="73" t="s">
        <v>99</v>
      </c>
      <c r="E512" s="20">
        <v>6000.0</v>
      </c>
      <c r="F512" s="5">
        <v>6000.0</v>
      </c>
      <c r="G512" s="6">
        <f t="shared" si="3"/>
        <v>0</v>
      </c>
    </row>
    <row r="513" ht="14.25" customHeight="1">
      <c r="A513" s="1"/>
      <c r="B513" s="2"/>
      <c r="C513" s="54">
        <v>214.0</v>
      </c>
      <c r="D513" s="73" t="s">
        <v>100</v>
      </c>
      <c r="E513" s="20">
        <v>6000.0</v>
      </c>
      <c r="F513" s="20">
        <v>74000.0</v>
      </c>
      <c r="G513" s="6">
        <f t="shared" si="3"/>
        <v>11.33333333</v>
      </c>
    </row>
    <row r="514" ht="14.25" customHeight="1">
      <c r="A514" s="1"/>
      <c r="B514" s="2"/>
      <c r="C514" s="54">
        <v>215.0</v>
      </c>
      <c r="D514" s="73" t="s">
        <v>101</v>
      </c>
      <c r="E514" s="20">
        <v>500.0</v>
      </c>
      <c r="F514" s="5">
        <v>500.0</v>
      </c>
      <c r="G514" s="6">
        <f t="shared" si="3"/>
        <v>0</v>
      </c>
    </row>
    <row r="515" ht="14.25" customHeight="1">
      <c r="A515" s="1"/>
      <c r="B515" s="2"/>
      <c r="C515" s="54">
        <v>216.0</v>
      </c>
      <c r="D515" s="74" t="s">
        <v>102</v>
      </c>
      <c r="E515" s="20">
        <v>8500.0</v>
      </c>
      <c r="F515" s="5">
        <v>8500.0</v>
      </c>
      <c r="G515" s="6">
        <f t="shared" si="3"/>
        <v>0</v>
      </c>
    </row>
    <row r="516" ht="14.25" customHeight="1">
      <c r="A516" s="1"/>
      <c r="B516" s="2"/>
      <c r="C516" s="54" t="s">
        <v>103</v>
      </c>
      <c r="D516" s="31" t="s">
        <v>104</v>
      </c>
      <c r="E516" s="20">
        <v>10000.0</v>
      </c>
      <c r="F516" s="5">
        <v>10000.0</v>
      </c>
      <c r="G516" s="6">
        <f t="shared" si="3"/>
        <v>0</v>
      </c>
    </row>
    <row r="517" ht="14.25" customHeight="1">
      <c r="A517" s="1"/>
      <c r="B517" s="2"/>
      <c r="C517" s="54" t="s">
        <v>105</v>
      </c>
      <c r="D517" s="73" t="s">
        <v>106</v>
      </c>
      <c r="E517" s="20">
        <v>10000.0</v>
      </c>
      <c r="F517" s="5">
        <v>10000.0</v>
      </c>
      <c r="G517" s="6">
        <f t="shared" si="3"/>
        <v>0</v>
      </c>
    </row>
    <row r="518" ht="14.25" customHeight="1">
      <c r="A518" s="1"/>
      <c r="B518" s="2"/>
      <c r="C518" s="54" t="s">
        <v>107</v>
      </c>
      <c r="D518" s="31" t="s">
        <v>108</v>
      </c>
      <c r="E518" s="20">
        <v>0.0</v>
      </c>
      <c r="F518" s="5">
        <v>0.0</v>
      </c>
      <c r="G518" s="6" t="str">
        <f t="shared" si="3"/>
        <v/>
      </c>
    </row>
    <row r="519" ht="14.25" customHeight="1">
      <c r="A519" s="1"/>
      <c r="B519" s="2"/>
      <c r="C519" s="54" t="s">
        <v>109</v>
      </c>
      <c r="D519" s="31" t="s">
        <v>110</v>
      </c>
      <c r="E519" s="20">
        <v>5200.0</v>
      </c>
      <c r="F519" s="5">
        <v>5200.0</v>
      </c>
      <c r="G519" s="6">
        <f t="shared" si="3"/>
        <v>0</v>
      </c>
    </row>
    <row r="520" ht="14.25" customHeight="1">
      <c r="A520" s="1"/>
      <c r="B520" s="2"/>
      <c r="C520" s="54" t="s">
        <v>111</v>
      </c>
      <c r="D520" s="31" t="s">
        <v>112</v>
      </c>
      <c r="E520" s="20">
        <v>20000.0</v>
      </c>
      <c r="F520" s="20">
        <v>35000.0</v>
      </c>
      <c r="G520" s="6">
        <f t="shared" si="3"/>
        <v>0.75</v>
      </c>
    </row>
    <row r="521" ht="14.25" customHeight="1">
      <c r="A521" s="1"/>
      <c r="B521" s="2"/>
      <c r="C521" s="54" t="s">
        <v>113</v>
      </c>
      <c r="D521" s="31" t="s">
        <v>114</v>
      </c>
      <c r="E521" s="20">
        <v>8500.0</v>
      </c>
      <c r="F521" s="5">
        <v>8500.0</v>
      </c>
      <c r="G521" s="6">
        <f t="shared" si="3"/>
        <v>0</v>
      </c>
    </row>
    <row r="522" ht="14.25" customHeight="1">
      <c r="A522" s="1"/>
      <c r="B522" s="2"/>
      <c r="C522" s="54" t="s">
        <v>115</v>
      </c>
      <c r="D522" s="31" t="s">
        <v>116</v>
      </c>
      <c r="E522" s="20">
        <v>3500.0</v>
      </c>
      <c r="F522" s="5">
        <v>3500.0</v>
      </c>
      <c r="G522" s="6">
        <f t="shared" si="3"/>
        <v>0</v>
      </c>
    </row>
    <row r="523" ht="14.25" customHeight="1">
      <c r="A523" s="1"/>
      <c r="B523" s="2"/>
      <c r="C523" s="54" t="s">
        <v>117</v>
      </c>
      <c r="D523" s="31" t="s">
        <v>118</v>
      </c>
      <c r="E523" s="20">
        <v>0.0</v>
      </c>
      <c r="F523" s="5">
        <v>0.0</v>
      </c>
      <c r="G523" s="6" t="str">
        <f t="shared" si="3"/>
        <v/>
      </c>
    </row>
    <row r="524" ht="14.25" customHeight="1">
      <c r="A524" s="1"/>
      <c r="B524" s="2"/>
      <c r="C524" s="54">
        <v>224.0</v>
      </c>
      <c r="D524" s="31" t="s">
        <v>119</v>
      </c>
      <c r="E524" s="20">
        <v>2600.0</v>
      </c>
      <c r="F524" s="5">
        <v>2600.0</v>
      </c>
      <c r="G524" s="6">
        <f t="shared" si="3"/>
        <v>0</v>
      </c>
    </row>
    <row r="525" ht="14.25" customHeight="1">
      <c r="A525" s="1"/>
      <c r="B525" s="2"/>
      <c r="C525" s="54" t="s">
        <v>120</v>
      </c>
      <c r="D525" s="31" t="s">
        <v>121</v>
      </c>
      <c r="E525" s="20">
        <v>100.0</v>
      </c>
      <c r="F525" s="5">
        <v>100.0</v>
      </c>
      <c r="G525" s="6">
        <f t="shared" si="3"/>
        <v>0</v>
      </c>
    </row>
    <row r="526" ht="14.25" customHeight="1">
      <c r="A526" s="1"/>
      <c r="B526" s="2"/>
      <c r="C526" s="54" t="s">
        <v>122</v>
      </c>
      <c r="D526" s="73" t="s">
        <v>123</v>
      </c>
      <c r="E526" s="20">
        <v>10000.0</v>
      </c>
      <c r="F526" s="20">
        <v>0.0</v>
      </c>
      <c r="G526" s="6">
        <f t="shared" si="3"/>
        <v>-1</v>
      </c>
    </row>
    <row r="527" ht="14.25" customHeight="1">
      <c r="A527" s="1"/>
      <c r="B527" s="2"/>
      <c r="C527" s="54" t="s">
        <v>124</v>
      </c>
      <c r="D527" s="73" t="s">
        <v>125</v>
      </c>
      <c r="E527" s="20">
        <v>100.0</v>
      </c>
      <c r="F527" s="5">
        <v>100.0</v>
      </c>
      <c r="G527" s="6">
        <f t="shared" si="3"/>
        <v>0</v>
      </c>
    </row>
    <row r="528" ht="14.25" customHeight="1">
      <c r="A528" s="1"/>
      <c r="B528" s="2"/>
      <c r="C528" s="54" t="s">
        <v>126</v>
      </c>
      <c r="D528" s="73" t="s">
        <v>127</v>
      </c>
      <c r="E528" s="20">
        <v>100.0</v>
      </c>
      <c r="F528" s="5">
        <v>100.0</v>
      </c>
      <c r="G528" s="6">
        <f t="shared" si="3"/>
        <v>0</v>
      </c>
    </row>
    <row r="529" ht="14.25" customHeight="1">
      <c r="A529" s="1"/>
      <c r="B529" s="2"/>
      <c r="C529" s="54" t="s">
        <v>128</v>
      </c>
      <c r="D529" s="73" t="s">
        <v>129</v>
      </c>
      <c r="E529" s="20">
        <v>4500.0</v>
      </c>
      <c r="F529" s="5">
        <v>4500.0</v>
      </c>
      <c r="G529" s="6">
        <f t="shared" si="3"/>
        <v>0</v>
      </c>
    </row>
    <row r="530" ht="14.25" customHeight="1">
      <c r="A530" s="1"/>
      <c r="B530" s="2"/>
      <c r="C530" s="54" t="s">
        <v>130</v>
      </c>
      <c r="D530" s="73" t="s">
        <v>131</v>
      </c>
      <c r="E530" s="20">
        <v>22000.0</v>
      </c>
      <c r="F530" s="5">
        <v>22000.0</v>
      </c>
      <c r="G530" s="6">
        <f t="shared" si="3"/>
        <v>0</v>
      </c>
    </row>
    <row r="531" ht="14.25" customHeight="1">
      <c r="A531" s="1"/>
      <c r="B531" s="2"/>
      <c r="C531" s="54" t="s">
        <v>132</v>
      </c>
      <c r="D531" s="73" t="s">
        <v>133</v>
      </c>
      <c r="E531" s="20">
        <v>9000.0</v>
      </c>
      <c r="F531" s="5">
        <v>9000.0</v>
      </c>
      <c r="G531" s="6">
        <f t="shared" si="3"/>
        <v>0</v>
      </c>
    </row>
    <row r="532" ht="14.25" customHeight="1">
      <c r="A532" s="1"/>
      <c r="B532" s="22">
        <v>1320.0</v>
      </c>
      <c r="E532" s="53">
        <v>173100.0</v>
      </c>
      <c r="F532" s="23">
        <f>SUM(F510:F531)</f>
        <v>246100</v>
      </c>
      <c r="G532" s="6">
        <f t="shared" si="3"/>
        <v>0.4217215482</v>
      </c>
    </row>
    <row r="533" ht="14.25" customHeight="1">
      <c r="A533" s="1"/>
      <c r="B533" s="22"/>
      <c r="C533" s="4"/>
      <c r="D533" s="4"/>
      <c r="E533" s="32"/>
      <c r="F533" s="32"/>
      <c r="G533" s="6" t="str">
        <f t="shared" si="3"/>
        <v/>
      </c>
    </row>
    <row r="534" ht="14.25" customHeight="1">
      <c r="A534" s="1"/>
      <c r="B534" s="33">
        <v>1330.0</v>
      </c>
      <c r="C534" s="34"/>
      <c r="D534" s="35" t="s">
        <v>134</v>
      </c>
      <c r="E534" s="36">
        <v>2024.0</v>
      </c>
      <c r="F534" s="36">
        <v>2025.0</v>
      </c>
      <c r="G534" s="6">
        <f t="shared" si="3"/>
        <v>0.0004940711462</v>
      </c>
    </row>
    <row r="535" ht="14.25" customHeight="1">
      <c r="A535" s="1"/>
      <c r="B535" s="2"/>
      <c r="C535" s="54">
        <v>213.0</v>
      </c>
      <c r="D535" s="73" t="s">
        <v>99</v>
      </c>
      <c r="E535" s="20">
        <v>0.0</v>
      </c>
      <c r="F535" s="5">
        <v>0.0</v>
      </c>
      <c r="G535" s="6" t="str">
        <f t="shared" si="3"/>
        <v/>
      </c>
    </row>
    <row r="536" ht="14.25" customHeight="1">
      <c r="A536" s="1"/>
      <c r="B536" s="2"/>
      <c r="C536" s="54" t="s">
        <v>105</v>
      </c>
      <c r="D536" s="73" t="s">
        <v>106</v>
      </c>
      <c r="E536" s="20">
        <v>3300.0</v>
      </c>
      <c r="F536" s="5">
        <v>3300.0</v>
      </c>
      <c r="G536" s="6">
        <f t="shared" si="3"/>
        <v>0</v>
      </c>
    </row>
    <row r="537" ht="14.25" customHeight="1">
      <c r="A537" s="1"/>
      <c r="B537" s="2"/>
      <c r="C537" s="54" t="s">
        <v>117</v>
      </c>
      <c r="D537" s="31" t="s">
        <v>118</v>
      </c>
      <c r="E537" s="20">
        <v>40000.0</v>
      </c>
      <c r="F537" s="5">
        <v>40000.0</v>
      </c>
      <c r="G537" s="6">
        <f t="shared" si="3"/>
        <v>0</v>
      </c>
    </row>
    <row r="538" ht="14.25" customHeight="1">
      <c r="A538" s="1"/>
      <c r="B538" s="2"/>
      <c r="C538" s="54" t="s">
        <v>130</v>
      </c>
      <c r="D538" s="31" t="s">
        <v>135</v>
      </c>
      <c r="E538" s="20">
        <v>684000.0</v>
      </c>
      <c r="F538" s="20">
        <v>620000.0</v>
      </c>
      <c r="G538" s="6">
        <f t="shared" si="3"/>
        <v>-0.09356725146</v>
      </c>
      <c r="H538" s="75"/>
      <c r="I538" s="76"/>
      <c r="J538" s="76"/>
      <c r="K538" s="76"/>
    </row>
    <row r="539" ht="14.25" customHeight="1">
      <c r="A539" s="1"/>
      <c r="B539" s="22">
        <v>1330.0</v>
      </c>
      <c r="E539" s="53">
        <v>727300.0</v>
      </c>
      <c r="F539" s="23">
        <f>SUM(F535:F538)</f>
        <v>663300</v>
      </c>
      <c r="G539" s="6">
        <f t="shared" si="3"/>
        <v>-0.08799670012</v>
      </c>
    </row>
    <row r="540" ht="14.25" customHeight="1">
      <c r="A540" s="1"/>
      <c r="B540" s="2"/>
      <c r="C540" s="3"/>
      <c r="D540" s="4"/>
      <c r="E540" s="5"/>
      <c r="F540" s="5"/>
      <c r="G540" s="6" t="str">
        <f t="shared" si="3"/>
        <v/>
      </c>
    </row>
    <row r="541" ht="14.25" customHeight="1">
      <c r="A541" s="1"/>
      <c r="B541" s="33">
        <v>1350.0</v>
      </c>
      <c r="C541" s="34"/>
      <c r="D541" s="35" t="s">
        <v>136</v>
      </c>
      <c r="E541" s="36">
        <v>2024.0</v>
      </c>
      <c r="F541" s="36">
        <v>2025.0</v>
      </c>
      <c r="G541" s="6">
        <f t="shared" si="3"/>
        <v>0.0004940711462</v>
      </c>
    </row>
    <row r="542" ht="14.25" customHeight="1">
      <c r="A542" s="1"/>
      <c r="B542" s="2"/>
      <c r="C542" s="54">
        <v>203.0</v>
      </c>
      <c r="D542" s="73" t="s">
        <v>97</v>
      </c>
      <c r="E542" s="20">
        <v>24000.0</v>
      </c>
      <c r="F542" s="20">
        <v>20000.0</v>
      </c>
      <c r="G542" s="6">
        <f t="shared" si="3"/>
        <v>-0.1666666667</v>
      </c>
    </row>
    <row r="543" ht="14.25" customHeight="1">
      <c r="A543" s="1"/>
      <c r="B543" s="2"/>
      <c r="C543" s="54">
        <v>212.0</v>
      </c>
      <c r="D543" s="73" t="s">
        <v>98</v>
      </c>
      <c r="E543" s="20">
        <v>6000.0</v>
      </c>
      <c r="F543" s="5">
        <v>6000.0</v>
      </c>
      <c r="G543" s="6">
        <f t="shared" si="3"/>
        <v>0</v>
      </c>
    </row>
    <row r="544" ht="14.25" customHeight="1">
      <c r="A544" s="1"/>
      <c r="B544" s="2"/>
      <c r="C544" s="54">
        <v>213.0</v>
      </c>
      <c r="D544" s="73" t="s">
        <v>99</v>
      </c>
      <c r="E544" s="20">
        <v>3000.0</v>
      </c>
      <c r="F544" s="5">
        <v>3000.0</v>
      </c>
      <c r="G544" s="6">
        <f t="shared" si="3"/>
        <v>0</v>
      </c>
    </row>
    <row r="545" ht="14.25" customHeight="1">
      <c r="A545" s="1"/>
      <c r="B545" s="2"/>
      <c r="C545" s="54">
        <v>214.0</v>
      </c>
      <c r="D545" s="73" t="s">
        <v>100</v>
      </c>
      <c r="E545" s="20">
        <v>5000.0</v>
      </c>
      <c r="F545" s="5">
        <v>5000.0</v>
      </c>
      <c r="G545" s="6">
        <f t="shared" si="3"/>
        <v>0</v>
      </c>
    </row>
    <row r="546" ht="14.25" customHeight="1">
      <c r="A546" s="1"/>
      <c r="B546" s="2"/>
      <c r="C546" s="54" t="s">
        <v>103</v>
      </c>
      <c r="D546" s="31" t="s">
        <v>104</v>
      </c>
      <c r="E546" s="20">
        <v>1000.0</v>
      </c>
      <c r="F546" s="5">
        <v>1000.0</v>
      </c>
      <c r="G546" s="6">
        <f t="shared" si="3"/>
        <v>0</v>
      </c>
    </row>
    <row r="547" ht="14.25" customHeight="1">
      <c r="A547" s="1"/>
      <c r="B547" s="2"/>
      <c r="C547" s="54" t="s">
        <v>105</v>
      </c>
      <c r="D547" s="73" t="s">
        <v>106</v>
      </c>
      <c r="E547" s="20">
        <v>2000.0</v>
      </c>
      <c r="F547" s="5">
        <v>2000.0</v>
      </c>
      <c r="G547" s="6">
        <f t="shared" si="3"/>
        <v>0</v>
      </c>
    </row>
    <row r="548" ht="14.25" customHeight="1">
      <c r="A548" s="1"/>
      <c r="B548" s="2"/>
      <c r="C548" s="54" t="s">
        <v>109</v>
      </c>
      <c r="D548" s="31" t="s">
        <v>110</v>
      </c>
      <c r="E548" s="20">
        <v>4000.0</v>
      </c>
      <c r="F548" s="5">
        <v>4000.0</v>
      </c>
      <c r="G548" s="6">
        <f t="shared" si="3"/>
        <v>0</v>
      </c>
    </row>
    <row r="549" ht="14.25" customHeight="1">
      <c r="A549" s="1"/>
      <c r="B549" s="2"/>
      <c r="C549" s="54" t="s">
        <v>111</v>
      </c>
      <c r="D549" s="73" t="s">
        <v>112</v>
      </c>
      <c r="E549" s="20">
        <v>3000.0</v>
      </c>
      <c r="F549" s="20">
        <v>24000.0</v>
      </c>
      <c r="G549" s="6">
        <f t="shared" si="3"/>
        <v>7</v>
      </c>
    </row>
    <row r="550" ht="14.25" customHeight="1">
      <c r="A550" s="1"/>
      <c r="B550" s="2"/>
      <c r="C550" s="54" t="s">
        <v>113</v>
      </c>
      <c r="D550" s="31" t="s">
        <v>114</v>
      </c>
      <c r="E550" s="20">
        <v>300.0</v>
      </c>
      <c r="F550" s="5">
        <v>300.0</v>
      </c>
      <c r="G550" s="6">
        <f t="shared" si="3"/>
        <v>0</v>
      </c>
    </row>
    <row r="551" ht="14.25" customHeight="1">
      <c r="A551" s="1"/>
      <c r="B551" s="2"/>
      <c r="C551" s="54" t="s">
        <v>115</v>
      </c>
      <c r="D551" s="31" t="s">
        <v>116</v>
      </c>
      <c r="E551" s="20">
        <v>600.0</v>
      </c>
      <c r="F551" s="5">
        <v>600.0</v>
      </c>
      <c r="G551" s="6">
        <f t="shared" si="3"/>
        <v>0</v>
      </c>
    </row>
    <row r="552" ht="14.25" customHeight="1">
      <c r="A552" s="1"/>
      <c r="B552" s="2"/>
      <c r="C552" s="54">
        <v>224.0</v>
      </c>
      <c r="D552" s="73" t="s">
        <v>119</v>
      </c>
      <c r="E552" s="20">
        <v>6000.0</v>
      </c>
      <c r="F552" s="5">
        <v>6000.0</v>
      </c>
      <c r="G552" s="6">
        <f t="shared" si="3"/>
        <v>0</v>
      </c>
    </row>
    <row r="553" ht="14.25" customHeight="1">
      <c r="A553" s="1"/>
      <c r="B553" s="2"/>
      <c r="C553" s="54" t="s">
        <v>122</v>
      </c>
      <c r="D553" s="73" t="s">
        <v>123</v>
      </c>
      <c r="E553" s="20">
        <v>500.0</v>
      </c>
      <c r="F553" s="5">
        <v>500.0</v>
      </c>
      <c r="G553" s="6">
        <f t="shared" si="3"/>
        <v>0</v>
      </c>
    </row>
    <row r="554" ht="14.25" customHeight="1">
      <c r="A554" s="1"/>
      <c r="B554" s="2"/>
      <c r="C554" s="54" t="s">
        <v>124</v>
      </c>
      <c r="D554" s="73" t="s">
        <v>125</v>
      </c>
      <c r="E554" s="20">
        <v>100.0</v>
      </c>
      <c r="F554" s="5">
        <v>100.0</v>
      </c>
      <c r="G554" s="6">
        <f t="shared" si="3"/>
        <v>0</v>
      </c>
    </row>
    <row r="555" ht="14.25" customHeight="1">
      <c r="A555" s="1"/>
      <c r="B555" s="2"/>
      <c r="C555" s="54" t="s">
        <v>128</v>
      </c>
      <c r="D555" s="73" t="s">
        <v>129</v>
      </c>
      <c r="E555" s="20">
        <v>5700.0</v>
      </c>
      <c r="F555" s="5">
        <v>5700.0</v>
      </c>
      <c r="G555" s="6">
        <f t="shared" si="3"/>
        <v>0</v>
      </c>
    </row>
    <row r="556" ht="14.25" customHeight="1">
      <c r="A556" s="1"/>
      <c r="B556" s="2"/>
      <c r="C556" s="54" t="s">
        <v>132</v>
      </c>
      <c r="D556" s="73" t="s">
        <v>133</v>
      </c>
      <c r="E556" s="20">
        <v>100.0</v>
      </c>
      <c r="F556" s="5">
        <v>100.0</v>
      </c>
      <c r="G556" s="6">
        <f t="shared" si="3"/>
        <v>0</v>
      </c>
    </row>
    <row r="557" ht="14.25" customHeight="1">
      <c r="A557" s="1"/>
      <c r="B557" s="22">
        <v>1350.0</v>
      </c>
      <c r="E557" s="53">
        <v>61300.0</v>
      </c>
      <c r="F557" s="23">
        <f>SUM(F542:F556)</f>
        <v>78300</v>
      </c>
      <c r="G557" s="6">
        <f t="shared" si="3"/>
        <v>0.277324633</v>
      </c>
    </row>
    <row r="558" ht="14.25" customHeight="1">
      <c r="A558" s="1"/>
      <c r="B558" s="2"/>
      <c r="C558" s="3"/>
      <c r="D558" s="4"/>
      <c r="E558" s="5"/>
      <c r="F558" s="5"/>
      <c r="G558" s="6" t="str">
        <f t="shared" si="3"/>
        <v/>
      </c>
    </row>
    <row r="559" ht="14.25" customHeight="1">
      <c r="A559" s="1"/>
      <c r="B559" s="33">
        <v>1360.0</v>
      </c>
      <c r="C559" s="34"/>
      <c r="D559" s="35" t="s">
        <v>28</v>
      </c>
      <c r="E559" s="36">
        <v>2024.0</v>
      </c>
      <c r="F559" s="36">
        <v>2025.0</v>
      </c>
      <c r="G559" s="6">
        <f t="shared" si="3"/>
        <v>0.0004940711462</v>
      </c>
    </row>
    <row r="560" ht="14.25" customHeight="1">
      <c r="A560" s="1"/>
      <c r="B560" s="2"/>
      <c r="C560" s="54">
        <v>203.0</v>
      </c>
      <c r="D560" s="73" t="s">
        <v>97</v>
      </c>
      <c r="E560" s="20">
        <v>300.0</v>
      </c>
      <c r="F560" s="5">
        <v>300.0</v>
      </c>
      <c r="G560" s="6">
        <f t="shared" si="3"/>
        <v>0</v>
      </c>
    </row>
    <row r="561" ht="14.25" customHeight="1">
      <c r="A561" s="1"/>
      <c r="B561" s="2"/>
      <c r="C561" s="54">
        <v>212.0</v>
      </c>
      <c r="D561" s="73" t="s">
        <v>98</v>
      </c>
      <c r="E561" s="20">
        <v>72000.0</v>
      </c>
      <c r="F561" s="5">
        <v>72000.0</v>
      </c>
      <c r="G561" s="6">
        <f t="shared" si="3"/>
        <v>0</v>
      </c>
    </row>
    <row r="562" ht="14.25" customHeight="1">
      <c r="A562" s="1"/>
      <c r="B562" s="2"/>
      <c r="C562" s="54">
        <v>213.0</v>
      </c>
      <c r="D562" s="73" t="s">
        <v>99</v>
      </c>
      <c r="E562" s="20">
        <v>40000.0</v>
      </c>
      <c r="F562" s="5">
        <v>40000.0</v>
      </c>
      <c r="G562" s="6">
        <f t="shared" si="3"/>
        <v>0</v>
      </c>
    </row>
    <row r="563" ht="14.25" customHeight="1">
      <c r="A563" s="1"/>
      <c r="B563" s="2"/>
      <c r="C563" s="54">
        <v>214.0</v>
      </c>
      <c r="D563" s="73" t="s">
        <v>100</v>
      </c>
      <c r="E563" s="20">
        <v>20000.0</v>
      </c>
      <c r="F563" s="5">
        <v>20000.0</v>
      </c>
      <c r="G563" s="6">
        <f t="shared" si="3"/>
        <v>0</v>
      </c>
    </row>
    <row r="564" ht="14.25" customHeight="1">
      <c r="A564" s="1"/>
      <c r="B564" s="2"/>
      <c r="C564" s="54" t="s">
        <v>103</v>
      </c>
      <c r="D564" s="73" t="s">
        <v>104</v>
      </c>
      <c r="E564" s="20">
        <v>1500.0</v>
      </c>
      <c r="F564" s="5">
        <v>1500.0</v>
      </c>
      <c r="G564" s="6">
        <f t="shared" si="3"/>
        <v>0</v>
      </c>
    </row>
    <row r="565" ht="14.25" customHeight="1">
      <c r="A565" s="1"/>
      <c r="B565" s="2"/>
      <c r="C565" s="54" t="s">
        <v>105</v>
      </c>
      <c r="D565" s="77" t="s">
        <v>137</v>
      </c>
      <c r="E565" s="20">
        <v>14000.0</v>
      </c>
      <c r="F565" s="5">
        <v>14000.0</v>
      </c>
      <c r="G565" s="6">
        <f t="shared" si="3"/>
        <v>0</v>
      </c>
    </row>
    <row r="566" ht="14.25" customHeight="1">
      <c r="A566" s="1"/>
      <c r="B566" s="2"/>
      <c r="C566" s="54" t="s">
        <v>107</v>
      </c>
      <c r="D566" s="73" t="s">
        <v>108</v>
      </c>
      <c r="E566" s="20">
        <v>12000.0</v>
      </c>
      <c r="F566" s="5">
        <v>12000.0</v>
      </c>
      <c r="G566" s="6">
        <f t="shared" si="3"/>
        <v>0</v>
      </c>
    </row>
    <row r="567" ht="14.25" customHeight="1">
      <c r="A567" s="1"/>
      <c r="B567" s="2"/>
      <c r="C567" s="54" t="s">
        <v>109</v>
      </c>
      <c r="D567" s="31" t="s">
        <v>110</v>
      </c>
      <c r="E567" s="20">
        <v>12000.0</v>
      </c>
      <c r="F567" s="5">
        <v>12000.0</v>
      </c>
      <c r="G567" s="6">
        <f t="shared" si="3"/>
        <v>0</v>
      </c>
    </row>
    <row r="568" ht="14.25" customHeight="1">
      <c r="A568" s="1"/>
      <c r="B568" s="2"/>
      <c r="C568" s="54" t="s">
        <v>111</v>
      </c>
      <c r="D568" s="73" t="s">
        <v>112</v>
      </c>
      <c r="E568" s="20">
        <v>22500.0</v>
      </c>
      <c r="F568" s="5">
        <v>22500.0</v>
      </c>
      <c r="G568" s="6">
        <f t="shared" si="3"/>
        <v>0</v>
      </c>
    </row>
    <row r="569" ht="14.25" customHeight="1">
      <c r="A569" s="1"/>
      <c r="B569" s="2"/>
      <c r="C569" s="54" t="s">
        <v>113</v>
      </c>
      <c r="D569" s="73" t="s">
        <v>114</v>
      </c>
      <c r="E569" s="20">
        <v>5000.0</v>
      </c>
      <c r="F569" s="5">
        <v>5000.0</v>
      </c>
      <c r="G569" s="6">
        <f t="shared" si="3"/>
        <v>0</v>
      </c>
    </row>
    <row r="570" ht="14.25" customHeight="1">
      <c r="A570" s="1"/>
      <c r="B570" s="2"/>
      <c r="C570" s="54" t="s">
        <v>115</v>
      </c>
      <c r="D570" s="73" t="s">
        <v>116</v>
      </c>
      <c r="E570" s="20">
        <v>2000.0</v>
      </c>
      <c r="F570" s="5">
        <v>2000.0</v>
      </c>
      <c r="G570" s="6">
        <f t="shared" si="3"/>
        <v>0</v>
      </c>
    </row>
    <row r="571" ht="14.25" customHeight="1">
      <c r="A571" s="1"/>
      <c r="B571" s="2"/>
      <c r="C571" s="54">
        <v>224.0</v>
      </c>
      <c r="D571" s="73" t="s">
        <v>119</v>
      </c>
      <c r="E571" s="20">
        <v>15000.0</v>
      </c>
      <c r="F571" s="5">
        <v>15000.0</v>
      </c>
      <c r="G571" s="6">
        <f t="shared" si="3"/>
        <v>0</v>
      </c>
    </row>
    <row r="572" ht="14.25" customHeight="1">
      <c r="A572" s="1"/>
      <c r="B572" s="2"/>
      <c r="C572" s="54" t="s">
        <v>120</v>
      </c>
      <c r="D572" s="31" t="s">
        <v>121</v>
      </c>
      <c r="E572" s="20">
        <v>100.0</v>
      </c>
      <c r="F572" s="5">
        <v>100.0</v>
      </c>
      <c r="G572" s="6">
        <f t="shared" si="3"/>
        <v>0</v>
      </c>
    </row>
    <row r="573" ht="14.25" customHeight="1">
      <c r="A573" s="1"/>
      <c r="B573" s="2"/>
      <c r="C573" s="54" t="s">
        <v>122</v>
      </c>
      <c r="D573" s="73" t="s">
        <v>123</v>
      </c>
      <c r="E573" s="20">
        <v>1000.0</v>
      </c>
      <c r="F573" s="5">
        <v>1000.0</v>
      </c>
      <c r="G573" s="6">
        <f t="shared" si="3"/>
        <v>0</v>
      </c>
    </row>
    <row r="574" ht="14.25" customHeight="1">
      <c r="A574" s="1"/>
      <c r="B574" s="2"/>
      <c r="C574" s="54" t="s">
        <v>128</v>
      </c>
      <c r="D574" s="73" t="s">
        <v>129</v>
      </c>
      <c r="E574" s="20">
        <v>10000.0</v>
      </c>
      <c r="F574" s="5">
        <v>10000.0</v>
      </c>
      <c r="G574" s="6">
        <f t="shared" si="3"/>
        <v>0</v>
      </c>
    </row>
    <row r="575" ht="14.25" customHeight="1">
      <c r="A575" s="1"/>
      <c r="B575" s="2"/>
      <c r="C575" s="54" t="s">
        <v>130</v>
      </c>
      <c r="D575" s="73" t="s">
        <v>131</v>
      </c>
      <c r="E575" s="20">
        <v>1500.0</v>
      </c>
      <c r="F575" s="5">
        <v>1500.0</v>
      </c>
      <c r="G575" s="6">
        <f t="shared" si="3"/>
        <v>0</v>
      </c>
    </row>
    <row r="576" ht="14.25" customHeight="1">
      <c r="A576" s="1"/>
      <c r="B576" s="2"/>
      <c r="C576" s="54" t="s">
        <v>132</v>
      </c>
      <c r="D576" s="73" t="s">
        <v>133</v>
      </c>
      <c r="E576" s="20">
        <v>2500.0</v>
      </c>
      <c r="F576" s="5">
        <v>2500.0</v>
      </c>
      <c r="G576" s="6">
        <f t="shared" si="3"/>
        <v>0</v>
      </c>
    </row>
    <row r="577" ht="14.25" customHeight="1">
      <c r="A577" s="1"/>
      <c r="B577" s="22">
        <v>1360.0</v>
      </c>
      <c r="E577" s="53">
        <v>231400.0</v>
      </c>
      <c r="F577" s="23">
        <f>SUM(F560:F576)</f>
        <v>231400</v>
      </c>
      <c r="G577" s="6">
        <f t="shared" si="3"/>
        <v>0</v>
      </c>
    </row>
    <row r="578" ht="14.25" customHeight="1">
      <c r="A578" s="1"/>
      <c r="B578" s="2"/>
      <c r="C578" s="54"/>
      <c r="D578" s="30"/>
      <c r="E578" s="32"/>
      <c r="F578" s="32"/>
      <c r="G578" s="6" t="str">
        <f t="shared" si="3"/>
        <v/>
      </c>
    </row>
    <row r="579" ht="14.25" customHeight="1">
      <c r="A579" s="1"/>
      <c r="B579" s="33">
        <v>1500.0</v>
      </c>
      <c r="C579" s="34"/>
      <c r="D579" s="35" t="s">
        <v>31</v>
      </c>
      <c r="E579" s="36">
        <v>2024.0</v>
      </c>
      <c r="F579" s="36">
        <v>2025.0</v>
      </c>
      <c r="G579" s="6">
        <f t="shared" si="3"/>
        <v>0.0004940711462</v>
      </c>
    </row>
    <row r="580" ht="14.25" customHeight="1">
      <c r="A580" s="1"/>
      <c r="B580" s="2"/>
      <c r="C580" s="54">
        <v>203.0</v>
      </c>
      <c r="D580" s="73" t="s">
        <v>97</v>
      </c>
      <c r="E580" s="20">
        <v>200.0</v>
      </c>
      <c r="F580" s="5">
        <v>200.0</v>
      </c>
      <c r="G580" s="6">
        <f t="shared" si="3"/>
        <v>0</v>
      </c>
    </row>
    <row r="581" ht="14.25" customHeight="1">
      <c r="A581" s="1"/>
      <c r="B581" s="2"/>
      <c r="C581" s="54">
        <v>212.0</v>
      </c>
      <c r="D581" s="73" t="s">
        <v>98</v>
      </c>
      <c r="E581" s="20">
        <v>73000.0</v>
      </c>
      <c r="F581" s="5">
        <v>73000.0</v>
      </c>
      <c r="G581" s="6">
        <f t="shared" si="3"/>
        <v>0</v>
      </c>
    </row>
    <row r="582" ht="14.25" customHeight="1">
      <c r="A582" s="1"/>
      <c r="B582" s="2"/>
      <c r="C582" s="54">
        <v>214.0</v>
      </c>
      <c r="D582" s="73" t="s">
        <v>100</v>
      </c>
      <c r="E582" s="20">
        <v>2000.0</v>
      </c>
      <c r="F582" s="5">
        <v>2000.0</v>
      </c>
      <c r="G582" s="6">
        <f t="shared" si="3"/>
        <v>0</v>
      </c>
    </row>
    <row r="583" ht="14.25" customHeight="1">
      <c r="A583" s="1"/>
      <c r="B583" s="2"/>
      <c r="C583" s="54">
        <v>216.0</v>
      </c>
      <c r="D583" s="73" t="s">
        <v>138</v>
      </c>
      <c r="E583" s="20">
        <v>1600.0</v>
      </c>
      <c r="F583" s="20">
        <v>12000.0</v>
      </c>
      <c r="G583" s="6">
        <f t="shared" si="3"/>
        <v>6.5</v>
      </c>
    </row>
    <row r="584" ht="14.25" customHeight="1">
      <c r="A584" s="1"/>
      <c r="B584" s="2"/>
      <c r="C584" s="54" t="s">
        <v>103</v>
      </c>
      <c r="D584" s="73" t="s">
        <v>104</v>
      </c>
      <c r="E584" s="20">
        <v>10000.0</v>
      </c>
      <c r="F584" s="5">
        <v>10000.0</v>
      </c>
      <c r="G584" s="6">
        <f t="shared" si="3"/>
        <v>0</v>
      </c>
    </row>
    <row r="585" ht="14.25" customHeight="1">
      <c r="A585" s="1"/>
      <c r="B585" s="2"/>
      <c r="C585" s="54" t="s">
        <v>139</v>
      </c>
      <c r="D585" s="73" t="s">
        <v>140</v>
      </c>
      <c r="E585" s="20">
        <v>800.0</v>
      </c>
      <c r="F585" s="5">
        <v>800.0</v>
      </c>
      <c r="G585" s="6">
        <f t="shared" si="3"/>
        <v>0</v>
      </c>
    </row>
    <row r="586" ht="14.25" customHeight="1">
      <c r="A586" s="1"/>
      <c r="B586" s="2"/>
      <c r="C586" s="54" t="s">
        <v>105</v>
      </c>
      <c r="D586" s="73" t="s">
        <v>106</v>
      </c>
      <c r="E586" s="20">
        <v>5100.0</v>
      </c>
      <c r="F586" s="5">
        <v>5100.0</v>
      </c>
      <c r="G586" s="6">
        <f t="shared" si="3"/>
        <v>0</v>
      </c>
    </row>
    <row r="587" ht="14.25" customHeight="1">
      <c r="A587" s="1"/>
      <c r="B587" s="2"/>
      <c r="C587" s="54" t="s">
        <v>107</v>
      </c>
      <c r="D587" s="73" t="s">
        <v>141</v>
      </c>
      <c r="E587" s="20">
        <v>16500.0</v>
      </c>
      <c r="F587" s="5">
        <v>16500.0</v>
      </c>
      <c r="G587" s="6">
        <f t="shared" si="3"/>
        <v>0</v>
      </c>
    </row>
    <row r="588" ht="14.25" customHeight="1">
      <c r="A588" s="1"/>
      <c r="B588" s="2"/>
      <c r="C588" s="54" t="s">
        <v>109</v>
      </c>
      <c r="D588" s="31" t="s">
        <v>110</v>
      </c>
      <c r="E588" s="20">
        <v>2000.0</v>
      </c>
      <c r="F588" s="5">
        <v>2000.0</v>
      </c>
      <c r="G588" s="6">
        <f t="shared" si="3"/>
        <v>0</v>
      </c>
    </row>
    <row r="589" ht="14.25" customHeight="1">
      <c r="A589" s="1"/>
      <c r="B589" s="2"/>
      <c r="C589" s="54" t="s">
        <v>111</v>
      </c>
      <c r="D589" s="73" t="s">
        <v>112</v>
      </c>
      <c r="E589" s="20">
        <v>2100.0</v>
      </c>
      <c r="F589" s="5">
        <v>2100.0</v>
      </c>
      <c r="G589" s="6">
        <f t="shared" si="3"/>
        <v>0</v>
      </c>
    </row>
    <row r="590" ht="14.25" customHeight="1">
      <c r="A590" s="1"/>
      <c r="B590" s="2"/>
      <c r="C590" s="54" t="s">
        <v>113</v>
      </c>
      <c r="D590" s="73" t="s">
        <v>114</v>
      </c>
      <c r="E590" s="20">
        <v>2100.0</v>
      </c>
      <c r="F590" s="5">
        <v>2100.0</v>
      </c>
      <c r="G590" s="6">
        <f t="shared" si="3"/>
        <v>0</v>
      </c>
    </row>
    <row r="591" ht="14.25" customHeight="1">
      <c r="A591" s="1"/>
      <c r="B591" s="2"/>
      <c r="C591" s="54" t="s">
        <v>115</v>
      </c>
      <c r="D591" s="73" t="s">
        <v>116</v>
      </c>
      <c r="E591" s="20">
        <v>4500.0</v>
      </c>
      <c r="F591" s="5">
        <v>4500.0</v>
      </c>
      <c r="G591" s="6">
        <f t="shared" si="3"/>
        <v>0</v>
      </c>
    </row>
    <row r="592" ht="14.25" customHeight="1">
      <c r="A592" s="1"/>
      <c r="B592" s="2"/>
      <c r="C592" s="54">
        <v>224.0</v>
      </c>
      <c r="D592" s="73" t="s">
        <v>119</v>
      </c>
      <c r="E592" s="20">
        <v>1300.0</v>
      </c>
      <c r="F592" s="5">
        <v>1300.0</v>
      </c>
      <c r="G592" s="6">
        <f t="shared" si="3"/>
        <v>0</v>
      </c>
    </row>
    <row r="593" ht="14.25" customHeight="1">
      <c r="A593" s="1"/>
      <c r="B593" s="2"/>
      <c r="C593" s="54" t="s">
        <v>120</v>
      </c>
      <c r="D593" s="31" t="s">
        <v>121</v>
      </c>
      <c r="E593" s="20">
        <v>200.0</v>
      </c>
      <c r="F593" s="5">
        <v>200.0</v>
      </c>
      <c r="G593" s="6">
        <f t="shared" si="3"/>
        <v>0</v>
      </c>
    </row>
    <row r="594" ht="14.25" customHeight="1">
      <c r="A594" s="1"/>
      <c r="B594" s="22">
        <v>1500.0</v>
      </c>
      <c r="E594" s="53">
        <v>121400.0</v>
      </c>
      <c r="F594" s="23">
        <f>SUM(F580:F593)</f>
        <v>131800</v>
      </c>
      <c r="G594" s="6">
        <f t="shared" si="3"/>
        <v>0.08566721582</v>
      </c>
    </row>
    <row r="595" ht="14.25" customHeight="1">
      <c r="A595" s="1"/>
      <c r="B595" s="2"/>
      <c r="C595" s="3"/>
      <c r="D595" s="4"/>
      <c r="E595" s="5"/>
      <c r="F595" s="5"/>
      <c r="G595" s="6" t="str">
        <f t="shared" si="3"/>
        <v/>
      </c>
    </row>
    <row r="596" ht="14.25" customHeight="1">
      <c r="A596" s="1"/>
      <c r="B596" s="33">
        <v>1510.0</v>
      </c>
      <c r="C596" s="34"/>
      <c r="D596" s="35" t="s">
        <v>32</v>
      </c>
      <c r="E596" s="36">
        <v>2024.0</v>
      </c>
      <c r="F596" s="36">
        <v>2025.0</v>
      </c>
      <c r="G596" s="6">
        <f t="shared" si="3"/>
        <v>0.0004940711462</v>
      </c>
    </row>
    <row r="597" ht="14.25" customHeight="1">
      <c r="A597" s="1"/>
      <c r="B597" s="2"/>
      <c r="C597" s="54" t="s">
        <v>124</v>
      </c>
      <c r="D597" s="73" t="s">
        <v>125</v>
      </c>
      <c r="E597" s="20">
        <v>3000.0</v>
      </c>
      <c r="F597" s="5">
        <v>3000.0</v>
      </c>
      <c r="G597" s="6">
        <f t="shared" si="3"/>
        <v>0</v>
      </c>
    </row>
    <row r="598" ht="14.25" customHeight="1">
      <c r="A598" s="1"/>
      <c r="B598" s="2"/>
      <c r="C598" s="54" t="s">
        <v>126</v>
      </c>
      <c r="D598" s="73" t="s">
        <v>127</v>
      </c>
      <c r="E598" s="20">
        <v>400.0</v>
      </c>
      <c r="F598" s="5">
        <v>400.0</v>
      </c>
      <c r="G598" s="6">
        <f t="shared" si="3"/>
        <v>0</v>
      </c>
    </row>
    <row r="599" ht="14.25" customHeight="1">
      <c r="A599" s="1"/>
      <c r="B599" s="2"/>
      <c r="C599" s="54" t="s">
        <v>128</v>
      </c>
      <c r="D599" s="73" t="s">
        <v>129</v>
      </c>
      <c r="E599" s="20">
        <v>5000.0</v>
      </c>
      <c r="F599" s="5">
        <v>5000.0</v>
      </c>
      <c r="G599" s="6">
        <f t="shared" si="3"/>
        <v>0</v>
      </c>
    </row>
    <row r="600" ht="14.25" customHeight="1">
      <c r="A600" s="1"/>
      <c r="B600" s="2"/>
      <c r="C600" s="54" t="s">
        <v>142</v>
      </c>
      <c r="D600" s="73" t="s">
        <v>143</v>
      </c>
      <c r="E600" s="20">
        <v>2200.0</v>
      </c>
      <c r="F600" s="20">
        <v>13000.0</v>
      </c>
      <c r="G600" s="6">
        <f t="shared" si="3"/>
        <v>4.909090909</v>
      </c>
    </row>
    <row r="601" ht="14.25" customHeight="1">
      <c r="A601" s="1"/>
      <c r="B601" s="2"/>
      <c r="C601" s="54" t="s">
        <v>132</v>
      </c>
      <c r="D601" s="73" t="s">
        <v>133</v>
      </c>
      <c r="E601" s="20">
        <v>1500.0</v>
      </c>
      <c r="F601" s="5">
        <v>1500.0</v>
      </c>
      <c r="G601" s="6">
        <f t="shared" si="3"/>
        <v>0</v>
      </c>
    </row>
    <row r="602" ht="14.25" customHeight="1">
      <c r="A602" s="1"/>
      <c r="B602" s="2"/>
      <c r="C602" s="54">
        <v>231.0</v>
      </c>
      <c r="D602" s="73" t="s">
        <v>144</v>
      </c>
      <c r="E602" s="20">
        <v>1000.0</v>
      </c>
      <c r="F602" s="5">
        <v>1000.0</v>
      </c>
      <c r="G602" s="6">
        <f t="shared" si="3"/>
        <v>0</v>
      </c>
    </row>
    <row r="603" ht="14.25" customHeight="1">
      <c r="A603" s="1"/>
      <c r="B603" s="22">
        <v>1510.0</v>
      </c>
      <c r="E603" s="53">
        <v>13100.0</v>
      </c>
      <c r="F603" s="23">
        <f>SUM(F597:F602)</f>
        <v>23900</v>
      </c>
      <c r="G603" s="6">
        <f t="shared" si="3"/>
        <v>0.8244274809</v>
      </c>
    </row>
    <row r="604" ht="14.25" customHeight="1">
      <c r="A604" s="1"/>
      <c r="B604" s="2"/>
      <c r="C604" s="3"/>
      <c r="D604" s="4"/>
      <c r="E604" s="5"/>
      <c r="F604" s="5"/>
      <c r="G604" s="6" t="str">
        <f t="shared" si="3"/>
        <v/>
      </c>
    </row>
    <row r="605" ht="14.25" customHeight="1">
      <c r="A605" s="1"/>
      <c r="B605" s="33">
        <v>1522.0</v>
      </c>
      <c r="C605" s="34"/>
      <c r="D605" s="36" t="s">
        <v>145</v>
      </c>
      <c r="E605" s="36">
        <v>2024.0</v>
      </c>
      <c r="F605" s="36">
        <v>2025.0</v>
      </c>
      <c r="G605" s="6">
        <f t="shared" si="3"/>
        <v>0.0004940711462</v>
      </c>
    </row>
    <row r="606" ht="14.25" customHeight="1">
      <c r="A606" s="1"/>
      <c r="B606" s="2"/>
      <c r="C606" s="54">
        <v>208.0</v>
      </c>
      <c r="D606" s="73" t="s">
        <v>146</v>
      </c>
      <c r="E606" s="20">
        <v>10000.0</v>
      </c>
      <c r="F606" s="5">
        <v>10000.0</v>
      </c>
      <c r="G606" s="6">
        <f t="shared" si="3"/>
        <v>0</v>
      </c>
    </row>
    <row r="607" ht="14.25" customHeight="1">
      <c r="A607" s="1"/>
      <c r="B607" s="2"/>
      <c r="C607" s="54" t="s">
        <v>142</v>
      </c>
      <c r="D607" s="73" t="s">
        <v>143</v>
      </c>
      <c r="E607" s="20">
        <v>15000.0</v>
      </c>
      <c r="F607" s="5">
        <v>15000.0</v>
      </c>
      <c r="G607" s="6">
        <f t="shared" si="3"/>
        <v>0</v>
      </c>
    </row>
    <row r="608" ht="14.25" customHeight="1">
      <c r="A608" s="76"/>
      <c r="B608" s="76"/>
      <c r="C608" s="78" t="s">
        <v>128</v>
      </c>
      <c r="D608" s="79" t="s">
        <v>129</v>
      </c>
      <c r="E608" s="80">
        <v>20000.0</v>
      </c>
      <c r="F608" s="81">
        <v>20000.0</v>
      </c>
      <c r="G608" s="6">
        <f t="shared" si="3"/>
        <v>0</v>
      </c>
      <c r="H608" s="82"/>
      <c r="I608" s="82"/>
      <c r="J608" s="82"/>
      <c r="K608" s="82"/>
    </row>
    <row r="609" ht="14.25" customHeight="1">
      <c r="A609" s="1"/>
      <c r="B609" s="22">
        <v>1522.0</v>
      </c>
      <c r="E609" s="53">
        <v>45000.0</v>
      </c>
      <c r="F609" s="23">
        <f>SUM(F606:F608)</f>
        <v>45000</v>
      </c>
      <c r="G609" s="6">
        <f t="shared" si="3"/>
        <v>0</v>
      </c>
    </row>
    <row r="610" ht="14.25" customHeight="1">
      <c r="A610" s="1"/>
      <c r="B610" s="2"/>
      <c r="C610" s="3"/>
      <c r="D610" s="4"/>
      <c r="E610" s="5"/>
      <c r="F610" s="5"/>
      <c r="G610" s="6" t="str">
        <f t="shared" si="3"/>
        <v/>
      </c>
    </row>
    <row r="611" ht="14.25" customHeight="1">
      <c r="A611" s="1"/>
      <c r="B611" s="33">
        <v>1530.0</v>
      </c>
      <c r="C611" s="34"/>
      <c r="D611" s="35" t="s">
        <v>36</v>
      </c>
      <c r="E611" s="36">
        <v>2024.0</v>
      </c>
      <c r="F611" s="36">
        <v>2025.0</v>
      </c>
      <c r="G611" s="6">
        <f t="shared" si="3"/>
        <v>0.0004940711462</v>
      </c>
    </row>
    <row r="612" ht="14.25" customHeight="1">
      <c r="A612" s="1"/>
      <c r="B612" s="2"/>
      <c r="C612" s="54">
        <v>203.0</v>
      </c>
      <c r="D612" s="73" t="s">
        <v>97</v>
      </c>
      <c r="E612" s="20">
        <v>2000.0</v>
      </c>
      <c r="F612" s="5">
        <v>2000.0</v>
      </c>
      <c r="G612" s="6">
        <f t="shared" si="3"/>
        <v>0</v>
      </c>
    </row>
    <row r="613" ht="14.25" customHeight="1">
      <c r="A613" s="1"/>
      <c r="B613" s="2"/>
      <c r="C613" s="54">
        <v>204.0</v>
      </c>
      <c r="D613" s="31" t="s">
        <v>147</v>
      </c>
      <c r="E613" s="20">
        <v>5300.0</v>
      </c>
      <c r="F613" s="5">
        <v>5300.0</v>
      </c>
      <c r="G613" s="6">
        <f t="shared" si="3"/>
        <v>0</v>
      </c>
    </row>
    <row r="614" ht="14.25" customHeight="1">
      <c r="A614" s="1"/>
      <c r="B614" s="2"/>
      <c r="C614" s="54">
        <v>210.0</v>
      </c>
      <c r="D614" s="73" t="s">
        <v>148</v>
      </c>
      <c r="E614" s="20">
        <v>511000.0</v>
      </c>
      <c r="F614" s="20">
        <v>150000.0</v>
      </c>
      <c r="G614" s="6">
        <f t="shared" si="3"/>
        <v>-0.7064579256</v>
      </c>
    </row>
    <row r="615" ht="14.25" customHeight="1">
      <c r="A615" s="1"/>
      <c r="B615" s="2"/>
      <c r="C615" s="54">
        <v>212.0</v>
      </c>
      <c r="D615" s="73" t="s">
        <v>98</v>
      </c>
      <c r="E615" s="20">
        <v>7000.0</v>
      </c>
      <c r="F615" s="5">
        <v>7000.0</v>
      </c>
      <c r="G615" s="6">
        <f t="shared" si="3"/>
        <v>0</v>
      </c>
    </row>
    <row r="616" ht="14.25" customHeight="1">
      <c r="A616" s="1"/>
      <c r="B616" s="2"/>
      <c r="C616" s="54">
        <v>213.0</v>
      </c>
      <c r="D616" s="73" t="s">
        <v>99</v>
      </c>
      <c r="E616" s="20">
        <v>1000.0</v>
      </c>
      <c r="F616" s="5">
        <v>1000.0</v>
      </c>
      <c r="G616" s="6">
        <f t="shared" si="3"/>
        <v>0</v>
      </c>
    </row>
    <row r="617" ht="14.25" customHeight="1">
      <c r="A617" s="1"/>
      <c r="B617" s="2"/>
      <c r="C617" s="54">
        <v>214.0</v>
      </c>
      <c r="D617" s="73" t="s">
        <v>100</v>
      </c>
      <c r="E617" s="20">
        <v>5000.0</v>
      </c>
      <c r="F617" s="5">
        <v>5000.0</v>
      </c>
      <c r="G617" s="6">
        <f t="shared" si="3"/>
        <v>0</v>
      </c>
    </row>
    <row r="618" ht="14.25" customHeight="1">
      <c r="A618" s="1"/>
      <c r="B618" s="2"/>
      <c r="C618" s="54" t="s">
        <v>105</v>
      </c>
      <c r="D618" s="73" t="s">
        <v>106</v>
      </c>
      <c r="E618" s="20">
        <v>7000.0</v>
      </c>
      <c r="F618" s="5">
        <v>7000.0</v>
      </c>
      <c r="G618" s="6">
        <f t="shared" si="3"/>
        <v>0</v>
      </c>
    </row>
    <row r="619" ht="14.25" customHeight="1">
      <c r="A619" s="1"/>
      <c r="B619" s="2"/>
      <c r="C619" s="54" t="s">
        <v>109</v>
      </c>
      <c r="D619" s="31" t="s">
        <v>110</v>
      </c>
      <c r="E619" s="20">
        <v>8000.0</v>
      </c>
      <c r="F619" s="5">
        <v>8000.0</v>
      </c>
      <c r="G619" s="6">
        <f t="shared" si="3"/>
        <v>0</v>
      </c>
    </row>
    <row r="620" ht="14.25" customHeight="1">
      <c r="A620" s="1"/>
      <c r="B620" s="2"/>
      <c r="C620" s="54" t="s">
        <v>111</v>
      </c>
      <c r="D620" s="31" t="s">
        <v>112</v>
      </c>
      <c r="E620" s="20">
        <v>6000.0</v>
      </c>
      <c r="F620" s="5">
        <v>6000.0</v>
      </c>
      <c r="G620" s="6">
        <f t="shared" si="3"/>
        <v>0</v>
      </c>
    </row>
    <row r="621" ht="14.25" customHeight="1">
      <c r="A621" s="1"/>
      <c r="B621" s="2"/>
      <c r="C621" s="54" t="s">
        <v>113</v>
      </c>
      <c r="D621" s="31" t="s">
        <v>114</v>
      </c>
      <c r="E621" s="20">
        <v>25000.0</v>
      </c>
      <c r="F621" s="5">
        <v>25000.0</v>
      </c>
      <c r="G621" s="6">
        <f t="shared" si="3"/>
        <v>0</v>
      </c>
    </row>
    <row r="622" ht="14.25" customHeight="1">
      <c r="A622" s="1"/>
      <c r="B622" s="2"/>
      <c r="C622" s="54" t="s">
        <v>115</v>
      </c>
      <c r="D622" s="31" t="s">
        <v>116</v>
      </c>
      <c r="E622" s="20">
        <v>1700.0</v>
      </c>
      <c r="F622" s="5">
        <v>1700.0</v>
      </c>
      <c r="G622" s="6">
        <f t="shared" si="3"/>
        <v>0</v>
      </c>
    </row>
    <row r="623" ht="14.25" customHeight="1">
      <c r="A623" s="1"/>
      <c r="B623" s="2"/>
      <c r="C623" s="54">
        <v>223.0</v>
      </c>
      <c r="D623" s="31" t="s">
        <v>149</v>
      </c>
      <c r="E623" s="20">
        <v>300.0</v>
      </c>
      <c r="F623" s="5">
        <v>300.0</v>
      </c>
      <c r="G623" s="6">
        <f t="shared" si="3"/>
        <v>0</v>
      </c>
    </row>
    <row r="624" ht="14.25" customHeight="1">
      <c r="A624" s="1"/>
      <c r="B624" s="2"/>
      <c r="C624" s="54">
        <v>224.0</v>
      </c>
      <c r="D624" s="31" t="s">
        <v>119</v>
      </c>
      <c r="E624" s="20">
        <v>5000.0</v>
      </c>
      <c r="F624" s="5">
        <v>5000.0</v>
      </c>
      <c r="G624" s="6">
        <f t="shared" si="3"/>
        <v>0</v>
      </c>
    </row>
    <row r="625" ht="14.25" customHeight="1">
      <c r="A625" s="1"/>
      <c r="B625" s="2"/>
      <c r="C625" s="54" t="s">
        <v>120</v>
      </c>
      <c r="D625" s="31" t="s">
        <v>121</v>
      </c>
      <c r="E625" s="20">
        <v>100.0</v>
      </c>
      <c r="F625" s="5">
        <v>100.0</v>
      </c>
      <c r="G625" s="6">
        <f t="shared" si="3"/>
        <v>0</v>
      </c>
    </row>
    <row r="626" ht="14.25" customHeight="1">
      <c r="A626" s="1"/>
      <c r="B626" s="2"/>
      <c r="C626" s="54" t="s">
        <v>124</v>
      </c>
      <c r="D626" s="73" t="s">
        <v>125</v>
      </c>
      <c r="E626" s="20">
        <v>100.0</v>
      </c>
      <c r="F626" s="5">
        <v>100.0</v>
      </c>
      <c r="G626" s="6">
        <f t="shared" si="3"/>
        <v>0</v>
      </c>
    </row>
    <row r="627" ht="14.25" customHeight="1">
      <c r="A627" s="1"/>
      <c r="B627" s="2"/>
      <c r="C627" s="54" t="s">
        <v>128</v>
      </c>
      <c r="D627" s="73" t="s">
        <v>129</v>
      </c>
      <c r="E627" s="20">
        <v>1300.0</v>
      </c>
      <c r="F627" s="5">
        <v>1300.0</v>
      </c>
      <c r="G627" s="6">
        <f t="shared" si="3"/>
        <v>0</v>
      </c>
    </row>
    <row r="628" ht="14.25" customHeight="1">
      <c r="A628" s="1"/>
      <c r="B628" s="2"/>
      <c r="C628" s="54" t="s">
        <v>142</v>
      </c>
      <c r="D628" s="73" t="s">
        <v>143</v>
      </c>
      <c r="E628" s="20">
        <v>200.0</v>
      </c>
      <c r="F628" s="20">
        <v>15000.0</v>
      </c>
      <c r="G628" s="6">
        <f t="shared" si="3"/>
        <v>74</v>
      </c>
    </row>
    <row r="629" ht="14.25" customHeight="1">
      <c r="A629" s="1"/>
      <c r="B629" s="2"/>
      <c r="C629" s="54" t="s">
        <v>130</v>
      </c>
      <c r="D629" s="31" t="s">
        <v>131</v>
      </c>
      <c r="E629" s="20">
        <v>500.0</v>
      </c>
      <c r="F629" s="20">
        <v>500.0</v>
      </c>
      <c r="G629" s="6">
        <f t="shared" si="3"/>
        <v>0</v>
      </c>
    </row>
    <row r="630" ht="14.25" customHeight="1">
      <c r="A630" s="1"/>
      <c r="B630" s="2"/>
      <c r="C630" s="54" t="s">
        <v>132</v>
      </c>
      <c r="D630" s="31" t="s">
        <v>133</v>
      </c>
      <c r="E630" s="20">
        <v>200.0</v>
      </c>
      <c r="F630" s="5">
        <v>200.0</v>
      </c>
      <c r="G630" s="6">
        <f t="shared" si="3"/>
        <v>0</v>
      </c>
    </row>
    <row r="631" ht="14.25" customHeight="1">
      <c r="A631" s="1"/>
      <c r="B631" s="2"/>
      <c r="C631" s="54" t="s">
        <v>150</v>
      </c>
      <c r="D631" s="31" t="s">
        <v>151</v>
      </c>
      <c r="E631" s="20">
        <v>200.0</v>
      </c>
      <c r="F631" s="5">
        <v>200.0</v>
      </c>
      <c r="G631" s="6">
        <f t="shared" si="3"/>
        <v>0</v>
      </c>
    </row>
    <row r="632" ht="14.25" customHeight="1">
      <c r="A632" s="1"/>
      <c r="B632" s="22">
        <v>1530.0</v>
      </c>
      <c r="E632" s="53">
        <v>586900.0</v>
      </c>
      <c r="F632" s="23">
        <f>SUM(F612:F631)</f>
        <v>240700</v>
      </c>
      <c r="G632" s="6">
        <f t="shared" si="3"/>
        <v>-0.5898790254</v>
      </c>
    </row>
    <row r="633" ht="14.25" customHeight="1">
      <c r="A633" s="1"/>
      <c r="B633" s="2"/>
      <c r="C633" s="3"/>
      <c r="D633" s="4"/>
      <c r="E633" s="5"/>
      <c r="F633" s="5"/>
      <c r="G633" s="6" t="str">
        <f t="shared" si="3"/>
        <v/>
      </c>
    </row>
    <row r="634" ht="14.25" customHeight="1">
      <c r="A634" s="1"/>
      <c r="B634" s="33">
        <v>1600.0</v>
      </c>
      <c r="C634" s="34"/>
      <c r="D634" s="35" t="s">
        <v>152</v>
      </c>
      <c r="E634" s="36">
        <v>2024.0</v>
      </c>
      <c r="F634" s="36">
        <v>2025.0</v>
      </c>
      <c r="G634" s="6">
        <f t="shared" si="3"/>
        <v>0.0004940711462</v>
      </c>
    </row>
    <row r="635" ht="14.25" customHeight="1">
      <c r="A635" s="1"/>
      <c r="B635" s="2"/>
      <c r="C635" s="54">
        <v>203.0</v>
      </c>
      <c r="D635" s="31" t="s">
        <v>153</v>
      </c>
      <c r="E635" s="20">
        <v>100.0</v>
      </c>
      <c r="F635" s="5">
        <v>100.0</v>
      </c>
      <c r="G635" s="6">
        <f t="shared" si="3"/>
        <v>0</v>
      </c>
    </row>
    <row r="636" ht="14.25" customHeight="1">
      <c r="A636" s="1"/>
      <c r="B636" s="2"/>
      <c r="C636" s="54">
        <v>213.0</v>
      </c>
      <c r="D636" s="73" t="s">
        <v>99</v>
      </c>
      <c r="E636" s="20">
        <v>192000.0</v>
      </c>
      <c r="F636" s="20">
        <v>210000.0</v>
      </c>
      <c r="G636" s="6">
        <f t="shared" si="3"/>
        <v>0.09375</v>
      </c>
    </row>
    <row r="637" ht="14.25" customHeight="1">
      <c r="A637" s="1"/>
      <c r="B637" s="2"/>
      <c r="C637" s="54" t="s">
        <v>113</v>
      </c>
      <c r="D637" s="31" t="s">
        <v>114</v>
      </c>
      <c r="E637" s="20">
        <v>5000.0</v>
      </c>
      <c r="F637" s="20">
        <v>15000.0</v>
      </c>
      <c r="G637" s="6">
        <f t="shared" si="3"/>
        <v>2</v>
      </c>
    </row>
    <row r="638" ht="14.25" customHeight="1">
      <c r="A638" s="1"/>
      <c r="B638" s="2"/>
      <c r="C638" s="54" t="s">
        <v>154</v>
      </c>
      <c r="D638" s="31" t="s">
        <v>155</v>
      </c>
      <c r="E638" s="20">
        <v>100.0</v>
      </c>
      <c r="F638" s="5">
        <v>100.0</v>
      </c>
      <c r="G638" s="6">
        <f t="shared" si="3"/>
        <v>0</v>
      </c>
    </row>
    <row r="639" ht="14.25" customHeight="1">
      <c r="A639" s="1"/>
      <c r="B639" s="2"/>
      <c r="C639" s="54" t="s">
        <v>120</v>
      </c>
      <c r="D639" s="31" t="s">
        <v>121</v>
      </c>
      <c r="E639" s="20">
        <v>100.0</v>
      </c>
      <c r="F639" s="5">
        <v>100.0</v>
      </c>
      <c r="G639" s="6">
        <f t="shared" si="3"/>
        <v>0</v>
      </c>
    </row>
    <row r="640" ht="14.25" customHeight="1">
      <c r="A640" s="1"/>
      <c r="B640" s="2"/>
      <c r="C640" s="54" t="s">
        <v>142</v>
      </c>
      <c r="D640" s="73" t="s">
        <v>143</v>
      </c>
      <c r="E640" s="20">
        <v>100.0</v>
      </c>
      <c r="F640" s="20">
        <v>15000.0</v>
      </c>
      <c r="G640" s="6">
        <f t="shared" si="3"/>
        <v>149</v>
      </c>
    </row>
    <row r="641" ht="14.25" customHeight="1">
      <c r="A641" s="1"/>
      <c r="B641" s="2"/>
      <c r="C641" s="54" t="s">
        <v>130</v>
      </c>
      <c r="D641" s="73" t="s">
        <v>135</v>
      </c>
      <c r="E641" s="20">
        <v>100.0</v>
      </c>
      <c r="F641" s="5">
        <v>100.0</v>
      </c>
      <c r="G641" s="6">
        <f t="shared" si="3"/>
        <v>0</v>
      </c>
    </row>
    <row r="642" ht="14.25" customHeight="1">
      <c r="A642" s="1"/>
      <c r="B642" s="2"/>
      <c r="C642" s="54">
        <v>233.0</v>
      </c>
      <c r="D642" s="73" t="s">
        <v>156</v>
      </c>
      <c r="E642" s="20">
        <v>100.0</v>
      </c>
      <c r="F642" s="5">
        <v>100.0</v>
      </c>
      <c r="G642" s="6">
        <f t="shared" si="3"/>
        <v>0</v>
      </c>
    </row>
    <row r="643" ht="14.25" customHeight="1">
      <c r="A643" s="1"/>
      <c r="B643" s="22">
        <v>1600.0</v>
      </c>
      <c r="E643" s="53">
        <v>197600.0</v>
      </c>
      <c r="F643" s="23">
        <f>SUM(F635:F642)</f>
        <v>240500</v>
      </c>
      <c r="G643" s="6">
        <f t="shared" si="3"/>
        <v>0.2171052632</v>
      </c>
    </row>
    <row r="644" ht="14.25" customHeight="1">
      <c r="A644" s="1"/>
      <c r="B644" s="2"/>
      <c r="C644" s="54"/>
      <c r="D644" s="30"/>
      <c r="E644" s="32"/>
      <c r="F644" s="32"/>
      <c r="G644" s="6" t="str">
        <f t="shared" si="3"/>
        <v/>
      </c>
    </row>
    <row r="645" ht="14.25" customHeight="1">
      <c r="A645" s="1"/>
      <c r="B645" s="33">
        <v>1610.0</v>
      </c>
      <c r="C645" s="34"/>
      <c r="D645" s="35" t="s">
        <v>41</v>
      </c>
      <c r="E645" s="36">
        <v>2024.0</v>
      </c>
      <c r="F645" s="36">
        <v>2025.0</v>
      </c>
      <c r="G645" s="6">
        <f t="shared" si="3"/>
        <v>0.0004940711462</v>
      </c>
    </row>
    <row r="646" ht="14.25" customHeight="1">
      <c r="A646" s="1"/>
      <c r="B646" s="2"/>
      <c r="C646" s="54">
        <v>203.0</v>
      </c>
      <c r="D646" s="31" t="s">
        <v>153</v>
      </c>
      <c r="E646" s="20">
        <v>4500.0</v>
      </c>
      <c r="F646" s="5">
        <v>4500.0</v>
      </c>
      <c r="G646" s="6">
        <f t="shared" si="3"/>
        <v>0</v>
      </c>
    </row>
    <row r="647" ht="14.25" customHeight="1">
      <c r="A647" s="1"/>
      <c r="B647" s="2"/>
      <c r="C647" s="54">
        <v>210.0</v>
      </c>
      <c r="D647" s="73" t="s">
        <v>157</v>
      </c>
      <c r="E647" s="20">
        <v>18000.0</v>
      </c>
      <c r="F647" s="20">
        <v>20000.0</v>
      </c>
      <c r="G647" s="6">
        <f t="shared" si="3"/>
        <v>0.1111111111</v>
      </c>
    </row>
    <row r="648" ht="14.25" customHeight="1">
      <c r="A648" s="1"/>
      <c r="B648" s="2"/>
      <c r="C648" s="54">
        <v>212.0</v>
      </c>
      <c r="D648" s="73" t="s">
        <v>98</v>
      </c>
      <c r="E648" s="20">
        <v>5700.0</v>
      </c>
      <c r="F648" s="20">
        <v>12000.0</v>
      </c>
      <c r="G648" s="6">
        <f t="shared" si="3"/>
        <v>1.105263158</v>
      </c>
    </row>
    <row r="649" ht="14.25" customHeight="1">
      <c r="A649" s="1"/>
      <c r="B649" s="2"/>
      <c r="C649" s="54">
        <v>213.0</v>
      </c>
      <c r="D649" s="73" t="s">
        <v>99</v>
      </c>
      <c r="E649" s="20">
        <v>4000.0</v>
      </c>
      <c r="F649" s="5">
        <v>4000.0</v>
      </c>
      <c r="G649" s="6">
        <f t="shared" si="3"/>
        <v>0</v>
      </c>
    </row>
    <row r="650" ht="14.25" customHeight="1">
      <c r="A650" s="1"/>
      <c r="B650" s="2"/>
      <c r="C650" s="54">
        <v>214.0</v>
      </c>
      <c r="D650" s="73" t="s">
        <v>100</v>
      </c>
      <c r="E650" s="20">
        <v>4200.0</v>
      </c>
      <c r="F650" s="20">
        <v>8000.0</v>
      </c>
      <c r="G650" s="6">
        <f t="shared" si="3"/>
        <v>0.9047619048</v>
      </c>
    </row>
    <row r="651" ht="14.25" customHeight="1">
      <c r="A651" s="1"/>
      <c r="B651" s="2"/>
      <c r="C651" s="54">
        <v>216.0</v>
      </c>
      <c r="D651" s="73" t="s">
        <v>138</v>
      </c>
      <c r="E651" s="20">
        <v>0.0</v>
      </c>
      <c r="F651" s="20">
        <v>2500.0</v>
      </c>
      <c r="G651" s="6" t="str">
        <f t="shared" si="3"/>
        <v/>
      </c>
    </row>
    <row r="652" ht="14.25" customHeight="1">
      <c r="A652" s="1"/>
      <c r="B652" s="2"/>
      <c r="C652" s="54" t="s">
        <v>103</v>
      </c>
      <c r="D652" s="31" t="s">
        <v>104</v>
      </c>
      <c r="E652" s="20">
        <v>1000.0</v>
      </c>
      <c r="F652" s="20">
        <v>2000.0</v>
      </c>
      <c r="G652" s="6">
        <f t="shared" si="3"/>
        <v>1</v>
      </c>
    </row>
    <row r="653" ht="14.25" customHeight="1">
      <c r="A653" s="1"/>
      <c r="B653" s="2"/>
      <c r="C653" s="54" t="s">
        <v>139</v>
      </c>
      <c r="D653" s="73" t="s">
        <v>140</v>
      </c>
      <c r="E653" s="20">
        <v>200.0</v>
      </c>
      <c r="F653" s="20">
        <v>300.0</v>
      </c>
      <c r="G653" s="6">
        <f t="shared" si="3"/>
        <v>0.5</v>
      </c>
    </row>
    <row r="654" ht="14.25" customHeight="1">
      <c r="A654" s="1"/>
      <c r="B654" s="2"/>
      <c r="C654" s="54" t="s">
        <v>105</v>
      </c>
      <c r="D654" s="73" t="s">
        <v>106</v>
      </c>
      <c r="E654" s="20">
        <v>160000.0</v>
      </c>
      <c r="F654" s="20">
        <v>205000.0</v>
      </c>
      <c r="G654" s="6">
        <f t="shared" si="3"/>
        <v>0.28125</v>
      </c>
    </row>
    <row r="655" ht="14.25" customHeight="1">
      <c r="A655" s="1"/>
      <c r="B655" s="2"/>
      <c r="C655" s="54" t="s">
        <v>109</v>
      </c>
      <c r="D655" s="31" t="s">
        <v>110</v>
      </c>
      <c r="E655" s="20">
        <v>5500.0</v>
      </c>
      <c r="F655" s="5">
        <v>5500.0</v>
      </c>
      <c r="G655" s="6">
        <f t="shared" si="3"/>
        <v>0</v>
      </c>
    </row>
    <row r="656" ht="14.25" customHeight="1">
      <c r="A656" s="1"/>
      <c r="B656" s="2"/>
      <c r="C656" s="54" t="s">
        <v>111</v>
      </c>
      <c r="D656" s="31" t="s">
        <v>112</v>
      </c>
      <c r="E656" s="20">
        <v>2200.0</v>
      </c>
      <c r="F656" s="20">
        <v>6500.0</v>
      </c>
      <c r="G656" s="6">
        <f t="shared" si="3"/>
        <v>1.954545455</v>
      </c>
    </row>
    <row r="657" ht="14.25" customHeight="1">
      <c r="A657" s="1"/>
      <c r="B657" s="2"/>
      <c r="C657" s="54" t="s">
        <v>113</v>
      </c>
      <c r="D657" s="31" t="s">
        <v>114</v>
      </c>
      <c r="E657" s="20">
        <v>15000.0</v>
      </c>
      <c r="F657" s="20">
        <v>25000.0</v>
      </c>
      <c r="G657" s="6">
        <f t="shared" si="3"/>
        <v>0.6666666667</v>
      </c>
    </row>
    <row r="658" ht="14.25" customHeight="1">
      <c r="A658" s="1"/>
      <c r="B658" s="2"/>
      <c r="C658" s="54" t="s">
        <v>115</v>
      </c>
      <c r="D658" s="31" t="s">
        <v>116</v>
      </c>
      <c r="E658" s="20">
        <v>3000.0</v>
      </c>
      <c r="F658" s="20">
        <v>7000.0</v>
      </c>
      <c r="G658" s="6">
        <f t="shared" si="3"/>
        <v>1.333333333</v>
      </c>
    </row>
    <row r="659" ht="14.25" customHeight="1">
      <c r="A659" s="1"/>
      <c r="B659" s="2"/>
      <c r="C659" s="54" t="s">
        <v>117</v>
      </c>
      <c r="D659" s="31" t="s">
        <v>118</v>
      </c>
      <c r="E659" s="20">
        <v>500.0</v>
      </c>
      <c r="F659" s="5">
        <v>500.0</v>
      </c>
      <c r="G659" s="6">
        <f t="shared" si="3"/>
        <v>0</v>
      </c>
    </row>
    <row r="660" ht="14.25" customHeight="1">
      <c r="A660" s="1"/>
      <c r="B660" s="2"/>
      <c r="C660" s="54">
        <v>223.0</v>
      </c>
      <c r="D660" s="31" t="s">
        <v>149</v>
      </c>
      <c r="E660" s="20">
        <v>300.0</v>
      </c>
      <c r="F660" s="5">
        <v>300.0</v>
      </c>
      <c r="G660" s="6">
        <f t="shared" si="3"/>
        <v>0</v>
      </c>
    </row>
    <row r="661" ht="14.25" customHeight="1">
      <c r="A661" s="1"/>
      <c r="B661" s="2"/>
      <c r="C661" s="54">
        <v>224.0</v>
      </c>
      <c r="D661" s="31" t="s">
        <v>119</v>
      </c>
      <c r="E661" s="20">
        <v>3700.0</v>
      </c>
      <c r="F661" s="5">
        <v>3700.0</v>
      </c>
      <c r="G661" s="6">
        <f t="shared" si="3"/>
        <v>0</v>
      </c>
    </row>
    <row r="662" ht="14.25" customHeight="1">
      <c r="A662" s="1"/>
      <c r="B662" s="2"/>
      <c r="C662" s="54" t="s">
        <v>158</v>
      </c>
      <c r="D662" s="31" t="s">
        <v>159</v>
      </c>
      <c r="E662" s="20">
        <v>800.0</v>
      </c>
      <c r="F662" s="5">
        <v>800.0</v>
      </c>
      <c r="G662" s="6">
        <f t="shared" si="3"/>
        <v>0</v>
      </c>
    </row>
    <row r="663" ht="14.25" customHeight="1">
      <c r="A663" s="1"/>
      <c r="B663" s="2"/>
      <c r="C663" s="54" t="s">
        <v>120</v>
      </c>
      <c r="D663" s="31" t="s">
        <v>121</v>
      </c>
      <c r="E663" s="20">
        <v>2000.0</v>
      </c>
      <c r="F663" s="5">
        <v>2000.0</v>
      </c>
      <c r="G663" s="6">
        <f t="shared" si="3"/>
        <v>0</v>
      </c>
    </row>
    <row r="664" ht="14.25" customHeight="1">
      <c r="A664" s="1"/>
      <c r="B664" s="2"/>
      <c r="C664" s="54" t="s">
        <v>128</v>
      </c>
      <c r="D664" s="73" t="s">
        <v>129</v>
      </c>
      <c r="E664" s="20">
        <v>1000.0</v>
      </c>
      <c r="F664" s="5">
        <v>1000.0</v>
      </c>
      <c r="G664" s="6">
        <f t="shared" si="3"/>
        <v>0</v>
      </c>
    </row>
    <row r="665" ht="14.25" customHeight="1">
      <c r="A665" s="1"/>
      <c r="B665" s="2"/>
      <c r="C665" s="54" t="s">
        <v>142</v>
      </c>
      <c r="D665" s="73" t="s">
        <v>143</v>
      </c>
      <c r="E665" s="20">
        <v>28500.0</v>
      </c>
      <c r="F665" s="20">
        <v>35000.0</v>
      </c>
      <c r="G665" s="6">
        <f t="shared" si="3"/>
        <v>0.2280701754</v>
      </c>
    </row>
    <row r="666" ht="14.25" customHeight="1">
      <c r="A666" s="1"/>
      <c r="B666" s="2"/>
      <c r="C666" s="54" t="s">
        <v>130</v>
      </c>
      <c r="D666" s="73" t="s">
        <v>131</v>
      </c>
      <c r="E666" s="20">
        <v>0.0</v>
      </c>
      <c r="F666" s="5">
        <v>0.0</v>
      </c>
      <c r="G666" s="6" t="str">
        <f t="shared" si="3"/>
        <v/>
      </c>
    </row>
    <row r="667" ht="14.25" customHeight="1">
      <c r="A667" s="1"/>
      <c r="B667" s="22">
        <v>1610.0</v>
      </c>
      <c r="E667" s="53">
        <v>260100.0</v>
      </c>
      <c r="F667" s="23">
        <f>SUM(F646:F666)</f>
        <v>345600</v>
      </c>
      <c r="G667" s="6">
        <f t="shared" si="3"/>
        <v>0.3287197232</v>
      </c>
    </row>
    <row r="668" ht="14.25" customHeight="1">
      <c r="A668" s="1"/>
      <c r="B668" s="2"/>
      <c r="C668" s="54"/>
      <c r="D668" s="30"/>
      <c r="E668" s="32"/>
      <c r="F668" s="32"/>
      <c r="G668" s="6" t="str">
        <f t="shared" si="3"/>
        <v/>
      </c>
    </row>
    <row r="669" ht="14.25" customHeight="1">
      <c r="A669" s="1"/>
      <c r="B669" s="33">
        <v>1621.0</v>
      </c>
      <c r="C669" s="34"/>
      <c r="D669" s="35" t="s">
        <v>160</v>
      </c>
      <c r="E669" s="36">
        <v>2024.0</v>
      </c>
      <c r="F669" s="36">
        <v>2025.0</v>
      </c>
      <c r="G669" s="6">
        <f t="shared" si="3"/>
        <v>0.0004940711462</v>
      </c>
    </row>
    <row r="670" ht="14.25" customHeight="1">
      <c r="A670" s="1"/>
      <c r="B670" s="2"/>
      <c r="C670" s="83" t="s">
        <v>142</v>
      </c>
      <c r="D670" s="73" t="s">
        <v>143</v>
      </c>
      <c r="E670" s="20"/>
      <c r="F670" s="20">
        <v>15000.0</v>
      </c>
      <c r="G670" s="6"/>
    </row>
    <row r="671" ht="14.25" customHeight="1">
      <c r="A671" s="1"/>
      <c r="B671" s="2"/>
      <c r="C671" s="54" t="s">
        <v>161</v>
      </c>
      <c r="D671" s="73" t="s">
        <v>162</v>
      </c>
      <c r="E671" s="20">
        <v>1590000.0</v>
      </c>
      <c r="F671" s="20">
        <v>1600000.0</v>
      </c>
      <c r="G671" s="6">
        <f t="shared" ref="G671:G678" si="4">IFERROR(((F671-E671)/E671), "")</f>
        <v>0.006289308176</v>
      </c>
    </row>
    <row r="672" ht="14.25" customHeight="1">
      <c r="A672" s="1"/>
      <c r="B672" s="22">
        <v>1621.0</v>
      </c>
      <c r="E672" s="53">
        <v>1590000.0</v>
      </c>
      <c r="F672" s="23">
        <f>SUM(F670,F671)</f>
        <v>1615000</v>
      </c>
      <c r="G672" s="6">
        <f t="shared" si="4"/>
        <v>0.01572327044</v>
      </c>
    </row>
    <row r="673" ht="14.25" customHeight="1">
      <c r="A673" s="1"/>
      <c r="B673" s="2"/>
      <c r="C673" s="54"/>
      <c r="D673" s="30"/>
      <c r="E673" s="32"/>
      <c r="F673" s="32"/>
      <c r="G673" s="6" t="str">
        <f t="shared" si="4"/>
        <v/>
      </c>
    </row>
    <row r="674" ht="14.25" customHeight="1">
      <c r="A674" s="1"/>
      <c r="B674" s="33">
        <v>1623.0</v>
      </c>
      <c r="C674" s="34"/>
      <c r="D674" s="35" t="s">
        <v>163</v>
      </c>
      <c r="E674" s="36">
        <v>2024.0</v>
      </c>
      <c r="F674" s="36">
        <v>2025.0</v>
      </c>
      <c r="G674" s="6">
        <f t="shared" si="4"/>
        <v>0.0004940711462</v>
      </c>
    </row>
    <row r="675" ht="14.25" customHeight="1">
      <c r="A675" s="1"/>
      <c r="B675" s="2"/>
      <c r="C675" s="54">
        <v>213.0</v>
      </c>
      <c r="D675" s="73" t="s">
        <v>99</v>
      </c>
      <c r="E675" s="20">
        <v>608000.0</v>
      </c>
      <c r="F675" s="20">
        <v>650000.0</v>
      </c>
      <c r="G675" s="6">
        <f t="shared" si="4"/>
        <v>0.06907894737</v>
      </c>
    </row>
    <row r="676" ht="14.25" customHeight="1">
      <c r="A676" s="1"/>
      <c r="B676" s="2"/>
      <c r="C676" s="54" t="s">
        <v>105</v>
      </c>
      <c r="D676" s="73" t="s">
        <v>106</v>
      </c>
      <c r="E676" s="20">
        <v>130000.0</v>
      </c>
      <c r="F676" s="20">
        <v>190000.0</v>
      </c>
      <c r="G676" s="6">
        <f t="shared" si="4"/>
        <v>0.4615384615</v>
      </c>
    </row>
    <row r="677" ht="14.25" customHeight="1">
      <c r="A677" s="1"/>
      <c r="B677" s="2"/>
      <c r="C677" s="54" t="s">
        <v>158</v>
      </c>
      <c r="D677" s="31" t="s">
        <v>159</v>
      </c>
      <c r="E677" s="20">
        <v>70000.0</v>
      </c>
      <c r="F677" s="20">
        <v>80000.0</v>
      </c>
      <c r="G677" s="6">
        <f t="shared" si="4"/>
        <v>0.1428571429</v>
      </c>
    </row>
    <row r="678" ht="14.25" customHeight="1">
      <c r="A678" s="1"/>
      <c r="B678" s="2"/>
      <c r="C678" s="54" t="s">
        <v>120</v>
      </c>
      <c r="D678" s="31" t="s">
        <v>121</v>
      </c>
      <c r="E678" s="20">
        <v>0.0</v>
      </c>
      <c r="F678" s="20">
        <v>5000.0</v>
      </c>
      <c r="G678" s="6" t="str">
        <f t="shared" si="4"/>
        <v/>
      </c>
    </row>
    <row r="679" ht="14.25" customHeight="1">
      <c r="A679" s="1"/>
      <c r="B679" s="2"/>
      <c r="C679" s="54" t="s">
        <v>130</v>
      </c>
      <c r="D679" s="73" t="s">
        <v>131</v>
      </c>
      <c r="E679" s="20"/>
      <c r="F679" s="20">
        <v>10000.0</v>
      </c>
      <c r="G679" s="6"/>
    </row>
    <row r="680" ht="14.25" customHeight="1">
      <c r="A680" s="1"/>
      <c r="B680" s="22">
        <v>1623.0</v>
      </c>
      <c r="E680" s="53">
        <v>808000.0</v>
      </c>
      <c r="F680" s="23">
        <f>SUM(F675:F679)</f>
        <v>935000</v>
      </c>
      <c r="G680" s="6">
        <f t="shared" ref="G680:G760" si="5">IFERROR(((F680-E680)/E680), "")</f>
        <v>0.1571782178</v>
      </c>
    </row>
    <row r="681" ht="14.25" customHeight="1">
      <c r="A681" s="1"/>
      <c r="B681" s="2"/>
      <c r="C681" s="3"/>
      <c r="D681" s="4"/>
      <c r="E681" s="4"/>
      <c r="F681" s="4"/>
      <c r="G681" s="6" t="str">
        <f t="shared" si="5"/>
        <v/>
      </c>
    </row>
    <row r="682" ht="14.25" customHeight="1">
      <c r="A682" s="1"/>
      <c r="B682" s="33">
        <v>1630.0</v>
      </c>
      <c r="C682" s="34"/>
      <c r="D682" s="35" t="s">
        <v>42</v>
      </c>
      <c r="E682" s="36">
        <v>2024.0</v>
      </c>
      <c r="F682" s="36">
        <v>2025.0</v>
      </c>
      <c r="G682" s="6">
        <f t="shared" si="5"/>
        <v>0.0004940711462</v>
      </c>
    </row>
    <row r="683" ht="14.25" customHeight="1">
      <c r="A683" s="1"/>
      <c r="B683" s="2"/>
      <c r="C683" s="54" t="s">
        <v>161</v>
      </c>
      <c r="D683" s="73" t="s">
        <v>162</v>
      </c>
      <c r="E683" s="20">
        <v>2040000.0</v>
      </c>
      <c r="F683" s="5">
        <v>2040000.0</v>
      </c>
      <c r="G683" s="6">
        <f t="shared" si="5"/>
        <v>0</v>
      </c>
    </row>
    <row r="684" ht="14.25" customHeight="1">
      <c r="A684" s="1"/>
      <c r="B684" s="22">
        <v>1630.0</v>
      </c>
      <c r="E684" s="53">
        <v>2040000.0</v>
      </c>
      <c r="F684" s="23">
        <f>SUM(F683)</f>
        <v>2040000</v>
      </c>
      <c r="G684" s="6">
        <f t="shared" si="5"/>
        <v>0</v>
      </c>
    </row>
    <row r="685" ht="14.25" customHeight="1">
      <c r="A685" s="1"/>
      <c r="B685" s="2"/>
      <c r="C685" s="3"/>
      <c r="D685" s="4"/>
      <c r="E685" s="5"/>
      <c r="F685" s="5"/>
      <c r="G685" s="6" t="str">
        <f t="shared" si="5"/>
        <v/>
      </c>
    </row>
    <row r="686" ht="14.25" customHeight="1">
      <c r="A686" s="1"/>
      <c r="B686" s="33">
        <v>1640.0</v>
      </c>
      <c r="C686" s="34"/>
      <c r="D686" s="35" t="s">
        <v>45</v>
      </c>
      <c r="E686" s="36">
        <v>2024.0</v>
      </c>
      <c r="F686" s="36">
        <v>2025.0</v>
      </c>
      <c r="G686" s="6">
        <f t="shared" si="5"/>
        <v>0.0004940711462</v>
      </c>
    </row>
    <row r="687" ht="14.25" customHeight="1">
      <c r="A687" s="1"/>
      <c r="B687" s="2"/>
      <c r="C687" s="54">
        <v>203.0</v>
      </c>
      <c r="D687" s="31" t="s">
        <v>153</v>
      </c>
      <c r="E687" s="20">
        <v>500.0</v>
      </c>
      <c r="F687" s="5">
        <v>500.0</v>
      </c>
      <c r="G687" s="6">
        <f t="shared" si="5"/>
        <v>0</v>
      </c>
    </row>
    <row r="688" ht="14.25" customHeight="1">
      <c r="A688" s="1"/>
      <c r="B688" s="2"/>
      <c r="C688" s="54">
        <v>212.0</v>
      </c>
      <c r="D688" s="73" t="s">
        <v>98</v>
      </c>
      <c r="E688" s="20">
        <v>7000.0</v>
      </c>
      <c r="F688" s="5">
        <v>7000.0</v>
      </c>
      <c r="G688" s="6">
        <f t="shared" si="5"/>
        <v>0</v>
      </c>
    </row>
    <row r="689" ht="14.25" customHeight="1">
      <c r="A689" s="1"/>
      <c r="B689" s="2"/>
      <c r="C689" s="54">
        <v>213.0</v>
      </c>
      <c r="D689" s="73" t="s">
        <v>99</v>
      </c>
      <c r="E689" s="20">
        <v>2000.0</v>
      </c>
      <c r="F689" s="5">
        <v>2000.0</v>
      </c>
      <c r="G689" s="6">
        <f t="shared" si="5"/>
        <v>0</v>
      </c>
    </row>
    <row r="690" ht="14.25" customHeight="1">
      <c r="A690" s="1"/>
      <c r="B690" s="2"/>
      <c r="C690" s="54" t="s">
        <v>105</v>
      </c>
      <c r="D690" s="73" t="s">
        <v>106</v>
      </c>
      <c r="E690" s="20">
        <v>12000.0</v>
      </c>
      <c r="F690" s="5">
        <v>12000.0</v>
      </c>
      <c r="G690" s="6">
        <f t="shared" si="5"/>
        <v>0</v>
      </c>
    </row>
    <row r="691" ht="14.25" customHeight="1">
      <c r="A691" s="1"/>
      <c r="B691" s="2"/>
      <c r="C691" s="54" t="s">
        <v>109</v>
      </c>
      <c r="D691" s="31" t="s">
        <v>110</v>
      </c>
      <c r="E691" s="20">
        <v>50.0</v>
      </c>
      <c r="F691" s="5">
        <v>50.0</v>
      </c>
      <c r="G691" s="6">
        <f t="shared" si="5"/>
        <v>0</v>
      </c>
    </row>
    <row r="692" ht="14.25" customHeight="1">
      <c r="A692" s="1"/>
      <c r="B692" s="2"/>
      <c r="C692" s="54" t="s">
        <v>111</v>
      </c>
      <c r="D692" s="31" t="s">
        <v>112</v>
      </c>
      <c r="E692" s="20">
        <v>500.0</v>
      </c>
      <c r="F692" s="20">
        <v>2000.0</v>
      </c>
      <c r="G692" s="6">
        <f t="shared" si="5"/>
        <v>3</v>
      </c>
    </row>
    <row r="693" ht="14.25" customHeight="1">
      <c r="A693" s="1"/>
      <c r="B693" s="2"/>
      <c r="C693" s="54" t="s">
        <v>113</v>
      </c>
      <c r="D693" s="73" t="s">
        <v>114</v>
      </c>
      <c r="E693" s="20">
        <v>3000.0</v>
      </c>
      <c r="F693" s="5">
        <v>3000.0</v>
      </c>
      <c r="G693" s="6">
        <f t="shared" si="5"/>
        <v>0</v>
      </c>
    </row>
    <row r="694" ht="14.25" customHeight="1">
      <c r="A694" s="1"/>
      <c r="B694" s="2"/>
      <c r="C694" s="54" t="s">
        <v>115</v>
      </c>
      <c r="D694" s="31" t="s">
        <v>116</v>
      </c>
      <c r="E694" s="20">
        <v>200.0</v>
      </c>
      <c r="F694" s="5">
        <v>200.0</v>
      </c>
      <c r="G694" s="6">
        <f t="shared" si="5"/>
        <v>0</v>
      </c>
    </row>
    <row r="695" ht="14.25" customHeight="1">
      <c r="A695" s="1"/>
      <c r="B695" s="2"/>
      <c r="C695" s="54" t="s">
        <v>120</v>
      </c>
      <c r="D695" s="31" t="s">
        <v>121</v>
      </c>
      <c r="E695" s="20">
        <v>100.0</v>
      </c>
      <c r="F695" s="5">
        <v>100.0</v>
      </c>
      <c r="G695" s="6">
        <f t="shared" si="5"/>
        <v>0</v>
      </c>
    </row>
    <row r="696" ht="14.25" customHeight="1">
      <c r="A696" s="1"/>
      <c r="B696" s="2"/>
      <c r="C696" s="54" t="s">
        <v>128</v>
      </c>
      <c r="D696" s="73" t="s">
        <v>129</v>
      </c>
      <c r="E696" s="20">
        <v>100.0</v>
      </c>
      <c r="F696" s="5">
        <v>100.0</v>
      </c>
      <c r="G696" s="6">
        <f t="shared" si="5"/>
        <v>0</v>
      </c>
    </row>
    <row r="697" ht="14.25" customHeight="1">
      <c r="A697" s="1"/>
      <c r="B697" s="2"/>
      <c r="C697" s="54" t="s">
        <v>130</v>
      </c>
      <c r="D697" s="73" t="s">
        <v>135</v>
      </c>
      <c r="E697" s="20">
        <v>800.0</v>
      </c>
      <c r="F697" s="20">
        <v>9000.0</v>
      </c>
      <c r="G697" s="6">
        <f t="shared" si="5"/>
        <v>10.25</v>
      </c>
    </row>
    <row r="698" ht="14.25" customHeight="1">
      <c r="A698" s="1"/>
      <c r="B698" s="22">
        <v>1640.0</v>
      </c>
      <c r="E698" s="53">
        <v>26250.0</v>
      </c>
      <c r="F698" s="23">
        <f>SUM(F687:F697)</f>
        <v>35950</v>
      </c>
      <c r="G698" s="6">
        <f t="shared" si="5"/>
        <v>0.3695238095</v>
      </c>
    </row>
    <row r="699" ht="14.25" customHeight="1">
      <c r="A699" s="1"/>
      <c r="B699" s="2"/>
      <c r="C699" s="3"/>
      <c r="D699" s="4"/>
      <c r="E699" s="5"/>
      <c r="F699" s="5"/>
      <c r="G699" s="6" t="str">
        <f t="shared" si="5"/>
        <v/>
      </c>
    </row>
    <row r="700" ht="14.25" customHeight="1">
      <c r="A700" s="1"/>
      <c r="B700" s="33">
        <v>1650.0</v>
      </c>
      <c r="C700" s="34"/>
      <c r="D700" s="35" t="s">
        <v>46</v>
      </c>
      <c r="E700" s="36">
        <v>2024.0</v>
      </c>
      <c r="F700" s="36">
        <v>2025.0</v>
      </c>
      <c r="G700" s="6">
        <f t="shared" si="5"/>
        <v>0.0004940711462</v>
      </c>
    </row>
    <row r="701" ht="14.25" customHeight="1">
      <c r="A701" s="1"/>
      <c r="B701" s="2"/>
      <c r="C701" s="54">
        <v>204.0</v>
      </c>
      <c r="D701" s="31" t="s">
        <v>147</v>
      </c>
      <c r="E701" s="20">
        <v>500.0</v>
      </c>
      <c r="F701" s="5">
        <v>500.0</v>
      </c>
      <c r="G701" s="6">
        <f t="shared" si="5"/>
        <v>0</v>
      </c>
    </row>
    <row r="702" ht="14.25" customHeight="1">
      <c r="A702" s="1"/>
      <c r="B702" s="2"/>
      <c r="C702" s="54">
        <v>210.0</v>
      </c>
      <c r="D702" s="73" t="s">
        <v>157</v>
      </c>
      <c r="E702" s="20">
        <v>10000.0</v>
      </c>
      <c r="F702" s="20">
        <v>30000.0</v>
      </c>
      <c r="G702" s="6">
        <f t="shared" si="5"/>
        <v>2</v>
      </c>
    </row>
    <row r="703" ht="14.25" customHeight="1">
      <c r="A703" s="1"/>
      <c r="B703" s="2"/>
      <c r="C703" s="54">
        <v>212.0</v>
      </c>
      <c r="D703" s="73" t="s">
        <v>98</v>
      </c>
      <c r="E703" s="20">
        <v>0.0</v>
      </c>
      <c r="F703" s="20">
        <v>2500.0</v>
      </c>
      <c r="G703" s="6" t="str">
        <f t="shared" si="5"/>
        <v/>
      </c>
    </row>
    <row r="704" ht="14.25" customHeight="1">
      <c r="A704" s="1"/>
      <c r="B704" s="2"/>
      <c r="C704" s="54">
        <v>213.0</v>
      </c>
      <c r="D704" s="73" t="s">
        <v>99</v>
      </c>
      <c r="E704" s="20">
        <v>3000.0</v>
      </c>
      <c r="F704" s="5">
        <v>3000.0</v>
      </c>
      <c r="G704" s="6">
        <f t="shared" si="5"/>
        <v>0</v>
      </c>
    </row>
    <row r="705" ht="14.25" customHeight="1">
      <c r="A705" s="1"/>
      <c r="B705" s="2"/>
      <c r="C705" s="54">
        <v>214.0</v>
      </c>
      <c r="D705" s="73" t="s">
        <v>100</v>
      </c>
      <c r="E705" s="20">
        <v>8000.0</v>
      </c>
      <c r="F705" s="5">
        <v>8000.0</v>
      </c>
      <c r="G705" s="6">
        <f t="shared" si="5"/>
        <v>0</v>
      </c>
    </row>
    <row r="706" ht="14.25" customHeight="1">
      <c r="A706" s="1"/>
      <c r="B706" s="2"/>
      <c r="C706" s="54" t="s">
        <v>103</v>
      </c>
      <c r="D706" s="73" t="s">
        <v>104</v>
      </c>
      <c r="E706" s="20">
        <v>500.0</v>
      </c>
      <c r="F706" s="5">
        <v>500.0</v>
      </c>
      <c r="G706" s="6">
        <f t="shared" si="5"/>
        <v>0</v>
      </c>
    </row>
    <row r="707" ht="14.25" customHeight="1">
      <c r="A707" s="1"/>
      <c r="B707" s="2"/>
      <c r="C707" s="54" t="s">
        <v>164</v>
      </c>
      <c r="D707" s="73" t="s">
        <v>165</v>
      </c>
      <c r="E707" s="20">
        <v>500.0</v>
      </c>
      <c r="F707" s="5">
        <v>500.0</v>
      </c>
      <c r="G707" s="6">
        <f t="shared" si="5"/>
        <v>0</v>
      </c>
    </row>
    <row r="708" ht="14.25" customHeight="1">
      <c r="A708" s="1"/>
      <c r="B708" s="2"/>
      <c r="C708" s="54" t="s">
        <v>105</v>
      </c>
      <c r="D708" s="73" t="s">
        <v>106</v>
      </c>
      <c r="E708" s="20">
        <v>360000.0</v>
      </c>
      <c r="F708" s="20">
        <v>405000.0</v>
      </c>
      <c r="G708" s="6">
        <f t="shared" si="5"/>
        <v>0.125</v>
      </c>
    </row>
    <row r="709" ht="14.25" customHeight="1">
      <c r="A709" s="1"/>
      <c r="B709" s="2"/>
      <c r="C709" s="54" t="s">
        <v>109</v>
      </c>
      <c r="D709" s="31" t="s">
        <v>110</v>
      </c>
      <c r="E709" s="20">
        <v>3500.0</v>
      </c>
      <c r="F709" s="5">
        <v>3500.0</v>
      </c>
      <c r="G709" s="6">
        <f t="shared" si="5"/>
        <v>0</v>
      </c>
    </row>
    <row r="710" ht="14.25" customHeight="1">
      <c r="A710" s="1"/>
      <c r="B710" s="2"/>
      <c r="C710" s="54" t="s">
        <v>111</v>
      </c>
      <c r="D710" s="73" t="s">
        <v>112</v>
      </c>
      <c r="E710" s="20">
        <v>2000.0</v>
      </c>
      <c r="F710" s="5">
        <v>2000.0</v>
      </c>
      <c r="G710" s="6">
        <f t="shared" si="5"/>
        <v>0</v>
      </c>
    </row>
    <row r="711" ht="14.25" customHeight="1">
      <c r="A711" s="1"/>
      <c r="B711" s="2"/>
      <c r="C711" s="54" t="s">
        <v>166</v>
      </c>
      <c r="D711" s="31" t="s">
        <v>167</v>
      </c>
      <c r="E711" s="20">
        <v>15000.0</v>
      </c>
      <c r="F711" s="5">
        <v>15000.0</v>
      </c>
      <c r="G711" s="6">
        <f t="shared" si="5"/>
        <v>0</v>
      </c>
    </row>
    <row r="712" ht="14.25" customHeight="1">
      <c r="A712" s="1"/>
      <c r="B712" s="2"/>
      <c r="C712" s="54" t="s">
        <v>113</v>
      </c>
      <c r="D712" s="31" t="s">
        <v>168</v>
      </c>
      <c r="E712" s="20">
        <v>40000.0</v>
      </c>
      <c r="F712" s="5">
        <v>40000.0</v>
      </c>
      <c r="G712" s="6">
        <f t="shared" si="5"/>
        <v>0</v>
      </c>
    </row>
    <row r="713" ht="14.25" customHeight="1">
      <c r="A713" s="1"/>
      <c r="B713" s="2"/>
      <c r="C713" s="54" t="s">
        <v>115</v>
      </c>
      <c r="D713" s="73" t="s">
        <v>116</v>
      </c>
      <c r="E713" s="20">
        <v>1000.0</v>
      </c>
      <c r="F713" s="20">
        <v>1500.0</v>
      </c>
      <c r="G713" s="6">
        <f t="shared" si="5"/>
        <v>0.5</v>
      </c>
    </row>
    <row r="714" ht="14.25" customHeight="1">
      <c r="A714" s="1"/>
      <c r="B714" s="2"/>
      <c r="C714" s="54">
        <v>224.0</v>
      </c>
      <c r="D714" s="31" t="s">
        <v>119</v>
      </c>
      <c r="E714" s="20">
        <v>3500.0</v>
      </c>
      <c r="F714" s="5">
        <v>3500.0</v>
      </c>
      <c r="G714" s="6">
        <f t="shared" si="5"/>
        <v>0</v>
      </c>
    </row>
    <row r="715" ht="14.25" customHeight="1">
      <c r="A715" s="1"/>
      <c r="B715" s="2"/>
      <c r="C715" s="54" t="s">
        <v>120</v>
      </c>
      <c r="D715" s="31" t="s">
        <v>121</v>
      </c>
      <c r="E715" s="20">
        <v>200.0</v>
      </c>
      <c r="F715" s="5">
        <v>200.0</v>
      </c>
      <c r="G715" s="6">
        <f t="shared" si="5"/>
        <v>0</v>
      </c>
    </row>
    <row r="716" ht="14.25" customHeight="1">
      <c r="A716" s="1"/>
      <c r="B716" s="2"/>
      <c r="C716" s="54" t="s">
        <v>128</v>
      </c>
      <c r="D716" s="73" t="s">
        <v>129</v>
      </c>
      <c r="E716" s="20">
        <v>700.0</v>
      </c>
      <c r="F716" s="20">
        <v>1500.0</v>
      </c>
      <c r="G716" s="6">
        <f t="shared" si="5"/>
        <v>1.142857143</v>
      </c>
    </row>
    <row r="717" ht="14.25" customHeight="1">
      <c r="A717" s="1"/>
      <c r="B717" s="2"/>
      <c r="C717" s="54" t="s">
        <v>142</v>
      </c>
      <c r="D717" s="73" t="s">
        <v>143</v>
      </c>
      <c r="E717" s="20">
        <v>20000.0</v>
      </c>
      <c r="F717" s="5">
        <v>20000.0</v>
      </c>
      <c r="G717" s="6">
        <f t="shared" si="5"/>
        <v>0</v>
      </c>
    </row>
    <row r="718" ht="14.25" customHeight="1">
      <c r="A718" s="1"/>
      <c r="B718" s="2"/>
      <c r="C718" s="54" t="s">
        <v>130</v>
      </c>
      <c r="D718" s="73" t="s">
        <v>131</v>
      </c>
      <c r="E718" s="20">
        <v>12000.0</v>
      </c>
      <c r="F718" s="5">
        <v>12000.0</v>
      </c>
      <c r="G718" s="6">
        <f t="shared" si="5"/>
        <v>0</v>
      </c>
    </row>
    <row r="719" ht="14.25" customHeight="1">
      <c r="A719" s="1"/>
      <c r="B719" s="22">
        <v>1650.0</v>
      </c>
      <c r="E719" s="53">
        <v>480400.0</v>
      </c>
      <c r="F719" s="23">
        <f>SUM(F701:F718)</f>
        <v>549200</v>
      </c>
      <c r="G719" s="6">
        <f t="shared" si="5"/>
        <v>0.1432139883</v>
      </c>
    </row>
    <row r="720" ht="14.25" customHeight="1">
      <c r="A720" s="1"/>
      <c r="B720" s="2"/>
      <c r="C720" s="3"/>
      <c r="D720" s="4"/>
      <c r="E720" s="5"/>
      <c r="F720" s="5"/>
      <c r="G720" s="6" t="str">
        <f t="shared" si="5"/>
        <v/>
      </c>
    </row>
    <row r="721" ht="14.25" customHeight="1">
      <c r="A721" s="1"/>
      <c r="B721" s="33">
        <v>1700.0</v>
      </c>
      <c r="C721" s="34"/>
      <c r="D721" s="35" t="s">
        <v>169</v>
      </c>
      <c r="E721" s="36">
        <v>2024.0</v>
      </c>
      <c r="F721" s="36">
        <v>2025.0</v>
      </c>
      <c r="G721" s="6">
        <f t="shared" si="5"/>
        <v>0.0004940711462</v>
      </c>
    </row>
    <row r="722" ht="14.25" customHeight="1">
      <c r="A722" s="1"/>
      <c r="B722" s="2"/>
      <c r="C722" s="54">
        <v>203.0</v>
      </c>
      <c r="D722" s="31" t="s">
        <v>153</v>
      </c>
      <c r="E722" s="20">
        <v>1000.0</v>
      </c>
      <c r="F722" s="5">
        <v>1000.0</v>
      </c>
      <c r="G722" s="6">
        <f t="shared" si="5"/>
        <v>0</v>
      </c>
    </row>
    <row r="723" ht="14.25" customHeight="1">
      <c r="A723" s="1"/>
      <c r="B723" s="2"/>
      <c r="C723" s="54">
        <v>210.0</v>
      </c>
      <c r="D723" s="73" t="s">
        <v>157</v>
      </c>
      <c r="E723" s="20">
        <v>1000.0</v>
      </c>
      <c r="F723" s="5">
        <v>1000.0</v>
      </c>
      <c r="G723" s="6">
        <f t="shared" si="5"/>
        <v>0</v>
      </c>
    </row>
    <row r="724" ht="14.25" customHeight="1">
      <c r="A724" s="1"/>
      <c r="B724" s="2"/>
      <c r="C724" s="54">
        <v>212.0</v>
      </c>
      <c r="D724" s="73" t="s">
        <v>98</v>
      </c>
      <c r="E724" s="20">
        <v>2150.0</v>
      </c>
      <c r="F724" s="5">
        <v>2150.0</v>
      </c>
      <c r="G724" s="6">
        <f t="shared" si="5"/>
        <v>0</v>
      </c>
    </row>
    <row r="725" ht="14.25" customHeight="1">
      <c r="A725" s="1"/>
      <c r="B725" s="2"/>
      <c r="C725" s="54">
        <v>213.0</v>
      </c>
      <c r="D725" s="73" t="s">
        <v>99</v>
      </c>
      <c r="E725" s="20">
        <v>1300.0</v>
      </c>
      <c r="F725" s="5">
        <v>1300.0</v>
      </c>
      <c r="G725" s="6">
        <f t="shared" si="5"/>
        <v>0</v>
      </c>
    </row>
    <row r="726" ht="14.25" customHeight="1">
      <c r="A726" s="1"/>
      <c r="B726" s="2"/>
      <c r="C726" s="54">
        <v>216.0</v>
      </c>
      <c r="D726" s="73" t="s">
        <v>138</v>
      </c>
      <c r="E726" s="20">
        <v>0.0</v>
      </c>
      <c r="F726" s="20">
        <v>2500.0</v>
      </c>
      <c r="G726" s="6" t="str">
        <f t="shared" si="5"/>
        <v/>
      </c>
    </row>
    <row r="727" ht="14.25" customHeight="1">
      <c r="A727" s="1"/>
      <c r="B727" s="2"/>
      <c r="C727" s="54" t="s">
        <v>103</v>
      </c>
      <c r="D727" s="73" t="s">
        <v>104</v>
      </c>
      <c r="E727" s="20">
        <v>1800.0</v>
      </c>
      <c r="F727" s="5">
        <v>1800.0</v>
      </c>
      <c r="G727" s="6">
        <f t="shared" si="5"/>
        <v>0</v>
      </c>
    </row>
    <row r="728" ht="14.25" customHeight="1">
      <c r="A728" s="1"/>
      <c r="B728" s="2"/>
      <c r="C728" s="54" t="s">
        <v>105</v>
      </c>
      <c r="D728" s="73" t="s">
        <v>170</v>
      </c>
      <c r="E728" s="20">
        <v>5000.0</v>
      </c>
      <c r="F728" s="5">
        <v>5000.0</v>
      </c>
      <c r="G728" s="6">
        <f t="shared" si="5"/>
        <v>0</v>
      </c>
    </row>
    <row r="729" ht="14.25" customHeight="1">
      <c r="A729" s="1"/>
      <c r="B729" s="2"/>
      <c r="C729" s="54" t="s">
        <v>109</v>
      </c>
      <c r="D729" s="73" t="s">
        <v>110</v>
      </c>
      <c r="E729" s="20">
        <v>1000.0</v>
      </c>
      <c r="F729" s="5">
        <v>1000.0</v>
      </c>
      <c r="G729" s="6">
        <f t="shared" si="5"/>
        <v>0</v>
      </c>
    </row>
    <row r="730" ht="14.25" customHeight="1">
      <c r="A730" s="1"/>
      <c r="B730" s="2"/>
      <c r="C730" s="54" t="s">
        <v>111</v>
      </c>
      <c r="D730" s="73" t="s">
        <v>112</v>
      </c>
      <c r="E730" s="20">
        <v>2200.0</v>
      </c>
      <c r="F730" s="5">
        <v>2200.0</v>
      </c>
      <c r="G730" s="6">
        <f t="shared" si="5"/>
        <v>0</v>
      </c>
    </row>
    <row r="731" ht="14.25" customHeight="1">
      <c r="A731" s="1"/>
      <c r="B731" s="2"/>
      <c r="C731" s="54" t="s">
        <v>113</v>
      </c>
      <c r="D731" s="73" t="s">
        <v>114</v>
      </c>
      <c r="E731" s="20">
        <v>1000.0</v>
      </c>
      <c r="F731" s="5">
        <v>1000.0</v>
      </c>
      <c r="G731" s="6">
        <f t="shared" si="5"/>
        <v>0</v>
      </c>
    </row>
    <row r="732" ht="14.25" customHeight="1">
      <c r="A732" s="1"/>
      <c r="B732" s="2"/>
      <c r="C732" s="54" t="s">
        <v>115</v>
      </c>
      <c r="D732" s="73" t="s">
        <v>116</v>
      </c>
      <c r="E732" s="20">
        <v>1000.0</v>
      </c>
      <c r="F732" s="5">
        <v>1000.0</v>
      </c>
      <c r="G732" s="6">
        <f t="shared" si="5"/>
        <v>0</v>
      </c>
    </row>
    <row r="733" ht="14.25" customHeight="1">
      <c r="A733" s="1"/>
      <c r="B733" s="2"/>
      <c r="C733" s="54" t="s">
        <v>120</v>
      </c>
      <c r="D733" s="31" t="s">
        <v>121</v>
      </c>
      <c r="E733" s="20">
        <v>900.0</v>
      </c>
      <c r="F733" s="5">
        <v>900.0</v>
      </c>
      <c r="G733" s="6">
        <f t="shared" si="5"/>
        <v>0</v>
      </c>
    </row>
    <row r="734" ht="14.25" customHeight="1">
      <c r="A734" s="1"/>
      <c r="B734" s="2"/>
      <c r="C734" s="54" t="s">
        <v>124</v>
      </c>
      <c r="D734" s="73" t="s">
        <v>125</v>
      </c>
      <c r="E734" s="20">
        <v>8500.0</v>
      </c>
      <c r="F734" s="5">
        <v>8500.0</v>
      </c>
      <c r="G734" s="6">
        <f t="shared" si="5"/>
        <v>0</v>
      </c>
    </row>
    <row r="735" ht="14.25" customHeight="1">
      <c r="A735" s="1"/>
      <c r="B735" s="2"/>
      <c r="C735" s="54" t="s">
        <v>128</v>
      </c>
      <c r="D735" s="73" t="s">
        <v>129</v>
      </c>
      <c r="E735" s="20">
        <v>50000.0</v>
      </c>
      <c r="F735" s="5">
        <v>50000.0</v>
      </c>
      <c r="G735" s="6">
        <f t="shared" si="5"/>
        <v>0</v>
      </c>
    </row>
    <row r="736" ht="14.25" customHeight="1">
      <c r="A736" s="1"/>
      <c r="B736" s="2"/>
      <c r="C736" s="54" t="s">
        <v>130</v>
      </c>
      <c r="D736" s="73" t="s">
        <v>131</v>
      </c>
      <c r="E736" s="20">
        <v>10000.0</v>
      </c>
      <c r="F736" s="5">
        <v>10000.0</v>
      </c>
      <c r="G736" s="6">
        <f t="shared" si="5"/>
        <v>0</v>
      </c>
    </row>
    <row r="737" ht="14.25" customHeight="1">
      <c r="A737" s="1"/>
      <c r="B737" s="2"/>
      <c r="C737" s="54" t="s">
        <v>132</v>
      </c>
      <c r="D737" s="73" t="s">
        <v>133</v>
      </c>
      <c r="E737" s="20">
        <v>100.0</v>
      </c>
      <c r="F737" s="5">
        <v>100.0</v>
      </c>
      <c r="G737" s="6">
        <f t="shared" si="5"/>
        <v>0</v>
      </c>
    </row>
    <row r="738" ht="14.25" customHeight="1">
      <c r="A738" s="1"/>
      <c r="B738" s="22">
        <v>1700.0</v>
      </c>
      <c r="E738" s="53">
        <v>86950.0</v>
      </c>
      <c r="F738" s="23">
        <f>SUM(F722:F737)</f>
        <v>89450</v>
      </c>
      <c r="G738" s="6">
        <f t="shared" si="5"/>
        <v>0.02875215641</v>
      </c>
    </row>
    <row r="739" ht="14.25" customHeight="1">
      <c r="A739" s="1"/>
      <c r="B739" s="22"/>
      <c r="C739" s="4"/>
      <c r="D739" s="4"/>
      <c r="E739" s="32"/>
      <c r="F739" s="32"/>
      <c r="G739" s="6" t="str">
        <f t="shared" si="5"/>
        <v/>
      </c>
    </row>
    <row r="740" ht="14.25" customHeight="1">
      <c r="A740" s="1"/>
      <c r="B740" s="33">
        <v>1710.0</v>
      </c>
      <c r="C740" s="34"/>
      <c r="D740" s="35" t="s">
        <v>48</v>
      </c>
      <c r="E740" s="36">
        <v>2024.0</v>
      </c>
      <c r="F740" s="36">
        <v>2025.0</v>
      </c>
      <c r="G740" s="6">
        <f t="shared" si="5"/>
        <v>0.0004940711462</v>
      </c>
    </row>
    <row r="741" ht="14.25" customHeight="1">
      <c r="A741" s="1"/>
      <c r="B741" s="2"/>
      <c r="C741" s="54">
        <v>203.0</v>
      </c>
      <c r="D741" s="31" t="s">
        <v>153</v>
      </c>
      <c r="E741" s="20">
        <v>1000.0</v>
      </c>
      <c r="F741" s="5">
        <v>1000.0</v>
      </c>
      <c r="G741" s="6">
        <f t="shared" si="5"/>
        <v>0</v>
      </c>
    </row>
    <row r="742" ht="14.25" customHeight="1">
      <c r="A742" s="1"/>
      <c r="B742" s="2"/>
      <c r="C742" s="54" t="s">
        <v>105</v>
      </c>
      <c r="D742" s="73" t="s">
        <v>170</v>
      </c>
      <c r="E742" s="20">
        <v>21000.0</v>
      </c>
      <c r="F742" s="5">
        <v>21000.0</v>
      </c>
      <c r="G742" s="6">
        <f t="shared" si="5"/>
        <v>0</v>
      </c>
    </row>
    <row r="743" ht="14.25" customHeight="1">
      <c r="A743" s="1"/>
      <c r="B743" s="2"/>
      <c r="C743" s="54" t="s">
        <v>171</v>
      </c>
      <c r="D743" s="73" t="s">
        <v>172</v>
      </c>
      <c r="E743" s="20">
        <v>40000.0</v>
      </c>
      <c r="F743" s="5">
        <v>40000.0</v>
      </c>
      <c r="G743" s="6">
        <f t="shared" si="5"/>
        <v>0</v>
      </c>
    </row>
    <row r="744" ht="14.25" customHeight="1">
      <c r="A744" s="1"/>
      <c r="B744" s="2"/>
      <c r="C744" s="54" t="s">
        <v>130</v>
      </c>
      <c r="D744" s="73" t="s">
        <v>131</v>
      </c>
      <c r="E744" s="20">
        <v>1500000.0</v>
      </c>
      <c r="F744" s="5">
        <v>1500000.0</v>
      </c>
      <c r="G744" s="6">
        <f t="shared" si="5"/>
        <v>0</v>
      </c>
      <c r="H744" s="76"/>
      <c r="I744" s="76"/>
      <c r="J744" s="76"/>
      <c r="K744" s="76"/>
    </row>
    <row r="745" ht="14.25" customHeight="1">
      <c r="A745" s="1"/>
      <c r="B745" s="22">
        <v>1710.0</v>
      </c>
      <c r="E745" s="53">
        <v>1562000.0</v>
      </c>
      <c r="F745" s="23">
        <f>SUM(F741:F744)</f>
        <v>1562000</v>
      </c>
      <c r="G745" s="6">
        <f t="shared" si="5"/>
        <v>0</v>
      </c>
    </row>
    <row r="746" ht="14.25" customHeight="1">
      <c r="A746" s="1"/>
      <c r="B746" s="2"/>
      <c r="C746" s="3"/>
      <c r="D746" s="4"/>
      <c r="E746" s="5"/>
      <c r="F746" s="5"/>
      <c r="G746" s="6" t="str">
        <f t="shared" si="5"/>
        <v/>
      </c>
    </row>
    <row r="747" ht="14.25" customHeight="1">
      <c r="A747" s="1"/>
      <c r="B747" s="33">
        <v>1721.0</v>
      </c>
      <c r="C747" s="34"/>
      <c r="D747" s="35" t="s">
        <v>173</v>
      </c>
      <c r="E747" s="36">
        <v>2024.0</v>
      </c>
      <c r="F747" s="36">
        <v>2025.0</v>
      </c>
      <c r="G747" s="6">
        <f t="shared" si="5"/>
        <v>0.0004940711462</v>
      </c>
    </row>
    <row r="748" ht="14.25" customHeight="1">
      <c r="A748" s="1"/>
      <c r="B748" s="2"/>
      <c r="C748" s="54" t="s">
        <v>142</v>
      </c>
      <c r="D748" s="73" t="s">
        <v>174</v>
      </c>
      <c r="E748" s="20">
        <v>33100.0</v>
      </c>
      <c r="F748" s="20">
        <v>50000.0</v>
      </c>
      <c r="G748" s="6">
        <f t="shared" si="5"/>
        <v>0.5105740181</v>
      </c>
    </row>
    <row r="749" ht="14.25" customHeight="1">
      <c r="A749" s="1"/>
      <c r="B749" s="22">
        <v>1721.0</v>
      </c>
      <c r="E749" s="53">
        <v>33100.0</v>
      </c>
      <c r="F749" s="23">
        <f>SUM(F748)</f>
        <v>50000</v>
      </c>
      <c r="G749" s="6">
        <f t="shared" si="5"/>
        <v>0.5105740181</v>
      </c>
    </row>
    <row r="750" ht="14.25" customHeight="1">
      <c r="A750" s="1"/>
      <c r="B750" s="2"/>
      <c r="C750" s="3"/>
      <c r="D750" s="4"/>
      <c r="E750" s="5"/>
      <c r="F750" s="5"/>
      <c r="G750" s="6" t="str">
        <f t="shared" si="5"/>
        <v/>
      </c>
    </row>
    <row r="751" ht="14.25" customHeight="1">
      <c r="A751" s="1"/>
      <c r="B751" s="33">
        <v>2310.0</v>
      </c>
      <c r="C751" s="34"/>
      <c r="D751" s="35" t="s">
        <v>62</v>
      </c>
      <c r="E751" s="36">
        <v>2024.0</v>
      </c>
      <c r="F751" s="36">
        <v>2025.0</v>
      </c>
      <c r="G751" s="6">
        <f t="shared" si="5"/>
        <v>0.0004940711462</v>
      </c>
    </row>
    <row r="752" ht="14.25" customHeight="1">
      <c r="A752" s="1"/>
      <c r="B752" s="2"/>
      <c r="C752" s="54">
        <v>203.0</v>
      </c>
      <c r="D752" s="31" t="s">
        <v>153</v>
      </c>
      <c r="E752" s="20">
        <v>500.0</v>
      </c>
      <c r="F752" s="5">
        <v>500.0</v>
      </c>
      <c r="G752" s="6">
        <f t="shared" si="5"/>
        <v>0</v>
      </c>
    </row>
    <row r="753" ht="14.25" customHeight="1">
      <c r="A753" s="1"/>
      <c r="B753" s="2"/>
      <c r="C753" s="54">
        <v>212.0</v>
      </c>
      <c r="D753" s="73" t="s">
        <v>98</v>
      </c>
      <c r="E753" s="20">
        <v>72000.0</v>
      </c>
      <c r="F753" s="5">
        <v>72000.0</v>
      </c>
      <c r="G753" s="6">
        <f t="shared" si="5"/>
        <v>0</v>
      </c>
    </row>
    <row r="754" ht="14.25" customHeight="1">
      <c r="A754" s="1"/>
      <c r="B754" s="2"/>
      <c r="C754" s="54">
        <v>213.0</v>
      </c>
      <c r="D754" s="73" t="s">
        <v>99</v>
      </c>
      <c r="E754" s="20">
        <v>500.0</v>
      </c>
      <c r="F754" s="5">
        <v>500.0</v>
      </c>
      <c r="G754" s="6">
        <f t="shared" si="5"/>
        <v>0</v>
      </c>
    </row>
    <row r="755" ht="14.25" customHeight="1">
      <c r="A755" s="1"/>
      <c r="B755" s="2"/>
      <c r="C755" s="54">
        <v>215.0</v>
      </c>
      <c r="D755" s="73" t="s">
        <v>101</v>
      </c>
      <c r="E755" s="20">
        <v>500.0</v>
      </c>
      <c r="F755" s="5">
        <v>500.0</v>
      </c>
      <c r="G755" s="6">
        <f t="shared" si="5"/>
        <v>0</v>
      </c>
    </row>
    <row r="756" ht="14.25" customHeight="1">
      <c r="A756" s="1"/>
      <c r="B756" s="2"/>
      <c r="C756" s="54" t="s">
        <v>103</v>
      </c>
      <c r="D756" s="73" t="s">
        <v>104</v>
      </c>
      <c r="E756" s="20">
        <v>5000.0</v>
      </c>
      <c r="F756" s="5">
        <v>5000.0</v>
      </c>
      <c r="G756" s="6">
        <f t="shared" si="5"/>
        <v>0</v>
      </c>
    </row>
    <row r="757" ht="14.25" customHeight="1">
      <c r="A757" s="1"/>
      <c r="B757" s="2"/>
      <c r="C757" s="54" t="s">
        <v>139</v>
      </c>
      <c r="D757" s="73" t="s">
        <v>140</v>
      </c>
      <c r="E757" s="20">
        <v>1000.0</v>
      </c>
      <c r="F757" s="5">
        <v>1000.0</v>
      </c>
      <c r="G757" s="6">
        <f t="shared" si="5"/>
        <v>0</v>
      </c>
    </row>
    <row r="758" ht="14.25" customHeight="1">
      <c r="A758" s="1"/>
      <c r="B758" s="2"/>
      <c r="C758" s="54" t="s">
        <v>164</v>
      </c>
      <c r="D758" s="73" t="s">
        <v>165</v>
      </c>
      <c r="E758" s="20">
        <v>500.0</v>
      </c>
      <c r="F758" s="5">
        <v>500.0</v>
      </c>
      <c r="G758" s="6">
        <f t="shared" si="5"/>
        <v>0</v>
      </c>
    </row>
    <row r="759" ht="14.25" customHeight="1">
      <c r="A759" s="1"/>
      <c r="B759" s="2"/>
      <c r="C759" s="54" t="s">
        <v>105</v>
      </c>
      <c r="D759" s="73" t="s">
        <v>137</v>
      </c>
      <c r="E759" s="20">
        <v>12000.0</v>
      </c>
      <c r="F759" s="5">
        <v>12000.0</v>
      </c>
      <c r="G759" s="6">
        <f t="shared" si="5"/>
        <v>0</v>
      </c>
    </row>
    <row r="760" ht="14.25" customHeight="1">
      <c r="A760" s="1"/>
      <c r="B760" s="2"/>
      <c r="C760" s="54" t="s">
        <v>107</v>
      </c>
      <c r="D760" s="73" t="s">
        <v>108</v>
      </c>
      <c r="E760" s="20">
        <v>40000.0</v>
      </c>
      <c r="F760" s="5">
        <v>40000.0</v>
      </c>
      <c r="G760" s="6">
        <f t="shared" si="5"/>
        <v>0</v>
      </c>
    </row>
    <row r="761" ht="14.25" customHeight="1">
      <c r="A761" s="76"/>
      <c r="B761" s="76"/>
      <c r="C761" s="78" t="s">
        <v>111</v>
      </c>
      <c r="D761" s="79" t="s">
        <v>112</v>
      </c>
      <c r="E761" s="84">
        <v>0.0</v>
      </c>
      <c r="F761" s="84">
        <v>2000.0</v>
      </c>
      <c r="G761" s="85" t="str">
        <f t="shared" ref="G761:G762" si="6">IFERROR(((F761-E761)/E761), "∞")</f>
        <v>∞</v>
      </c>
      <c r="H761" s="86"/>
      <c r="I761" s="86"/>
      <c r="J761" s="86"/>
      <c r="K761" s="86"/>
    </row>
    <row r="762" ht="14.25" customHeight="1">
      <c r="A762" s="76"/>
      <c r="B762" s="76"/>
      <c r="C762" s="78" t="s">
        <v>139</v>
      </c>
      <c r="D762" s="79" t="s">
        <v>175</v>
      </c>
      <c r="E762" s="84">
        <v>0.0</v>
      </c>
      <c r="F762" s="84">
        <v>3000.0</v>
      </c>
      <c r="G762" s="85" t="str">
        <f t="shared" si="6"/>
        <v>∞</v>
      </c>
      <c r="H762" s="86"/>
      <c r="I762" s="86"/>
      <c r="J762" s="86"/>
      <c r="K762" s="86"/>
    </row>
    <row r="763" ht="14.25" customHeight="1">
      <c r="A763" s="1"/>
      <c r="B763" s="2"/>
      <c r="C763" s="54" t="s">
        <v>113</v>
      </c>
      <c r="D763" s="73" t="s">
        <v>114</v>
      </c>
      <c r="E763" s="20">
        <v>3500.0</v>
      </c>
      <c r="F763" s="5">
        <v>3500.0</v>
      </c>
      <c r="G763" s="6">
        <f t="shared" ref="G763:G847" si="7">IFERROR(((F763-E763)/E763), "")</f>
        <v>0</v>
      </c>
    </row>
    <row r="764" ht="14.25" customHeight="1">
      <c r="A764" s="1"/>
      <c r="B764" s="2"/>
      <c r="C764" s="54" t="s">
        <v>115</v>
      </c>
      <c r="D764" s="73" t="s">
        <v>116</v>
      </c>
      <c r="E764" s="20">
        <v>8000.0</v>
      </c>
      <c r="F764" s="5">
        <v>8000.0</v>
      </c>
      <c r="G764" s="6">
        <f t="shared" si="7"/>
        <v>0</v>
      </c>
    </row>
    <row r="765" ht="14.25" customHeight="1">
      <c r="A765" s="1"/>
      <c r="B765" s="2"/>
      <c r="C765" s="54" t="s">
        <v>120</v>
      </c>
      <c r="D765" s="31" t="s">
        <v>121</v>
      </c>
      <c r="E765" s="20">
        <v>200.0</v>
      </c>
      <c r="F765" s="5">
        <v>200.0</v>
      </c>
      <c r="G765" s="6">
        <f t="shared" si="7"/>
        <v>0</v>
      </c>
    </row>
    <row r="766" ht="14.25" customHeight="1">
      <c r="A766" s="1"/>
      <c r="B766" s="2"/>
      <c r="C766" s="54" t="s">
        <v>124</v>
      </c>
      <c r="D766" s="73" t="s">
        <v>125</v>
      </c>
      <c r="E766" s="20">
        <v>5000.0</v>
      </c>
      <c r="F766" s="5">
        <v>5000.0</v>
      </c>
      <c r="G766" s="6">
        <f t="shared" si="7"/>
        <v>0</v>
      </c>
    </row>
    <row r="767" ht="14.25" customHeight="1">
      <c r="A767" s="1"/>
      <c r="B767" s="2"/>
      <c r="C767" s="54" t="s">
        <v>128</v>
      </c>
      <c r="D767" s="73" t="s">
        <v>129</v>
      </c>
      <c r="E767" s="20">
        <v>1500.0</v>
      </c>
      <c r="F767" s="5">
        <v>1500.0</v>
      </c>
      <c r="G767" s="6">
        <f t="shared" si="7"/>
        <v>0</v>
      </c>
    </row>
    <row r="768" ht="14.25" customHeight="1">
      <c r="A768" s="1"/>
      <c r="B768" s="2"/>
      <c r="C768" s="54" t="s">
        <v>132</v>
      </c>
      <c r="D768" s="73" t="s">
        <v>133</v>
      </c>
      <c r="E768" s="20">
        <v>1000.0</v>
      </c>
      <c r="F768" s="5">
        <v>1000.0</v>
      </c>
      <c r="G768" s="6">
        <f t="shared" si="7"/>
        <v>0</v>
      </c>
    </row>
    <row r="769" ht="14.25" customHeight="1">
      <c r="A769" s="1"/>
      <c r="B769" s="22">
        <v>2310.0</v>
      </c>
      <c r="E769" s="53">
        <v>151200.0</v>
      </c>
      <c r="F769" s="23">
        <f>SUM(F752:F768)</f>
        <v>156200</v>
      </c>
      <c r="G769" s="6">
        <f t="shared" si="7"/>
        <v>0.03306878307</v>
      </c>
    </row>
    <row r="770" ht="14.25" customHeight="1">
      <c r="A770" s="1"/>
      <c r="B770" s="2"/>
      <c r="C770" s="3"/>
      <c r="D770" s="30"/>
      <c r="E770" s="32"/>
      <c r="F770" s="32"/>
      <c r="G770" s="6" t="str">
        <f t="shared" si="7"/>
        <v/>
      </c>
    </row>
    <row r="771" ht="14.25" customHeight="1">
      <c r="A771" s="1"/>
      <c r="B771" s="33">
        <v>2311.0</v>
      </c>
      <c r="C771" s="34"/>
      <c r="D771" s="35" t="s">
        <v>63</v>
      </c>
      <c r="E771" s="36">
        <v>2024.0</v>
      </c>
      <c r="F771" s="36">
        <v>2025.0</v>
      </c>
      <c r="G771" s="6">
        <f t="shared" si="7"/>
        <v>0.0004940711462</v>
      </c>
    </row>
    <row r="772" ht="14.25" customHeight="1">
      <c r="A772" s="1"/>
      <c r="B772" s="2"/>
      <c r="C772" s="54" t="s">
        <v>139</v>
      </c>
      <c r="D772" s="73" t="s">
        <v>140</v>
      </c>
      <c r="E772" s="20">
        <v>800.0</v>
      </c>
      <c r="F772" s="5">
        <v>800.0</v>
      </c>
      <c r="G772" s="6">
        <f t="shared" si="7"/>
        <v>0</v>
      </c>
    </row>
    <row r="773" ht="14.25" customHeight="1">
      <c r="A773" s="1"/>
      <c r="B773" s="2"/>
      <c r="C773" s="54" t="s">
        <v>124</v>
      </c>
      <c r="D773" s="73" t="s">
        <v>125</v>
      </c>
      <c r="E773" s="20">
        <v>13000.0</v>
      </c>
      <c r="F773" s="5">
        <v>13000.0</v>
      </c>
      <c r="G773" s="6">
        <f t="shared" si="7"/>
        <v>0</v>
      </c>
    </row>
    <row r="774" ht="14.25" customHeight="1">
      <c r="A774" s="1"/>
      <c r="B774" s="2"/>
      <c r="C774" s="54" t="s">
        <v>176</v>
      </c>
      <c r="D774" s="31" t="s">
        <v>177</v>
      </c>
      <c r="E774" s="20">
        <v>37500.0</v>
      </c>
      <c r="F774" s="5">
        <v>37500.0</v>
      </c>
      <c r="G774" s="6">
        <f t="shared" si="7"/>
        <v>0</v>
      </c>
    </row>
    <row r="775" ht="14.25" customHeight="1">
      <c r="A775" s="1"/>
      <c r="B775" s="2"/>
      <c r="C775" s="54" t="s">
        <v>128</v>
      </c>
      <c r="D775" s="73" t="s">
        <v>129</v>
      </c>
      <c r="E775" s="20">
        <v>10000.0</v>
      </c>
      <c r="F775" s="5">
        <v>10000.0</v>
      </c>
      <c r="G775" s="6">
        <f t="shared" si="7"/>
        <v>0</v>
      </c>
    </row>
    <row r="776" ht="14.25" customHeight="1">
      <c r="A776" s="1"/>
      <c r="B776" s="2"/>
      <c r="C776" s="54" t="s">
        <v>132</v>
      </c>
      <c r="D776" s="73" t="s">
        <v>133</v>
      </c>
      <c r="E776" s="20">
        <v>2000.0</v>
      </c>
      <c r="F776" s="5">
        <v>2000.0</v>
      </c>
      <c r="G776" s="6">
        <f t="shared" si="7"/>
        <v>0</v>
      </c>
    </row>
    <row r="777" ht="14.25" customHeight="1">
      <c r="A777" s="1"/>
      <c r="B777" s="22">
        <v>2311.0</v>
      </c>
      <c r="E777" s="53">
        <v>63300.0</v>
      </c>
      <c r="F777" s="23">
        <f>SUM(F772:F776)</f>
        <v>63300</v>
      </c>
      <c r="G777" s="6">
        <f t="shared" si="7"/>
        <v>0</v>
      </c>
    </row>
    <row r="778" ht="14.25" customHeight="1">
      <c r="A778" s="1"/>
      <c r="B778" s="2"/>
      <c r="C778" s="60"/>
      <c r="D778" s="31"/>
      <c r="E778" s="32"/>
      <c r="F778" s="32"/>
      <c r="G778" s="6" t="str">
        <f t="shared" si="7"/>
        <v/>
      </c>
    </row>
    <row r="779" ht="14.25" customHeight="1">
      <c r="A779" s="1"/>
      <c r="B779" s="33">
        <v>2312.0</v>
      </c>
      <c r="C779" s="34"/>
      <c r="D779" s="35" t="s">
        <v>178</v>
      </c>
      <c r="E779" s="36">
        <v>2024.0</v>
      </c>
      <c r="F779" s="36">
        <v>2025.0</v>
      </c>
      <c r="G779" s="6">
        <f t="shared" si="7"/>
        <v>0.0004940711462</v>
      </c>
    </row>
    <row r="780" ht="14.25" customHeight="1">
      <c r="A780" s="1"/>
      <c r="B780" s="2"/>
      <c r="C780" s="54">
        <v>203.0</v>
      </c>
      <c r="D780" s="31" t="s">
        <v>153</v>
      </c>
      <c r="E780" s="20">
        <v>400.0</v>
      </c>
      <c r="F780" s="5">
        <v>400.0</v>
      </c>
      <c r="G780" s="6">
        <f t="shared" si="7"/>
        <v>0</v>
      </c>
    </row>
    <row r="781" ht="14.25" customHeight="1">
      <c r="A781" s="1"/>
      <c r="B781" s="2"/>
      <c r="C781" s="54">
        <v>212.0</v>
      </c>
      <c r="D781" s="73" t="s">
        <v>98</v>
      </c>
      <c r="E781" s="20">
        <v>48000.0</v>
      </c>
      <c r="F781" s="5">
        <v>48000.0</v>
      </c>
      <c r="G781" s="6">
        <f t="shared" si="7"/>
        <v>0</v>
      </c>
    </row>
    <row r="782" ht="14.25" customHeight="1">
      <c r="A782" s="1"/>
      <c r="B782" s="2"/>
      <c r="C782" s="54">
        <v>215.0</v>
      </c>
      <c r="D782" s="73" t="s">
        <v>101</v>
      </c>
      <c r="E782" s="20">
        <v>100.0</v>
      </c>
      <c r="F782" s="5">
        <v>100.0</v>
      </c>
      <c r="G782" s="6">
        <f t="shared" si="7"/>
        <v>0</v>
      </c>
    </row>
    <row r="783" ht="14.25" customHeight="1">
      <c r="A783" s="1"/>
      <c r="B783" s="2"/>
      <c r="C783" s="54" t="s">
        <v>103</v>
      </c>
      <c r="D783" s="73" t="s">
        <v>104</v>
      </c>
      <c r="E783" s="20">
        <v>5000.0</v>
      </c>
      <c r="F783" s="5">
        <v>5000.0</v>
      </c>
      <c r="G783" s="6">
        <f t="shared" si="7"/>
        <v>0</v>
      </c>
    </row>
    <row r="784" ht="14.25" customHeight="1">
      <c r="A784" s="1"/>
      <c r="B784" s="2"/>
      <c r="C784" s="54" t="s">
        <v>105</v>
      </c>
      <c r="D784" s="73" t="s">
        <v>137</v>
      </c>
      <c r="E784" s="20">
        <v>5000.0</v>
      </c>
      <c r="F784" s="5">
        <v>5000.0</v>
      </c>
      <c r="G784" s="6">
        <f t="shared" si="7"/>
        <v>0</v>
      </c>
    </row>
    <row r="785" ht="14.25" customHeight="1">
      <c r="A785" s="1"/>
      <c r="B785" s="2"/>
      <c r="C785" s="54" t="s">
        <v>107</v>
      </c>
      <c r="D785" s="73" t="s">
        <v>108</v>
      </c>
      <c r="E785" s="20">
        <v>3000.0</v>
      </c>
      <c r="F785" s="5">
        <v>3000.0</v>
      </c>
      <c r="G785" s="6">
        <f t="shared" si="7"/>
        <v>0</v>
      </c>
    </row>
    <row r="786" ht="14.25" customHeight="1">
      <c r="A786" s="1"/>
      <c r="B786" s="2"/>
      <c r="C786" s="54" t="s">
        <v>113</v>
      </c>
      <c r="D786" s="73" t="s">
        <v>114</v>
      </c>
      <c r="E786" s="20">
        <v>2000.0</v>
      </c>
      <c r="F786" s="5">
        <v>2000.0</v>
      </c>
      <c r="G786" s="6">
        <f t="shared" si="7"/>
        <v>0</v>
      </c>
    </row>
    <row r="787" ht="14.25" customHeight="1">
      <c r="A787" s="1"/>
      <c r="B787" s="2"/>
      <c r="C787" s="54" t="s">
        <v>115</v>
      </c>
      <c r="D787" s="73" t="s">
        <v>116</v>
      </c>
      <c r="E787" s="20">
        <v>1500.0</v>
      </c>
      <c r="F787" s="5">
        <v>1500.0</v>
      </c>
      <c r="G787" s="6">
        <f t="shared" si="7"/>
        <v>0</v>
      </c>
    </row>
    <row r="788" ht="14.25" customHeight="1">
      <c r="A788" s="1"/>
      <c r="B788" s="2"/>
      <c r="C788" s="54">
        <v>224.0</v>
      </c>
      <c r="D788" s="31" t="s">
        <v>119</v>
      </c>
      <c r="E788" s="20">
        <v>150.0</v>
      </c>
      <c r="F788" s="5">
        <v>150.0</v>
      </c>
      <c r="G788" s="6">
        <f t="shared" si="7"/>
        <v>0</v>
      </c>
    </row>
    <row r="789" ht="14.25" customHeight="1">
      <c r="A789" s="1"/>
      <c r="B789" s="2"/>
      <c r="C789" s="54" t="s">
        <v>120</v>
      </c>
      <c r="D789" s="31" t="s">
        <v>121</v>
      </c>
      <c r="E789" s="20">
        <v>400.0</v>
      </c>
      <c r="F789" s="5">
        <v>400.0</v>
      </c>
      <c r="G789" s="6">
        <f t="shared" si="7"/>
        <v>0</v>
      </c>
    </row>
    <row r="790" ht="14.25" customHeight="1">
      <c r="A790" s="1"/>
      <c r="B790" s="2"/>
      <c r="C790" s="54" t="s">
        <v>124</v>
      </c>
      <c r="D790" s="73" t="s">
        <v>125</v>
      </c>
      <c r="E790" s="20">
        <v>4000.0</v>
      </c>
      <c r="F790" s="5">
        <v>4000.0</v>
      </c>
      <c r="G790" s="6">
        <f t="shared" si="7"/>
        <v>0</v>
      </c>
    </row>
    <row r="791" ht="14.25" customHeight="1">
      <c r="A791" s="1"/>
      <c r="B791" s="2"/>
      <c r="C791" s="54" t="s">
        <v>176</v>
      </c>
      <c r="D791" s="31" t="s">
        <v>177</v>
      </c>
      <c r="E791" s="20">
        <v>10000.0</v>
      </c>
      <c r="F791" s="5">
        <v>10000.0</v>
      </c>
      <c r="G791" s="6">
        <f t="shared" si="7"/>
        <v>0</v>
      </c>
    </row>
    <row r="792" ht="14.25" customHeight="1">
      <c r="A792" s="1"/>
      <c r="B792" s="2"/>
      <c r="C792" s="54" t="s">
        <v>128</v>
      </c>
      <c r="D792" s="31" t="s">
        <v>129</v>
      </c>
      <c r="E792" s="20">
        <v>35250.0</v>
      </c>
      <c r="F792" s="5">
        <v>35250.0</v>
      </c>
      <c r="G792" s="6">
        <f t="shared" si="7"/>
        <v>0</v>
      </c>
    </row>
    <row r="793" ht="14.25" customHeight="1">
      <c r="A793" s="1"/>
      <c r="B793" s="2"/>
      <c r="C793" s="54" t="s">
        <v>130</v>
      </c>
      <c r="D793" s="31" t="s">
        <v>131</v>
      </c>
      <c r="E793" s="20">
        <v>33500.0</v>
      </c>
      <c r="F793" s="5">
        <v>33500.0</v>
      </c>
      <c r="G793" s="6">
        <f t="shared" si="7"/>
        <v>0</v>
      </c>
    </row>
    <row r="794" ht="14.25" customHeight="1">
      <c r="A794" s="1"/>
      <c r="B794" s="22">
        <v>2312.0</v>
      </c>
      <c r="E794" s="53">
        <v>148300.0</v>
      </c>
      <c r="F794" s="23">
        <f>SUM(F780:F793)</f>
        <v>148300</v>
      </c>
      <c r="G794" s="6">
        <f t="shared" si="7"/>
        <v>0</v>
      </c>
    </row>
    <row r="795" ht="14.25" customHeight="1">
      <c r="A795" s="1"/>
      <c r="B795" s="2"/>
      <c r="C795" s="54"/>
      <c r="D795" s="30"/>
      <c r="E795" s="32"/>
      <c r="F795" s="32"/>
      <c r="G795" s="6" t="str">
        <f t="shared" si="7"/>
        <v/>
      </c>
    </row>
    <row r="796" ht="14.25" customHeight="1">
      <c r="A796" s="1"/>
      <c r="B796" s="33">
        <v>2313.0</v>
      </c>
      <c r="C796" s="34"/>
      <c r="D796" s="35" t="s">
        <v>179</v>
      </c>
      <c r="E796" s="36">
        <v>2024.0</v>
      </c>
      <c r="F796" s="36">
        <v>2025.0</v>
      </c>
      <c r="G796" s="6">
        <f t="shared" si="7"/>
        <v>0.0004940711462</v>
      </c>
    </row>
    <row r="797" ht="14.25" customHeight="1">
      <c r="A797" s="1"/>
      <c r="B797" s="2"/>
      <c r="C797" s="54">
        <v>203.0</v>
      </c>
      <c r="D797" s="31" t="s">
        <v>153</v>
      </c>
      <c r="E797" s="20">
        <v>600.0</v>
      </c>
      <c r="F797" s="5">
        <v>600.0</v>
      </c>
      <c r="G797" s="6">
        <f t="shared" si="7"/>
        <v>0</v>
      </c>
    </row>
    <row r="798" ht="14.25" customHeight="1">
      <c r="A798" s="1"/>
      <c r="B798" s="2"/>
      <c r="C798" s="54" t="s">
        <v>103</v>
      </c>
      <c r="D798" s="73" t="s">
        <v>104</v>
      </c>
      <c r="E798" s="20">
        <v>300.0</v>
      </c>
      <c r="F798" s="5">
        <v>300.0</v>
      </c>
      <c r="G798" s="6">
        <f t="shared" si="7"/>
        <v>0</v>
      </c>
    </row>
    <row r="799" ht="14.25" customHeight="1">
      <c r="A799" s="1"/>
      <c r="B799" s="2"/>
      <c r="C799" s="54" t="s">
        <v>105</v>
      </c>
      <c r="D799" s="73" t="s">
        <v>137</v>
      </c>
      <c r="E799" s="20">
        <v>2100.0</v>
      </c>
      <c r="F799" s="5">
        <v>2100.0</v>
      </c>
      <c r="G799" s="6">
        <f t="shared" si="7"/>
        <v>0</v>
      </c>
    </row>
    <row r="800" ht="14.25" customHeight="1">
      <c r="A800" s="1"/>
      <c r="B800" s="2"/>
      <c r="C800" s="54" t="s">
        <v>107</v>
      </c>
      <c r="D800" s="73" t="s">
        <v>108</v>
      </c>
      <c r="E800" s="20">
        <v>400.0</v>
      </c>
      <c r="F800" s="5">
        <v>400.0</v>
      </c>
      <c r="G800" s="6">
        <f t="shared" si="7"/>
        <v>0</v>
      </c>
    </row>
    <row r="801" ht="14.25" customHeight="1">
      <c r="A801" s="1"/>
      <c r="B801" s="2"/>
      <c r="C801" s="54" t="s">
        <v>115</v>
      </c>
      <c r="D801" s="73" t="s">
        <v>116</v>
      </c>
      <c r="E801" s="20">
        <v>200.0</v>
      </c>
      <c r="F801" s="5">
        <v>200.0</v>
      </c>
      <c r="G801" s="6">
        <f t="shared" si="7"/>
        <v>0</v>
      </c>
    </row>
    <row r="802" ht="14.25" customHeight="1">
      <c r="A802" s="1"/>
      <c r="B802" s="2"/>
      <c r="C802" s="54" t="s">
        <v>117</v>
      </c>
      <c r="D802" s="73" t="s">
        <v>118</v>
      </c>
      <c r="E802" s="20">
        <v>200.0</v>
      </c>
      <c r="F802" s="5">
        <v>200.0</v>
      </c>
      <c r="G802" s="6">
        <f t="shared" si="7"/>
        <v>0</v>
      </c>
    </row>
    <row r="803" ht="14.25" customHeight="1">
      <c r="A803" s="1"/>
      <c r="B803" s="2"/>
      <c r="C803" s="54" t="s">
        <v>124</v>
      </c>
      <c r="D803" s="73" t="s">
        <v>125</v>
      </c>
      <c r="E803" s="20">
        <v>4000.0</v>
      </c>
      <c r="F803" s="5">
        <v>4000.0</v>
      </c>
      <c r="G803" s="6">
        <f t="shared" si="7"/>
        <v>0</v>
      </c>
    </row>
    <row r="804" ht="14.25" customHeight="1">
      <c r="A804" s="1"/>
      <c r="B804" s="2"/>
      <c r="C804" s="54" t="s">
        <v>176</v>
      </c>
      <c r="D804" s="31" t="s">
        <v>177</v>
      </c>
      <c r="E804" s="20">
        <v>15000.0</v>
      </c>
      <c r="F804" s="5">
        <v>15000.0</v>
      </c>
      <c r="G804" s="6">
        <f t="shared" si="7"/>
        <v>0</v>
      </c>
    </row>
    <row r="805" ht="14.25" customHeight="1">
      <c r="A805" s="1"/>
      <c r="B805" s="2"/>
      <c r="C805" s="54" t="s">
        <v>128</v>
      </c>
      <c r="D805" s="31" t="s">
        <v>129</v>
      </c>
      <c r="E805" s="20">
        <v>23000.0</v>
      </c>
      <c r="F805" s="5">
        <v>23000.0</v>
      </c>
      <c r="G805" s="6">
        <f t="shared" si="7"/>
        <v>0</v>
      </c>
    </row>
    <row r="806" ht="14.25" customHeight="1">
      <c r="A806" s="1"/>
      <c r="B806" s="22">
        <v>2313.0</v>
      </c>
      <c r="E806" s="53">
        <v>45800.0</v>
      </c>
      <c r="F806" s="23">
        <f>SUM(F797:F805)</f>
        <v>45800</v>
      </c>
      <c r="G806" s="6">
        <f t="shared" si="7"/>
        <v>0</v>
      </c>
    </row>
    <row r="807" ht="14.25" customHeight="1">
      <c r="A807" s="1"/>
      <c r="B807" s="2"/>
      <c r="C807" s="54"/>
      <c r="D807" s="30"/>
      <c r="E807" s="32"/>
      <c r="F807" s="32"/>
      <c r="G807" s="6" t="str">
        <f t="shared" si="7"/>
        <v/>
      </c>
    </row>
    <row r="808" ht="14.25" customHeight="1">
      <c r="A808" s="1"/>
      <c r="B808" s="33">
        <v>2314.0</v>
      </c>
      <c r="C808" s="34"/>
      <c r="D808" s="35" t="s">
        <v>180</v>
      </c>
      <c r="E808" s="36">
        <v>2024.0</v>
      </c>
      <c r="F808" s="36">
        <v>2025.0</v>
      </c>
      <c r="G808" s="6">
        <f t="shared" si="7"/>
        <v>0.0004940711462</v>
      </c>
    </row>
    <row r="809" ht="14.25" customHeight="1">
      <c r="A809" s="1"/>
      <c r="B809" s="2"/>
      <c r="C809" s="54">
        <v>202.0</v>
      </c>
      <c r="D809" s="73" t="s">
        <v>181</v>
      </c>
      <c r="E809" s="20">
        <v>8000.0</v>
      </c>
      <c r="F809" s="5">
        <v>8000.0</v>
      </c>
      <c r="G809" s="6">
        <f t="shared" si="7"/>
        <v>0</v>
      </c>
    </row>
    <row r="810" ht="14.25" customHeight="1">
      <c r="A810" s="1"/>
      <c r="B810" s="2"/>
      <c r="C810" s="54">
        <v>212.0</v>
      </c>
      <c r="D810" s="73" t="s">
        <v>98</v>
      </c>
      <c r="E810" s="20">
        <v>54000.0</v>
      </c>
      <c r="F810" s="20">
        <v>50000.0</v>
      </c>
      <c r="G810" s="6">
        <f t="shared" si="7"/>
        <v>-0.07407407407</v>
      </c>
    </row>
    <row r="811" ht="14.25" customHeight="1">
      <c r="A811" s="1"/>
      <c r="B811" s="2"/>
      <c r="C811" s="54">
        <v>213.0</v>
      </c>
      <c r="D811" s="73" t="s">
        <v>99</v>
      </c>
      <c r="E811" s="20">
        <v>1000.0</v>
      </c>
      <c r="F811" s="5">
        <v>1000.0</v>
      </c>
      <c r="G811" s="6">
        <f t="shared" si="7"/>
        <v>0</v>
      </c>
    </row>
    <row r="812" ht="14.25" customHeight="1">
      <c r="A812" s="1"/>
      <c r="B812" s="2"/>
      <c r="C812" s="54" t="s">
        <v>103</v>
      </c>
      <c r="D812" s="73" t="s">
        <v>104</v>
      </c>
      <c r="E812" s="20">
        <v>2000.0</v>
      </c>
      <c r="F812" s="5">
        <v>2000.0</v>
      </c>
      <c r="G812" s="6">
        <f t="shared" si="7"/>
        <v>0</v>
      </c>
    </row>
    <row r="813" ht="14.25" customHeight="1">
      <c r="A813" s="1"/>
      <c r="B813" s="2"/>
      <c r="C813" s="54" t="s">
        <v>139</v>
      </c>
      <c r="D813" s="73" t="s">
        <v>140</v>
      </c>
      <c r="E813" s="20">
        <v>2900.0</v>
      </c>
      <c r="F813" s="5">
        <v>2900.0</v>
      </c>
      <c r="G813" s="6">
        <f t="shared" si="7"/>
        <v>0</v>
      </c>
    </row>
    <row r="814" ht="14.25" customHeight="1">
      <c r="A814" s="1"/>
      <c r="B814" s="2"/>
      <c r="C814" s="54" t="s">
        <v>105</v>
      </c>
      <c r="D814" s="73" t="s">
        <v>137</v>
      </c>
      <c r="E814" s="20">
        <v>15000.0</v>
      </c>
      <c r="F814" s="5">
        <v>15000.0</v>
      </c>
      <c r="G814" s="6">
        <f t="shared" si="7"/>
        <v>0</v>
      </c>
    </row>
    <row r="815" ht="14.25" customHeight="1">
      <c r="A815" s="1"/>
      <c r="B815" s="2"/>
      <c r="C815" s="54" t="s">
        <v>107</v>
      </c>
      <c r="D815" s="73" t="s">
        <v>108</v>
      </c>
      <c r="E815" s="20">
        <v>2400.0</v>
      </c>
      <c r="F815" s="5">
        <v>2400.0</v>
      </c>
      <c r="G815" s="6">
        <f t="shared" si="7"/>
        <v>0</v>
      </c>
    </row>
    <row r="816" ht="14.25" customHeight="1">
      <c r="A816" s="1"/>
      <c r="B816" s="2"/>
      <c r="C816" s="54" t="s">
        <v>113</v>
      </c>
      <c r="D816" s="73" t="s">
        <v>114</v>
      </c>
      <c r="E816" s="20">
        <v>30.0</v>
      </c>
      <c r="F816" s="5">
        <v>30.0</v>
      </c>
      <c r="G816" s="6">
        <f t="shared" si="7"/>
        <v>0</v>
      </c>
    </row>
    <row r="817" ht="14.25" customHeight="1">
      <c r="A817" s="1"/>
      <c r="B817" s="2"/>
      <c r="C817" s="54" t="s">
        <v>115</v>
      </c>
      <c r="D817" s="73" t="s">
        <v>116</v>
      </c>
      <c r="E817" s="20">
        <v>1000.0</v>
      </c>
      <c r="F817" s="5">
        <v>1000.0</v>
      </c>
      <c r="G817" s="6">
        <f t="shared" si="7"/>
        <v>0</v>
      </c>
    </row>
    <row r="818" ht="14.25" customHeight="1">
      <c r="A818" s="1"/>
      <c r="B818" s="2"/>
      <c r="C818" s="54" t="s">
        <v>120</v>
      </c>
      <c r="D818" s="31" t="s">
        <v>121</v>
      </c>
      <c r="E818" s="20">
        <v>800.0</v>
      </c>
      <c r="F818" s="5">
        <v>800.0</v>
      </c>
      <c r="G818" s="6">
        <f t="shared" si="7"/>
        <v>0</v>
      </c>
    </row>
    <row r="819" ht="14.25" customHeight="1">
      <c r="A819" s="1"/>
      <c r="B819" s="2"/>
      <c r="C819" s="54" t="s">
        <v>124</v>
      </c>
      <c r="D819" s="73" t="s">
        <v>125</v>
      </c>
      <c r="E819" s="20">
        <v>3000.0</v>
      </c>
      <c r="F819" s="5">
        <v>3000.0</v>
      </c>
      <c r="G819" s="6">
        <f t="shared" si="7"/>
        <v>0</v>
      </c>
    </row>
    <row r="820" ht="14.25" customHeight="1">
      <c r="A820" s="1"/>
      <c r="B820" s="2"/>
      <c r="C820" s="54" t="s">
        <v>176</v>
      </c>
      <c r="D820" s="31" t="s">
        <v>177</v>
      </c>
      <c r="E820" s="20">
        <v>3000.0</v>
      </c>
      <c r="F820" s="20">
        <v>6000.0</v>
      </c>
      <c r="G820" s="6">
        <f t="shared" si="7"/>
        <v>1</v>
      </c>
    </row>
    <row r="821" ht="14.25" customHeight="1">
      <c r="A821" s="1"/>
      <c r="B821" s="2"/>
      <c r="C821" s="54" t="s">
        <v>128</v>
      </c>
      <c r="D821" s="31" t="s">
        <v>129</v>
      </c>
      <c r="E821" s="20">
        <v>5000.0</v>
      </c>
      <c r="F821" s="20">
        <v>10000.0</v>
      </c>
      <c r="G821" s="6">
        <f t="shared" si="7"/>
        <v>1</v>
      </c>
    </row>
    <row r="822" ht="14.25" customHeight="1">
      <c r="A822" s="1"/>
      <c r="B822" s="2"/>
      <c r="C822" s="54" t="s">
        <v>130</v>
      </c>
      <c r="D822" s="31" t="s">
        <v>135</v>
      </c>
      <c r="E822" s="20">
        <v>1650000.0</v>
      </c>
      <c r="F822" s="20">
        <v>1700000.0</v>
      </c>
      <c r="G822" s="6">
        <f t="shared" si="7"/>
        <v>0.0303030303</v>
      </c>
    </row>
    <row r="823" ht="14.25" customHeight="1">
      <c r="A823" s="1"/>
      <c r="B823" s="22">
        <v>2314.0</v>
      </c>
      <c r="E823" s="53">
        <v>1748130.0</v>
      </c>
      <c r="F823" s="23">
        <f>SUM(F809:F822)</f>
        <v>1802130</v>
      </c>
      <c r="G823" s="6">
        <f t="shared" si="7"/>
        <v>0.03089015119</v>
      </c>
    </row>
    <row r="824" ht="14.25" customHeight="1">
      <c r="A824" s="1"/>
      <c r="B824" s="2"/>
      <c r="C824" s="3"/>
      <c r="D824" s="4"/>
      <c r="E824" s="5"/>
      <c r="F824" s="5"/>
      <c r="G824" s="6" t="str">
        <f t="shared" si="7"/>
        <v/>
      </c>
    </row>
    <row r="825" ht="14.25" customHeight="1">
      <c r="A825" s="1"/>
      <c r="B825" s="33">
        <v>2411.0</v>
      </c>
      <c r="C825" s="34"/>
      <c r="D825" s="35" t="s">
        <v>182</v>
      </c>
      <c r="E825" s="36">
        <v>2024.0</v>
      </c>
      <c r="F825" s="36">
        <v>2025.0</v>
      </c>
      <c r="G825" s="6">
        <f t="shared" si="7"/>
        <v>0.0004940711462</v>
      </c>
    </row>
    <row r="826" ht="14.25" customHeight="1">
      <c r="A826" s="1"/>
      <c r="B826" s="2"/>
      <c r="C826" s="54" t="s">
        <v>128</v>
      </c>
      <c r="D826" s="31" t="s">
        <v>129</v>
      </c>
      <c r="E826" s="20">
        <v>10000.0</v>
      </c>
      <c r="F826" s="20">
        <v>20000.0</v>
      </c>
      <c r="G826" s="6">
        <f t="shared" si="7"/>
        <v>1</v>
      </c>
    </row>
    <row r="827" ht="14.25" customHeight="1">
      <c r="A827" s="1"/>
      <c r="B827" s="22">
        <v>2411.0</v>
      </c>
      <c r="E827" s="53">
        <v>10000.0</v>
      </c>
      <c r="F827" s="23">
        <f>SUM(F826)</f>
        <v>20000</v>
      </c>
      <c r="G827" s="6">
        <f t="shared" si="7"/>
        <v>1</v>
      </c>
    </row>
    <row r="828" ht="14.25" customHeight="1">
      <c r="A828" s="1"/>
      <c r="B828" s="2"/>
      <c r="C828" s="3"/>
      <c r="D828" s="4"/>
      <c r="E828" s="5"/>
      <c r="F828" s="5"/>
      <c r="G828" s="6" t="str">
        <f t="shared" si="7"/>
        <v/>
      </c>
    </row>
    <row r="829" ht="14.25" customHeight="1">
      <c r="A829" s="1"/>
      <c r="B829" s="33">
        <v>3110.0</v>
      </c>
      <c r="C829" s="34"/>
      <c r="D829" s="35" t="s">
        <v>183</v>
      </c>
      <c r="E829" s="36">
        <v>2024.0</v>
      </c>
      <c r="F829" s="36">
        <v>2025.0</v>
      </c>
      <c r="G829" s="6">
        <f t="shared" si="7"/>
        <v>0.0004940711462</v>
      </c>
    </row>
    <row r="830" ht="14.25" customHeight="1">
      <c r="A830" s="1"/>
      <c r="B830" s="2"/>
      <c r="C830" s="54" t="s">
        <v>113</v>
      </c>
      <c r="D830" s="73" t="s">
        <v>114</v>
      </c>
      <c r="E830" s="20">
        <v>6500.0</v>
      </c>
      <c r="F830" s="5">
        <v>6500.0</v>
      </c>
      <c r="G830" s="6">
        <f t="shared" si="7"/>
        <v>0</v>
      </c>
    </row>
    <row r="831" ht="14.25" customHeight="1">
      <c r="A831" s="1"/>
      <c r="B831" s="2"/>
      <c r="C831" s="54" t="s">
        <v>161</v>
      </c>
      <c r="D831" s="73" t="s">
        <v>162</v>
      </c>
      <c r="E831" s="20">
        <v>14000.0</v>
      </c>
      <c r="F831" s="5">
        <v>14000.0</v>
      </c>
      <c r="G831" s="6">
        <f t="shared" si="7"/>
        <v>0</v>
      </c>
    </row>
    <row r="832" ht="14.25" customHeight="1">
      <c r="A832" s="1"/>
      <c r="B832" s="2"/>
      <c r="C832" s="54" t="s">
        <v>130</v>
      </c>
      <c r="D832" s="31" t="s">
        <v>131</v>
      </c>
      <c r="E832" s="20">
        <v>86110.0</v>
      </c>
      <c r="F832" s="5">
        <v>86110.0</v>
      </c>
      <c r="G832" s="6">
        <f t="shared" si="7"/>
        <v>0</v>
      </c>
    </row>
    <row r="833" ht="14.25" customHeight="1">
      <c r="A833" s="1"/>
      <c r="B833" s="22">
        <v>3110.0</v>
      </c>
      <c r="E833" s="53">
        <v>106610.0</v>
      </c>
      <c r="F833" s="23">
        <f>SUM(F830:F832)</f>
        <v>106610</v>
      </c>
      <c r="G833" s="6">
        <f t="shared" si="7"/>
        <v>0</v>
      </c>
    </row>
    <row r="834" ht="14.25" customHeight="1">
      <c r="A834" s="1"/>
      <c r="B834" s="2"/>
      <c r="C834" s="54"/>
      <c r="D834" s="30"/>
      <c r="E834" s="32"/>
      <c r="F834" s="32"/>
      <c r="G834" s="6" t="str">
        <f t="shared" si="7"/>
        <v/>
      </c>
    </row>
    <row r="835" ht="14.25" customHeight="1">
      <c r="A835" s="1"/>
      <c r="B835" s="33">
        <v>3230.0</v>
      </c>
      <c r="C835" s="34"/>
      <c r="D835" s="35" t="s">
        <v>184</v>
      </c>
      <c r="E835" s="36">
        <v>2024.0</v>
      </c>
      <c r="F835" s="36">
        <v>2025.0</v>
      </c>
      <c r="G835" s="6">
        <f t="shared" si="7"/>
        <v>0.0004940711462</v>
      </c>
    </row>
    <row r="836" ht="14.25" customHeight="1">
      <c r="A836" s="1"/>
      <c r="B836" s="62"/>
      <c r="C836" s="54">
        <v>212.0</v>
      </c>
      <c r="D836" s="73" t="s">
        <v>98</v>
      </c>
      <c r="E836" s="20">
        <v>533000.0</v>
      </c>
      <c r="F836" s="20">
        <v>433000.0</v>
      </c>
      <c r="G836" s="6">
        <f t="shared" si="7"/>
        <v>-0.1876172608</v>
      </c>
    </row>
    <row r="837" ht="14.25" customHeight="1">
      <c r="A837" s="1"/>
      <c r="B837" s="62"/>
      <c r="C837" s="54" t="s">
        <v>105</v>
      </c>
      <c r="D837" s="73" t="s">
        <v>106</v>
      </c>
      <c r="E837" s="20">
        <v>40000.0</v>
      </c>
      <c r="F837" s="20">
        <v>50000.0</v>
      </c>
      <c r="G837" s="6">
        <f t="shared" si="7"/>
        <v>0.25</v>
      </c>
    </row>
    <row r="838" ht="14.25" customHeight="1">
      <c r="A838" s="1"/>
      <c r="B838" s="62"/>
      <c r="C838" s="54" t="s">
        <v>107</v>
      </c>
      <c r="D838" s="31" t="s">
        <v>108</v>
      </c>
      <c r="E838" s="20">
        <v>190000.0</v>
      </c>
      <c r="F838" s="20">
        <v>150000.0</v>
      </c>
      <c r="G838" s="6">
        <f t="shared" si="7"/>
        <v>-0.2105263158</v>
      </c>
    </row>
    <row r="839" ht="14.25" customHeight="1">
      <c r="A839" s="1"/>
      <c r="B839" s="62"/>
      <c r="C839" s="54" t="s">
        <v>185</v>
      </c>
      <c r="D839" s="31" t="s">
        <v>186</v>
      </c>
      <c r="E839" s="20">
        <v>60000.0</v>
      </c>
      <c r="F839" s="5">
        <v>60000.0</v>
      </c>
      <c r="G839" s="6">
        <f t="shared" si="7"/>
        <v>0</v>
      </c>
    </row>
    <row r="840" ht="14.25" customHeight="1">
      <c r="A840" s="1"/>
      <c r="B840" s="62"/>
      <c r="C840" s="54" t="s">
        <v>113</v>
      </c>
      <c r="D840" s="31" t="s">
        <v>114</v>
      </c>
      <c r="E840" s="20">
        <v>12500.0</v>
      </c>
      <c r="F840" s="5">
        <v>12500.0</v>
      </c>
      <c r="G840" s="6">
        <f t="shared" si="7"/>
        <v>0</v>
      </c>
    </row>
    <row r="841" ht="14.25" customHeight="1">
      <c r="A841" s="1"/>
      <c r="B841" s="62"/>
      <c r="C841" s="54" t="s">
        <v>115</v>
      </c>
      <c r="D841" s="73" t="s">
        <v>116</v>
      </c>
      <c r="E841" s="20">
        <v>200.0</v>
      </c>
      <c r="F841" s="5">
        <v>200.0</v>
      </c>
      <c r="G841" s="6">
        <f t="shared" si="7"/>
        <v>0</v>
      </c>
    </row>
    <row r="842" ht="14.25" customHeight="1">
      <c r="A842" s="1"/>
      <c r="B842" s="62"/>
      <c r="C842" s="54" t="s">
        <v>120</v>
      </c>
      <c r="D842" s="31" t="s">
        <v>121</v>
      </c>
      <c r="E842" s="20">
        <v>500.0</v>
      </c>
      <c r="F842" s="5">
        <v>500.0</v>
      </c>
      <c r="G842" s="6">
        <f t="shared" si="7"/>
        <v>0</v>
      </c>
    </row>
    <row r="843" ht="14.25" customHeight="1">
      <c r="A843" s="1"/>
      <c r="B843" s="62"/>
      <c r="C843" s="54" t="s">
        <v>128</v>
      </c>
      <c r="D843" s="31" t="s">
        <v>129</v>
      </c>
      <c r="E843" s="20">
        <v>200.0</v>
      </c>
      <c r="F843" s="5">
        <v>200.0</v>
      </c>
      <c r="G843" s="6">
        <f t="shared" si="7"/>
        <v>0</v>
      </c>
    </row>
    <row r="844" ht="14.25" customHeight="1">
      <c r="A844" s="1"/>
      <c r="B844" s="62"/>
      <c r="C844" s="54" t="s">
        <v>130</v>
      </c>
      <c r="D844" s="31" t="s">
        <v>131</v>
      </c>
      <c r="E844" s="20">
        <v>489000.0</v>
      </c>
      <c r="F844" s="5">
        <v>489000.0</v>
      </c>
      <c r="G844" s="6">
        <f t="shared" si="7"/>
        <v>0</v>
      </c>
    </row>
    <row r="845" ht="14.25" customHeight="1">
      <c r="A845" s="1"/>
      <c r="B845" s="22">
        <v>3230.0</v>
      </c>
      <c r="E845" s="53">
        <v>1325400.0</v>
      </c>
      <c r="F845" s="23">
        <f>SUM(F836:F844)</f>
        <v>1195400</v>
      </c>
      <c r="G845" s="6">
        <f t="shared" si="7"/>
        <v>-0.0980835974</v>
      </c>
    </row>
    <row r="846" ht="14.25" customHeight="1">
      <c r="A846" s="1"/>
      <c r="B846" s="62"/>
      <c r="C846" s="30"/>
      <c r="D846" s="30"/>
      <c r="E846" s="32"/>
      <c r="F846" s="32"/>
      <c r="G846" s="6" t="str">
        <f t="shared" si="7"/>
        <v/>
      </c>
    </row>
    <row r="847" ht="14.25" customHeight="1">
      <c r="A847" s="1"/>
      <c r="B847" s="33">
        <v>3260.0</v>
      </c>
      <c r="C847" s="34"/>
      <c r="D847" s="35" t="s">
        <v>187</v>
      </c>
      <c r="E847" s="36">
        <v>2024.0</v>
      </c>
      <c r="F847" s="36">
        <v>2025.0</v>
      </c>
      <c r="G847" s="6">
        <f t="shared" si="7"/>
        <v>0.0004940711462</v>
      </c>
    </row>
    <row r="848" ht="14.25" customHeight="1">
      <c r="A848" s="1"/>
      <c r="B848" s="2"/>
      <c r="C848" s="54">
        <v>202.0</v>
      </c>
      <c r="D848" s="73" t="s">
        <v>181</v>
      </c>
      <c r="E848" s="20"/>
      <c r="F848" s="20">
        <v>12000.0</v>
      </c>
      <c r="G848" s="6"/>
      <c r="H848" s="38" t="s">
        <v>188</v>
      </c>
    </row>
    <row r="849" ht="14.25" customHeight="1">
      <c r="A849" s="1"/>
      <c r="B849" s="2"/>
      <c r="C849" s="54" t="s">
        <v>105</v>
      </c>
      <c r="D849" s="73" t="s">
        <v>106</v>
      </c>
      <c r="E849" s="20">
        <v>2000.0</v>
      </c>
      <c r="F849" s="5">
        <v>2000.0</v>
      </c>
      <c r="G849" s="6">
        <f t="shared" ref="G849:G1099" si="8">IFERROR(((F849-E849)/E849), "")</f>
        <v>0</v>
      </c>
    </row>
    <row r="850" ht="14.25" customHeight="1">
      <c r="A850" s="1"/>
      <c r="B850" s="2"/>
      <c r="C850" s="54" t="s">
        <v>115</v>
      </c>
      <c r="D850" s="73" t="s">
        <v>116</v>
      </c>
      <c r="E850" s="20">
        <v>200.0</v>
      </c>
      <c r="F850" s="5">
        <v>200.0</v>
      </c>
      <c r="G850" s="6">
        <f t="shared" si="8"/>
        <v>0</v>
      </c>
    </row>
    <row r="851" ht="14.25" customHeight="1">
      <c r="A851" s="1"/>
      <c r="B851" s="2"/>
      <c r="C851" s="54" t="s">
        <v>117</v>
      </c>
      <c r="D851" s="73" t="s">
        <v>118</v>
      </c>
      <c r="E851" s="20">
        <v>500.0</v>
      </c>
      <c r="F851" s="5">
        <v>500.0</v>
      </c>
      <c r="G851" s="6">
        <f t="shared" si="8"/>
        <v>0</v>
      </c>
    </row>
    <row r="852" ht="14.25" customHeight="1">
      <c r="A852" s="1"/>
      <c r="B852" s="2"/>
      <c r="C852" s="54" t="s">
        <v>122</v>
      </c>
      <c r="D852" s="73" t="s">
        <v>189</v>
      </c>
      <c r="E852" s="20">
        <v>2500.0</v>
      </c>
      <c r="F852" s="5">
        <v>2500.0</v>
      </c>
      <c r="G852" s="6">
        <f t="shared" si="8"/>
        <v>0</v>
      </c>
    </row>
    <row r="853" ht="14.25" customHeight="1">
      <c r="A853" s="1"/>
      <c r="B853" s="2"/>
      <c r="C853" s="54" t="s">
        <v>124</v>
      </c>
      <c r="D853" s="73" t="s">
        <v>125</v>
      </c>
      <c r="E853" s="20">
        <v>5000.0</v>
      </c>
      <c r="F853" s="5">
        <v>5000.0</v>
      </c>
      <c r="G853" s="6">
        <f t="shared" si="8"/>
        <v>0</v>
      </c>
    </row>
    <row r="854" ht="14.25" customHeight="1">
      <c r="A854" s="1"/>
      <c r="B854" s="2"/>
      <c r="C854" s="54" t="s">
        <v>176</v>
      </c>
      <c r="D854" s="31" t="s">
        <v>190</v>
      </c>
      <c r="E854" s="20">
        <v>30000.0</v>
      </c>
      <c r="F854" s="5">
        <v>30000.0</v>
      </c>
      <c r="G854" s="6">
        <f t="shared" si="8"/>
        <v>0</v>
      </c>
    </row>
    <row r="855" ht="14.25" customHeight="1">
      <c r="A855" s="1"/>
      <c r="B855" s="2"/>
      <c r="C855" s="54" t="s">
        <v>128</v>
      </c>
      <c r="D855" s="73" t="s">
        <v>129</v>
      </c>
      <c r="E855" s="20">
        <v>10000.0</v>
      </c>
      <c r="F855" s="5">
        <v>10000.0</v>
      </c>
      <c r="G855" s="6">
        <f t="shared" si="8"/>
        <v>0</v>
      </c>
    </row>
    <row r="856" ht="14.25" customHeight="1">
      <c r="A856" s="1"/>
      <c r="B856" s="2"/>
      <c r="C856" s="54" t="s">
        <v>130</v>
      </c>
      <c r="D856" s="31" t="s">
        <v>131</v>
      </c>
      <c r="E856" s="20">
        <v>49000.0</v>
      </c>
      <c r="F856" s="5">
        <v>49000.0</v>
      </c>
      <c r="G856" s="6">
        <f t="shared" si="8"/>
        <v>0</v>
      </c>
    </row>
    <row r="857" ht="14.25" customHeight="1">
      <c r="A857" s="1"/>
      <c r="B857" s="22">
        <v>3260.0</v>
      </c>
      <c r="E857" s="53">
        <v>99200.0</v>
      </c>
      <c r="F857" s="23">
        <f>SUM(F848:F856)</f>
        <v>111200</v>
      </c>
      <c r="G857" s="6">
        <f t="shared" si="8"/>
        <v>0.1209677419</v>
      </c>
    </row>
    <row r="858" ht="14.25" customHeight="1">
      <c r="A858" s="1"/>
      <c r="B858" s="2"/>
      <c r="C858" s="54"/>
      <c r="D858" s="30"/>
      <c r="E858" s="32"/>
      <c r="F858" s="32"/>
      <c r="G858" s="6" t="str">
        <f t="shared" si="8"/>
        <v/>
      </c>
    </row>
    <row r="859" ht="14.25" customHeight="1">
      <c r="A859" s="1"/>
      <c r="B859" s="33">
        <v>3261.0</v>
      </c>
      <c r="C859" s="34"/>
      <c r="D859" s="35" t="s">
        <v>66</v>
      </c>
      <c r="E859" s="36">
        <v>2024.0</v>
      </c>
      <c r="F859" s="36">
        <v>2025.0</v>
      </c>
      <c r="G859" s="6">
        <f t="shared" si="8"/>
        <v>0.0004940711462</v>
      </c>
    </row>
    <row r="860" ht="14.25" customHeight="1">
      <c r="A860" s="1"/>
      <c r="B860" s="2"/>
      <c r="C860" s="54">
        <v>203.0</v>
      </c>
      <c r="D860" s="73" t="s">
        <v>97</v>
      </c>
      <c r="E860" s="20">
        <v>22000.0</v>
      </c>
      <c r="F860" s="5">
        <v>22000.0</v>
      </c>
      <c r="G860" s="6">
        <f t="shared" si="8"/>
        <v>0</v>
      </c>
    </row>
    <row r="861" ht="14.25" customHeight="1">
      <c r="A861" s="1"/>
      <c r="B861" s="2"/>
      <c r="C861" s="54">
        <v>209.0</v>
      </c>
      <c r="D861" s="31" t="s">
        <v>191</v>
      </c>
      <c r="E861" s="20">
        <v>2500.0</v>
      </c>
      <c r="F861" s="5">
        <v>2500.0</v>
      </c>
      <c r="G861" s="6">
        <f t="shared" si="8"/>
        <v>0</v>
      </c>
    </row>
    <row r="862" ht="14.25" customHeight="1">
      <c r="A862" s="1"/>
      <c r="B862" s="2"/>
      <c r="C862" s="54">
        <v>212.0</v>
      </c>
      <c r="D862" s="73" t="s">
        <v>98</v>
      </c>
      <c r="E862" s="20">
        <v>17500.0</v>
      </c>
      <c r="F862" s="5">
        <v>17500.0</v>
      </c>
      <c r="G862" s="6">
        <f t="shared" si="8"/>
        <v>0</v>
      </c>
    </row>
    <row r="863" ht="14.25" customHeight="1">
      <c r="A863" s="1"/>
      <c r="B863" s="2"/>
      <c r="C863" s="54">
        <v>213.0</v>
      </c>
      <c r="D863" s="73" t="s">
        <v>99</v>
      </c>
      <c r="E863" s="20">
        <v>3000.0</v>
      </c>
      <c r="F863" s="5">
        <v>3000.0</v>
      </c>
      <c r="G863" s="6">
        <f t="shared" si="8"/>
        <v>0</v>
      </c>
    </row>
    <row r="864" ht="14.25" customHeight="1">
      <c r="A864" s="1"/>
      <c r="B864" s="2"/>
      <c r="C864" s="54" t="s">
        <v>103</v>
      </c>
      <c r="D864" s="31" t="s">
        <v>104</v>
      </c>
      <c r="E864" s="20">
        <v>7000.0</v>
      </c>
      <c r="F864" s="5">
        <v>7000.0</v>
      </c>
      <c r="G864" s="6">
        <f t="shared" si="8"/>
        <v>0</v>
      </c>
    </row>
    <row r="865" ht="14.25" customHeight="1">
      <c r="A865" s="1"/>
      <c r="B865" s="2"/>
      <c r="C865" s="54" t="s">
        <v>139</v>
      </c>
      <c r="D865" s="31" t="s">
        <v>192</v>
      </c>
      <c r="E865" s="20">
        <v>200.0</v>
      </c>
      <c r="F865" s="5">
        <v>200.0</v>
      </c>
      <c r="G865" s="6">
        <f t="shared" si="8"/>
        <v>0</v>
      </c>
    </row>
    <row r="866" ht="14.25" customHeight="1">
      <c r="A866" s="1"/>
      <c r="B866" s="2"/>
      <c r="C866" s="54" t="s">
        <v>105</v>
      </c>
      <c r="D866" s="73" t="s">
        <v>106</v>
      </c>
      <c r="E866" s="20">
        <v>1000.0</v>
      </c>
      <c r="F866" s="5">
        <v>1000.0</v>
      </c>
      <c r="G866" s="6">
        <f t="shared" si="8"/>
        <v>0</v>
      </c>
    </row>
    <row r="867" ht="14.25" customHeight="1">
      <c r="A867" s="1"/>
      <c r="B867" s="2"/>
      <c r="C867" s="54" t="s">
        <v>113</v>
      </c>
      <c r="D867" s="73" t="s">
        <v>114</v>
      </c>
      <c r="E867" s="20">
        <v>2500.0</v>
      </c>
      <c r="F867" s="5">
        <v>2500.0</v>
      </c>
      <c r="G867" s="6">
        <f t="shared" si="8"/>
        <v>0</v>
      </c>
    </row>
    <row r="868" ht="14.25" customHeight="1">
      <c r="A868" s="1"/>
      <c r="B868" s="2"/>
      <c r="C868" s="54" t="s">
        <v>115</v>
      </c>
      <c r="D868" s="31" t="s">
        <v>116</v>
      </c>
      <c r="E868" s="20">
        <v>1000.0</v>
      </c>
      <c r="F868" s="5">
        <v>1000.0</v>
      </c>
      <c r="G868" s="6">
        <f t="shared" si="8"/>
        <v>0</v>
      </c>
    </row>
    <row r="869" ht="14.25" customHeight="1">
      <c r="A869" s="1"/>
      <c r="B869" s="2"/>
      <c r="C869" s="54" t="s">
        <v>117</v>
      </c>
      <c r="D869" s="73" t="s">
        <v>118</v>
      </c>
      <c r="E869" s="20">
        <v>500.0</v>
      </c>
      <c r="F869" s="5">
        <v>500.0</v>
      </c>
      <c r="G869" s="6">
        <f t="shared" si="8"/>
        <v>0</v>
      </c>
    </row>
    <row r="870" ht="14.25" customHeight="1">
      <c r="A870" s="1"/>
      <c r="B870" s="2"/>
      <c r="C870" s="54">
        <v>224.0</v>
      </c>
      <c r="D870" s="73" t="s">
        <v>119</v>
      </c>
      <c r="E870" s="20">
        <v>2500.0</v>
      </c>
      <c r="F870" s="5">
        <v>2500.0</v>
      </c>
      <c r="G870" s="6">
        <f t="shared" si="8"/>
        <v>0</v>
      </c>
    </row>
    <row r="871" ht="14.25" customHeight="1">
      <c r="A871" s="1"/>
      <c r="B871" s="2"/>
      <c r="C871" s="54" t="s">
        <v>122</v>
      </c>
      <c r="D871" s="73" t="s">
        <v>123</v>
      </c>
      <c r="E871" s="20">
        <v>2500.0</v>
      </c>
      <c r="F871" s="5">
        <v>2500.0</v>
      </c>
      <c r="G871" s="6">
        <f t="shared" si="8"/>
        <v>0</v>
      </c>
    </row>
    <row r="872" ht="14.25" customHeight="1">
      <c r="A872" s="1"/>
      <c r="B872" s="2"/>
      <c r="C872" s="54" t="s">
        <v>124</v>
      </c>
      <c r="D872" s="73" t="s">
        <v>125</v>
      </c>
      <c r="E872" s="20">
        <v>7000.0</v>
      </c>
      <c r="F872" s="5">
        <v>7000.0</v>
      </c>
      <c r="G872" s="6">
        <f t="shared" si="8"/>
        <v>0</v>
      </c>
    </row>
    <row r="873" ht="14.25" customHeight="1">
      <c r="A873" s="1"/>
      <c r="B873" s="2"/>
      <c r="C873" s="54" t="s">
        <v>193</v>
      </c>
      <c r="D873" s="31" t="s">
        <v>194</v>
      </c>
      <c r="E873" s="20">
        <v>1000.0</v>
      </c>
      <c r="F873" s="5">
        <v>1000.0</v>
      </c>
      <c r="G873" s="6">
        <f t="shared" si="8"/>
        <v>0</v>
      </c>
    </row>
    <row r="874" ht="14.25" customHeight="1">
      <c r="A874" s="1"/>
      <c r="B874" s="2"/>
      <c r="C874" s="54" t="s">
        <v>176</v>
      </c>
      <c r="D874" s="31" t="s">
        <v>190</v>
      </c>
      <c r="E874" s="20">
        <v>65000.0</v>
      </c>
      <c r="F874" s="5">
        <v>65000.0</v>
      </c>
      <c r="G874" s="6">
        <f t="shared" si="8"/>
        <v>0</v>
      </c>
    </row>
    <row r="875" ht="14.25" customHeight="1">
      <c r="A875" s="1"/>
      <c r="B875" s="2"/>
      <c r="C875" s="54" t="s">
        <v>128</v>
      </c>
      <c r="D875" s="73" t="s">
        <v>129</v>
      </c>
      <c r="E875" s="20">
        <v>18000.0</v>
      </c>
      <c r="F875" s="5">
        <v>18000.0</v>
      </c>
      <c r="G875" s="6">
        <f t="shared" si="8"/>
        <v>0</v>
      </c>
    </row>
    <row r="876" ht="14.25" customHeight="1">
      <c r="A876" s="1"/>
      <c r="B876" s="2"/>
      <c r="C876" s="54" t="s">
        <v>130</v>
      </c>
      <c r="D876" s="73" t="s">
        <v>131</v>
      </c>
      <c r="E876" s="20">
        <v>18000.0</v>
      </c>
      <c r="F876" s="5">
        <v>18000.0</v>
      </c>
      <c r="G876" s="6">
        <f t="shared" si="8"/>
        <v>0</v>
      </c>
    </row>
    <row r="877" ht="14.25" customHeight="1">
      <c r="A877" s="1"/>
      <c r="B877" s="2"/>
      <c r="C877" s="54" t="s">
        <v>132</v>
      </c>
      <c r="D877" s="73" t="s">
        <v>133</v>
      </c>
      <c r="E877" s="20">
        <v>1000.0</v>
      </c>
      <c r="F877" s="5">
        <v>1000.0</v>
      </c>
      <c r="G877" s="6">
        <f t="shared" si="8"/>
        <v>0</v>
      </c>
    </row>
    <row r="878" ht="14.25" customHeight="1">
      <c r="A878" s="1"/>
      <c r="B878" s="22">
        <v>3261.0</v>
      </c>
      <c r="E878" s="53">
        <v>172200.0</v>
      </c>
      <c r="F878" s="23">
        <f>SUM(F860:F877)</f>
        <v>172200</v>
      </c>
      <c r="G878" s="6">
        <f t="shared" si="8"/>
        <v>0</v>
      </c>
    </row>
    <row r="879" ht="14.25" customHeight="1">
      <c r="A879" s="1"/>
      <c r="B879" s="2"/>
      <c r="C879" s="54"/>
      <c r="D879" s="30"/>
      <c r="E879" s="32"/>
      <c r="F879" s="32"/>
      <c r="G879" s="6" t="str">
        <f t="shared" si="8"/>
        <v/>
      </c>
    </row>
    <row r="880" ht="14.25" customHeight="1">
      <c r="A880" s="1"/>
      <c r="B880" s="33">
        <v>3262.0</v>
      </c>
      <c r="C880" s="34"/>
      <c r="D880" s="35" t="s">
        <v>195</v>
      </c>
      <c r="E880" s="36">
        <v>2024.0</v>
      </c>
      <c r="F880" s="36">
        <v>2025.0</v>
      </c>
      <c r="G880" s="6">
        <f t="shared" si="8"/>
        <v>0.0004940711462</v>
      </c>
    </row>
    <row r="881" ht="14.25" customHeight="1">
      <c r="A881" s="1"/>
      <c r="B881" s="2"/>
      <c r="C881" s="54">
        <v>202.0</v>
      </c>
      <c r="D881" s="73" t="s">
        <v>181</v>
      </c>
      <c r="E881" s="20">
        <v>500.0</v>
      </c>
      <c r="F881" s="5">
        <v>500.0</v>
      </c>
      <c r="G881" s="6">
        <f t="shared" si="8"/>
        <v>0</v>
      </c>
    </row>
    <row r="882" ht="14.25" customHeight="1">
      <c r="A882" s="1"/>
      <c r="B882" s="2"/>
      <c r="C882" s="54">
        <v>203.0</v>
      </c>
      <c r="D882" s="73" t="s">
        <v>97</v>
      </c>
      <c r="E882" s="20">
        <v>3000.0</v>
      </c>
      <c r="F882" s="5">
        <v>3000.0</v>
      </c>
      <c r="G882" s="6">
        <f t="shared" si="8"/>
        <v>0</v>
      </c>
    </row>
    <row r="883" ht="14.25" customHeight="1">
      <c r="A883" s="1"/>
      <c r="B883" s="2"/>
      <c r="C883" s="54">
        <v>212.0</v>
      </c>
      <c r="D883" s="73" t="s">
        <v>98</v>
      </c>
      <c r="E883" s="20">
        <v>13300.0</v>
      </c>
      <c r="F883" s="5">
        <v>13300.0</v>
      </c>
      <c r="G883" s="6">
        <f t="shared" si="8"/>
        <v>0</v>
      </c>
    </row>
    <row r="884" ht="14.25" customHeight="1">
      <c r="A884" s="1"/>
      <c r="B884" s="2"/>
      <c r="C884" s="54">
        <v>215.0</v>
      </c>
      <c r="D884" s="73" t="s">
        <v>101</v>
      </c>
      <c r="E884" s="20">
        <v>200.0</v>
      </c>
      <c r="F884" s="5">
        <v>200.0</v>
      </c>
      <c r="G884" s="6">
        <f t="shared" si="8"/>
        <v>0</v>
      </c>
    </row>
    <row r="885" ht="14.25" customHeight="1">
      <c r="A885" s="1"/>
      <c r="B885" s="2"/>
      <c r="C885" s="54">
        <v>216.0</v>
      </c>
      <c r="D885" s="73" t="s">
        <v>138</v>
      </c>
      <c r="E885" s="20">
        <v>200.0</v>
      </c>
      <c r="F885" s="5">
        <v>200.0</v>
      </c>
      <c r="G885" s="6">
        <f t="shared" si="8"/>
        <v>0</v>
      </c>
    </row>
    <row r="886" ht="14.25" customHeight="1">
      <c r="A886" s="1"/>
      <c r="B886" s="2"/>
      <c r="C886" s="54" t="s">
        <v>103</v>
      </c>
      <c r="D886" s="73" t="s">
        <v>104</v>
      </c>
      <c r="E886" s="20">
        <v>1500.0</v>
      </c>
      <c r="F886" s="5">
        <v>1500.0</v>
      </c>
      <c r="G886" s="6">
        <f t="shared" si="8"/>
        <v>0</v>
      </c>
    </row>
    <row r="887" ht="14.25" customHeight="1">
      <c r="A887" s="1"/>
      <c r="B887" s="2"/>
      <c r="C887" s="54" t="s">
        <v>111</v>
      </c>
      <c r="D887" s="73" t="s">
        <v>112</v>
      </c>
      <c r="E887" s="20">
        <v>1300.0</v>
      </c>
      <c r="F887" s="5">
        <v>1300.0</v>
      </c>
      <c r="G887" s="6">
        <f t="shared" si="8"/>
        <v>0</v>
      </c>
    </row>
    <row r="888" ht="14.25" customHeight="1">
      <c r="A888" s="1"/>
      <c r="B888" s="2"/>
      <c r="C888" s="54" t="s">
        <v>113</v>
      </c>
      <c r="D888" s="73" t="s">
        <v>114</v>
      </c>
      <c r="E888" s="20">
        <v>800.0</v>
      </c>
      <c r="F888" s="5">
        <v>800.0</v>
      </c>
      <c r="G888" s="6">
        <f t="shared" si="8"/>
        <v>0</v>
      </c>
    </row>
    <row r="889" ht="14.25" customHeight="1">
      <c r="A889" s="1"/>
      <c r="B889" s="87"/>
      <c r="C889" s="54" t="s">
        <v>115</v>
      </c>
      <c r="D889" s="73" t="s">
        <v>116</v>
      </c>
      <c r="E889" s="20">
        <v>900.0</v>
      </c>
      <c r="F889" s="5">
        <v>900.0</v>
      </c>
      <c r="G889" s="6">
        <f t="shared" si="8"/>
        <v>0</v>
      </c>
    </row>
    <row r="890" ht="14.25" customHeight="1">
      <c r="A890" s="1"/>
      <c r="B890" s="2"/>
      <c r="C890" s="54" t="s">
        <v>124</v>
      </c>
      <c r="D890" s="73" t="s">
        <v>125</v>
      </c>
      <c r="E890" s="20">
        <v>500.0</v>
      </c>
      <c r="F890" s="5">
        <v>500.0</v>
      </c>
      <c r="G890" s="6">
        <f t="shared" si="8"/>
        <v>0</v>
      </c>
    </row>
    <row r="891" ht="14.25" customHeight="1">
      <c r="A891" s="1"/>
      <c r="B891" s="2"/>
      <c r="C891" s="54" t="s">
        <v>176</v>
      </c>
      <c r="D891" s="31" t="s">
        <v>177</v>
      </c>
      <c r="E891" s="20">
        <v>5000.0</v>
      </c>
      <c r="F891" s="5">
        <v>5000.0</v>
      </c>
      <c r="G891" s="6">
        <f t="shared" si="8"/>
        <v>0</v>
      </c>
    </row>
    <row r="892" ht="14.25" customHeight="1">
      <c r="A892" s="1"/>
      <c r="B892" s="2"/>
      <c r="C892" s="54" t="s">
        <v>128</v>
      </c>
      <c r="D892" s="73" t="s">
        <v>129</v>
      </c>
      <c r="E892" s="20">
        <v>20100.0</v>
      </c>
      <c r="F892" s="5">
        <f>23000-2900</f>
        <v>20100</v>
      </c>
      <c r="G892" s="6">
        <f t="shared" si="8"/>
        <v>0</v>
      </c>
    </row>
    <row r="893" ht="14.25" customHeight="1">
      <c r="A893" s="1"/>
      <c r="B893" s="2"/>
      <c r="C893" s="54" t="s">
        <v>130</v>
      </c>
      <c r="D893" s="73" t="s">
        <v>131</v>
      </c>
      <c r="E893" s="20">
        <v>0.0</v>
      </c>
      <c r="F893" s="5">
        <f>10400-10400</f>
        <v>0</v>
      </c>
      <c r="G893" s="6" t="str">
        <f t="shared" si="8"/>
        <v/>
      </c>
    </row>
    <row r="894" ht="14.25" customHeight="1">
      <c r="A894" s="1"/>
      <c r="B894" s="2"/>
      <c r="C894" s="54" t="s">
        <v>132</v>
      </c>
      <c r="D894" s="73" t="s">
        <v>133</v>
      </c>
      <c r="E894" s="20">
        <v>100.0</v>
      </c>
      <c r="F894" s="5">
        <v>100.0</v>
      </c>
      <c r="G894" s="6">
        <f t="shared" si="8"/>
        <v>0</v>
      </c>
    </row>
    <row r="895" ht="14.25" customHeight="1">
      <c r="A895" s="1"/>
      <c r="B895" s="22">
        <v>3262.0</v>
      </c>
      <c r="E895" s="53">
        <v>47400.0</v>
      </c>
      <c r="F895" s="23">
        <f>SUM(F881:F894)</f>
        <v>47400</v>
      </c>
      <c r="G895" s="6">
        <f t="shared" si="8"/>
        <v>0</v>
      </c>
    </row>
    <row r="896" ht="14.25" customHeight="1">
      <c r="A896" s="1"/>
      <c r="B896" s="2"/>
      <c r="C896" s="54"/>
      <c r="D896" s="30"/>
      <c r="E896" s="32"/>
      <c r="F896" s="32"/>
      <c r="G896" s="6" t="str">
        <f t="shared" si="8"/>
        <v/>
      </c>
    </row>
    <row r="897" ht="14.25" customHeight="1">
      <c r="A897" s="1"/>
      <c r="B897" s="33">
        <v>3300.0</v>
      </c>
      <c r="C897" s="34"/>
      <c r="D897" s="35" t="s">
        <v>68</v>
      </c>
      <c r="E897" s="36">
        <v>2024.0</v>
      </c>
      <c r="F897" s="36">
        <v>2025.0</v>
      </c>
      <c r="G897" s="6">
        <f t="shared" si="8"/>
        <v>0.0004940711462</v>
      </c>
    </row>
    <row r="898" ht="14.25" customHeight="1">
      <c r="A898" s="1"/>
      <c r="B898" s="2"/>
      <c r="C898" s="54">
        <v>203.0</v>
      </c>
      <c r="D898" s="73" t="s">
        <v>97</v>
      </c>
      <c r="E898" s="20">
        <v>2500.0</v>
      </c>
      <c r="F898" s="5">
        <v>2500.0</v>
      </c>
      <c r="G898" s="6">
        <f t="shared" si="8"/>
        <v>0</v>
      </c>
    </row>
    <row r="899" ht="14.25" customHeight="1">
      <c r="A899" s="1"/>
      <c r="B899" s="2"/>
      <c r="C899" s="54">
        <v>212.0</v>
      </c>
      <c r="D899" s="73" t="s">
        <v>98</v>
      </c>
      <c r="E899" s="20">
        <v>70500.0</v>
      </c>
      <c r="F899" s="5">
        <v>70500.0</v>
      </c>
      <c r="G899" s="6">
        <f t="shared" si="8"/>
        <v>0</v>
      </c>
    </row>
    <row r="900" ht="14.25" customHeight="1">
      <c r="A900" s="1"/>
      <c r="B900" s="2"/>
      <c r="C900" s="54">
        <v>213.0</v>
      </c>
      <c r="D900" s="73" t="s">
        <v>99</v>
      </c>
      <c r="E900" s="20">
        <v>100.0</v>
      </c>
      <c r="F900" s="5">
        <v>100.0</v>
      </c>
      <c r="G900" s="6">
        <f t="shared" si="8"/>
        <v>0</v>
      </c>
    </row>
    <row r="901" ht="14.25" customHeight="1">
      <c r="A901" s="1"/>
      <c r="B901" s="2"/>
      <c r="C901" s="54">
        <v>216.0</v>
      </c>
      <c r="D901" s="73" t="s">
        <v>138</v>
      </c>
      <c r="E901" s="20">
        <v>500.0</v>
      </c>
      <c r="F901" s="5">
        <v>500.0</v>
      </c>
      <c r="G901" s="6">
        <f t="shared" si="8"/>
        <v>0</v>
      </c>
    </row>
    <row r="902" ht="14.25" customHeight="1">
      <c r="A902" s="1"/>
      <c r="B902" s="2"/>
      <c r="C902" s="54" t="s">
        <v>103</v>
      </c>
      <c r="D902" s="73" t="s">
        <v>104</v>
      </c>
      <c r="E902" s="20">
        <v>3800.0</v>
      </c>
      <c r="F902" s="5">
        <v>3800.0</v>
      </c>
      <c r="G902" s="6">
        <f t="shared" si="8"/>
        <v>0</v>
      </c>
    </row>
    <row r="903" ht="14.25" customHeight="1">
      <c r="A903" s="1"/>
      <c r="B903" s="2"/>
      <c r="C903" s="54" t="s">
        <v>105</v>
      </c>
      <c r="D903" s="73" t="s">
        <v>137</v>
      </c>
      <c r="E903" s="20">
        <v>5000.0</v>
      </c>
      <c r="F903" s="5">
        <v>5000.0</v>
      </c>
      <c r="G903" s="6">
        <f t="shared" si="8"/>
        <v>0</v>
      </c>
    </row>
    <row r="904" ht="14.25" customHeight="1">
      <c r="A904" s="1"/>
      <c r="B904" s="2"/>
      <c r="C904" s="54" t="s">
        <v>107</v>
      </c>
      <c r="D904" s="73" t="s">
        <v>108</v>
      </c>
      <c r="E904" s="20">
        <v>96000.0</v>
      </c>
      <c r="F904" s="5">
        <v>96000.0</v>
      </c>
      <c r="G904" s="6">
        <f t="shared" si="8"/>
        <v>0</v>
      </c>
    </row>
    <row r="905" ht="14.25" customHeight="1">
      <c r="A905" s="1"/>
      <c r="B905" s="2"/>
      <c r="C905" s="54" t="s">
        <v>111</v>
      </c>
      <c r="D905" s="73" t="s">
        <v>112</v>
      </c>
      <c r="E905" s="20">
        <v>800.0</v>
      </c>
      <c r="F905" s="5">
        <v>800.0</v>
      </c>
      <c r="G905" s="6">
        <f t="shared" si="8"/>
        <v>0</v>
      </c>
    </row>
    <row r="906" ht="14.25" customHeight="1">
      <c r="A906" s="1"/>
      <c r="B906" s="2"/>
      <c r="C906" s="54" t="s">
        <v>113</v>
      </c>
      <c r="D906" s="73" t="s">
        <v>114</v>
      </c>
      <c r="E906" s="20">
        <v>5000.0</v>
      </c>
      <c r="F906" s="5">
        <v>5000.0</v>
      </c>
      <c r="G906" s="6">
        <f t="shared" si="8"/>
        <v>0</v>
      </c>
    </row>
    <row r="907" ht="14.25" customHeight="1">
      <c r="A907" s="1"/>
      <c r="B907" s="2"/>
      <c r="C907" s="54" t="s">
        <v>115</v>
      </c>
      <c r="D907" s="73" t="s">
        <v>116</v>
      </c>
      <c r="E907" s="20">
        <v>7000.0</v>
      </c>
      <c r="F907" s="5">
        <v>7000.0</v>
      </c>
      <c r="G907" s="6">
        <f t="shared" si="8"/>
        <v>0</v>
      </c>
    </row>
    <row r="908" ht="14.25" customHeight="1">
      <c r="A908" s="1"/>
      <c r="B908" s="2"/>
      <c r="C908" s="54" t="s">
        <v>120</v>
      </c>
      <c r="D908" s="31" t="s">
        <v>121</v>
      </c>
      <c r="E908" s="20">
        <v>50.0</v>
      </c>
      <c r="F908" s="5">
        <v>50.0</v>
      </c>
      <c r="G908" s="6">
        <f t="shared" si="8"/>
        <v>0</v>
      </c>
    </row>
    <row r="909" ht="14.25" customHeight="1">
      <c r="A909" s="1"/>
      <c r="B909" s="2"/>
      <c r="C909" s="54" t="s">
        <v>128</v>
      </c>
      <c r="D909" s="73" t="s">
        <v>129</v>
      </c>
      <c r="E909" s="20">
        <v>500.0</v>
      </c>
      <c r="F909" s="5">
        <v>500.0</v>
      </c>
      <c r="G909" s="6">
        <f t="shared" si="8"/>
        <v>0</v>
      </c>
    </row>
    <row r="910" ht="14.25" customHeight="1">
      <c r="A910" s="1"/>
      <c r="B910" s="2"/>
      <c r="C910" s="54" t="s">
        <v>130</v>
      </c>
      <c r="D910" s="73" t="s">
        <v>131</v>
      </c>
      <c r="E910" s="20">
        <v>2000.0</v>
      </c>
      <c r="F910" s="5">
        <v>2000.0</v>
      </c>
      <c r="G910" s="6">
        <f t="shared" si="8"/>
        <v>0</v>
      </c>
    </row>
    <row r="911" ht="14.25" customHeight="1">
      <c r="A911" s="1"/>
      <c r="B911" s="2"/>
      <c r="C911" s="54" t="s">
        <v>132</v>
      </c>
      <c r="D911" s="73" t="s">
        <v>133</v>
      </c>
      <c r="E911" s="20">
        <v>1000.0</v>
      </c>
      <c r="F911" s="5">
        <v>1000.0</v>
      </c>
      <c r="G911" s="6">
        <f t="shared" si="8"/>
        <v>0</v>
      </c>
    </row>
    <row r="912" ht="14.25" customHeight="1">
      <c r="A912" s="1"/>
      <c r="B912" s="22">
        <v>3300.0</v>
      </c>
      <c r="E912" s="53">
        <v>194750.0</v>
      </c>
      <c r="F912" s="23">
        <f>SUM(F898:F911)</f>
        <v>194750</v>
      </c>
      <c r="G912" s="6">
        <f t="shared" si="8"/>
        <v>0</v>
      </c>
    </row>
    <row r="913" ht="14.25" customHeight="1">
      <c r="A913" s="1"/>
      <c r="B913" s="2"/>
      <c r="C913" s="54"/>
      <c r="D913" s="30"/>
      <c r="E913" s="32"/>
      <c r="F913" s="32"/>
      <c r="G913" s="6" t="str">
        <f t="shared" si="8"/>
        <v/>
      </c>
    </row>
    <row r="914" ht="14.25" customHeight="1">
      <c r="A914" s="1"/>
      <c r="B914" s="33">
        <v>3321.0</v>
      </c>
      <c r="C914" s="34"/>
      <c r="D914" s="35" t="s">
        <v>69</v>
      </c>
      <c r="E914" s="36">
        <v>2024.0</v>
      </c>
      <c r="F914" s="36">
        <v>2025.0</v>
      </c>
      <c r="G914" s="6">
        <f t="shared" si="8"/>
        <v>0.0004940711462</v>
      </c>
    </row>
    <row r="915" ht="14.25" customHeight="1">
      <c r="A915" s="1"/>
      <c r="B915" s="2"/>
      <c r="C915" s="54">
        <v>209.0</v>
      </c>
      <c r="D915" s="73" t="s">
        <v>191</v>
      </c>
      <c r="E915" s="20">
        <v>1800.0</v>
      </c>
      <c r="F915" s="5">
        <v>1800.0</v>
      </c>
      <c r="G915" s="6">
        <f t="shared" si="8"/>
        <v>0</v>
      </c>
    </row>
    <row r="916" ht="14.25" customHeight="1">
      <c r="A916" s="1"/>
      <c r="B916" s="2"/>
      <c r="C916" s="88" t="s">
        <v>103</v>
      </c>
      <c r="D916" s="73" t="s">
        <v>104</v>
      </c>
      <c r="E916" s="20">
        <v>5000.0</v>
      </c>
      <c r="F916" s="5">
        <v>5000.0</v>
      </c>
      <c r="G916" s="6">
        <f t="shared" si="8"/>
        <v>0</v>
      </c>
    </row>
    <row r="917" ht="14.25" customHeight="1">
      <c r="A917" s="1"/>
      <c r="B917" s="2"/>
      <c r="C917" s="54" t="s">
        <v>139</v>
      </c>
      <c r="D917" s="31" t="s">
        <v>175</v>
      </c>
      <c r="E917" s="20">
        <v>38000.0</v>
      </c>
      <c r="F917" s="5">
        <v>38000.0</v>
      </c>
      <c r="G917" s="6">
        <f t="shared" si="8"/>
        <v>0</v>
      </c>
    </row>
    <row r="918" ht="14.25" customHeight="1">
      <c r="A918" s="1"/>
      <c r="B918" s="2"/>
      <c r="C918" s="54" t="s">
        <v>113</v>
      </c>
      <c r="D918" s="73" t="s">
        <v>114</v>
      </c>
      <c r="E918" s="20">
        <v>1500.0</v>
      </c>
      <c r="F918" s="5">
        <v>1500.0</v>
      </c>
      <c r="G918" s="6">
        <f t="shared" si="8"/>
        <v>0</v>
      </c>
    </row>
    <row r="919" ht="14.25" customHeight="1">
      <c r="A919" s="1"/>
      <c r="B919" s="2"/>
      <c r="C919" s="54" t="s">
        <v>115</v>
      </c>
      <c r="D919" s="31" t="s">
        <v>116</v>
      </c>
      <c r="E919" s="20">
        <v>2000.0</v>
      </c>
      <c r="F919" s="5">
        <v>2000.0</v>
      </c>
      <c r="G919" s="6">
        <f t="shared" si="8"/>
        <v>0</v>
      </c>
    </row>
    <row r="920" ht="14.25" customHeight="1">
      <c r="A920" s="1"/>
      <c r="B920" s="2"/>
      <c r="C920" s="54" t="s">
        <v>117</v>
      </c>
      <c r="D920" s="31" t="s">
        <v>118</v>
      </c>
      <c r="E920" s="20">
        <v>900.0</v>
      </c>
      <c r="F920" s="5">
        <v>900.0</v>
      </c>
      <c r="G920" s="6">
        <f t="shared" si="8"/>
        <v>0</v>
      </c>
    </row>
    <row r="921" ht="14.25" customHeight="1">
      <c r="A921" s="1"/>
      <c r="B921" s="2"/>
      <c r="C921" s="54">
        <v>223.0</v>
      </c>
      <c r="D921" s="31" t="s">
        <v>149</v>
      </c>
      <c r="E921" s="20">
        <v>500.0</v>
      </c>
      <c r="F921" s="5">
        <v>500.0</v>
      </c>
      <c r="G921" s="6">
        <f t="shared" si="8"/>
        <v>0</v>
      </c>
    </row>
    <row r="922" ht="14.25" customHeight="1">
      <c r="A922" s="1"/>
      <c r="B922" s="2"/>
      <c r="C922" s="54" t="s">
        <v>122</v>
      </c>
      <c r="D922" s="73" t="s">
        <v>123</v>
      </c>
      <c r="E922" s="20">
        <v>200.0</v>
      </c>
      <c r="F922" s="5">
        <v>200.0</v>
      </c>
      <c r="G922" s="6">
        <f t="shared" si="8"/>
        <v>0</v>
      </c>
    </row>
    <row r="923" ht="14.25" customHeight="1">
      <c r="A923" s="1"/>
      <c r="B923" s="2"/>
      <c r="C923" s="54" t="s">
        <v>124</v>
      </c>
      <c r="D923" s="73" t="s">
        <v>125</v>
      </c>
      <c r="E923" s="20">
        <v>4000.0</v>
      </c>
      <c r="F923" s="5">
        <v>4000.0</v>
      </c>
      <c r="G923" s="6">
        <f t="shared" si="8"/>
        <v>0</v>
      </c>
    </row>
    <row r="924" ht="14.25" customHeight="1">
      <c r="A924" s="1"/>
      <c r="B924" s="2"/>
      <c r="C924" s="54" t="s">
        <v>176</v>
      </c>
      <c r="D924" s="31" t="s">
        <v>177</v>
      </c>
      <c r="E924" s="20">
        <v>2000.0</v>
      </c>
      <c r="F924" s="5">
        <v>2000.0</v>
      </c>
      <c r="G924" s="6">
        <f t="shared" si="8"/>
        <v>0</v>
      </c>
    </row>
    <row r="925" ht="14.25" customHeight="1">
      <c r="A925" s="1"/>
      <c r="B925" s="2"/>
      <c r="C925" s="54" t="s">
        <v>128</v>
      </c>
      <c r="D925" s="73" t="s">
        <v>129</v>
      </c>
      <c r="E925" s="20">
        <v>4000.0</v>
      </c>
      <c r="F925" s="5">
        <v>4000.0</v>
      </c>
      <c r="G925" s="6">
        <f t="shared" si="8"/>
        <v>0</v>
      </c>
    </row>
    <row r="926" ht="14.25" customHeight="1">
      <c r="A926" s="1"/>
      <c r="B926" s="2"/>
      <c r="C926" s="54" t="s">
        <v>142</v>
      </c>
      <c r="D926" s="73" t="s">
        <v>174</v>
      </c>
      <c r="E926" s="20">
        <v>9400.0</v>
      </c>
      <c r="F926" s="5">
        <v>9400.0</v>
      </c>
      <c r="G926" s="6">
        <f t="shared" si="8"/>
        <v>0</v>
      </c>
    </row>
    <row r="927" ht="14.25" customHeight="1">
      <c r="A927" s="1"/>
      <c r="B927" s="2"/>
      <c r="C927" s="54" t="s">
        <v>132</v>
      </c>
      <c r="D927" s="73" t="s">
        <v>133</v>
      </c>
      <c r="E927" s="20">
        <v>600.0</v>
      </c>
      <c r="F927" s="5">
        <v>600.0</v>
      </c>
      <c r="G927" s="6">
        <f t="shared" si="8"/>
        <v>0</v>
      </c>
    </row>
    <row r="928" ht="14.25" customHeight="1">
      <c r="A928" s="1"/>
      <c r="B928" s="22">
        <v>3321.0</v>
      </c>
      <c r="E928" s="53">
        <v>69900.0</v>
      </c>
      <c r="F928" s="23">
        <f>SUM(F915:F927)</f>
        <v>69900</v>
      </c>
      <c r="G928" s="6">
        <f t="shared" si="8"/>
        <v>0</v>
      </c>
    </row>
    <row r="929" ht="14.25" customHeight="1">
      <c r="A929" s="1"/>
      <c r="B929" s="2"/>
      <c r="C929" s="30"/>
      <c r="D929" s="31"/>
      <c r="E929" s="32"/>
      <c r="F929" s="32"/>
      <c r="G929" s="6" t="str">
        <f t="shared" si="8"/>
        <v/>
      </c>
    </row>
    <row r="930" ht="14.25" customHeight="1">
      <c r="A930" s="1"/>
      <c r="B930" s="33">
        <v>3330.0</v>
      </c>
      <c r="C930" s="34"/>
      <c r="D930" s="35" t="s">
        <v>196</v>
      </c>
      <c r="E930" s="36">
        <v>2024.0</v>
      </c>
      <c r="F930" s="36">
        <v>2025.0</v>
      </c>
      <c r="G930" s="6">
        <f t="shared" si="8"/>
        <v>0.0004940711462</v>
      </c>
    </row>
    <row r="931" ht="14.25" customHeight="1">
      <c r="A931" s="1"/>
      <c r="B931" s="2"/>
      <c r="C931" s="54">
        <v>202.0</v>
      </c>
      <c r="D931" s="73" t="s">
        <v>197</v>
      </c>
      <c r="E931" s="20">
        <v>4000.0</v>
      </c>
      <c r="F931" s="5">
        <v>4000.0</v>
      </c>
      <c r="G931" s="6">
        <f t="shared" si="8"/>
        <v>0</v>
      </c>
    </row>
    <row r="932" ht="14.25" customHeight="1">
      <c r="A932" s="1"/>
      <c r="B932" s="2"/>
      <c r="C932" s="54">
        <v>212.0</v>
      </c>
      <c r="D932" s="73" t="s">
        <v>98</v>
      </c>
      <c r="E932" s="20">
        <v>20000.0</v>
      </c>
      <c r="F932" s="5">
        <v>20000.0</v>
      </c>
      <c r="G932" s="6">
        <f t="shared" si="8"/>
        <v>0</v>
      </c>
    </row>
    <row r="933" ht="14.25" customHeight="1">
      <c r="A933" s="76"/>
      <c r="B933" s="76"/>
      <c r="C933" s="78" t="s">
        <v>103</v>
      </c>
      <c r="D933" s="79" t="s">
        <v>104</v>
      </c>
      <c r="E933" s="84">
        <v>500.0</v>
      </c>
      <c r="F933" s="89">
        <v>500.0</v>
      </c>
      <c r="G933" s="6">
        <f t="shared" si="8"/>
        <v>0</v>
      </c>
      <c r="H933" s="82"/>
      <c r="I933" s="82"/>
      <c r="J933" s="82"/>
      <c r="K933" s="82"/>
    </row>
    <row r="934" ht="14.25" customHeight="1">
      <c r="A934" s="1"/>
      <c r="B934" s="2"/>
      <c r="C934" s="54" t="s">
        <v>105</v>
      </c>
      <c r="D934" s="73" t="s">
        <v>137</v>
      </c>
      <c r="E934" s="20">
        <v>3000.0</v>
      </c>
      <c r="F934" s="5">
        <v>3000.0</v>
      </c>
      <c r="G934" s="6">
        <f t="shared" si="8"/>
        <v>0</v>
      </c>
    </row>
    <row r="935" ht="14.25" customHeight="1">
      <c r="A935" s="1"/>
      <c r="B935" s="2"/>
      <c r="C935" s="54" t="s">
        <v>107</v>
      </c>
      <c r="D935" s="73" t="s">
        <v>108</v>
      </c>
      <c r="E935" s="20">
        <v>3000.0</v>
      </c>
      <c r="F935" s="5">
        <v>3000.0</v>
      </c>
      <c r="G935" s="6">
        <f t="shared" si="8"/>
        <v>0</v>
      </c>
    </row>
    <row r="936" ht="14.25" customHeight="1">
      <c r="A936" s="1"/>
      <c r="B936" s="2"/>
      <c r="C936" s="54" t="s">
        <v>113</v>
      </c>
      <c r="D936" s="73" t="s">
        <v>114</v>
      </c>
      <c r="E936" s="20">
        <v>1000.0</v>
      </c>
      <c r="F936" s="5">
        <v>1000.0</v>
      </c>
      <c r="G936" s="6">
        <f t="shared" si="8"/>
        <v>0</v>
      </c>
    </row>
    <row r="937" ht="14.25" customHeight="1">
      <c r="A937" s="1"/>
      <c r="B937" s="2"/>
      <c r="C937" s="54" t="s">
        <v>115</v>
      </c>
      <c r="D937" s="73" t="s">
        <v>116</v>
      </c>
      <c r="E937" s="20">
        <v>100.0</v>
      </c>
      <c r="F937" s="5">
        <v>100.0</v>
      </c>
      <c r="G937" s="6">
        <f t="shared" si="8"/>
        <v>0</v>
      </c>
    </row>
    <row r="938" ht="14.25" customHeight="1">
      <c r="A938" s="1"/>
      <c r="B938" s="2"/>
      <c r="C938" s="54" t="s">
        <v>120</v>
      </c>
      <c r="D938" s="31" t="s">
        <v>121</v>
      </c>
      <c r="E938" s="20">
        <v>100.0</v>
      </c>
      <c r="F938" s="5">
        <v>100.0</v>
      </c>
      <c r="G938" s="6">
        <f t="shared" si="8"/>
        <v>0</v>
      </c>
    </row>
    <row r="939" ht="14.25" customHeight="1">
      <c r="A939" s="1"/>
      <c r="B939" s="2"/>
      <c r="C939" s="54" t="s">
        <v>124</v>
      </c>
      <c r="D939" s="73" t="s">
        <v>125</v>
      </c>
      <c r="E939" s="20">
        <v>100.0</v>
      </c>
      <c r="F939" s="5">
        <v>100.0</v>
      </c>
      <c r="G939" s="6">
        <f t="shared" si="8"/>
        <v>0</v>
      </c>
    </row>
    <row r="940" ht="14.25" customHeight="1">
      <c r="A940" s="1"/>
      <c r="B940" s="2"/>
      <c r="C940" s="54" t="s">
        <v>128</v>
      </c>
      <c r="D940" s="73" t="s">
        <v>129</v>
      </c>
      <c r="E940" s="20">
        <v>500.0</v>
      </c>
      <c r="F940" s="5">
        <v>500.0</v>
      </c>
      <c r="G940" s="6">
        <f t="shared" si="8"/>
        <v>0</v>
      </c>
    </row>
    <row r="941" ht="14.25" customHeight="1">
      <c r="A941" s="1"/>
      <c r="B941" s="2"/>
      <c r="C941" s="54" t="s">
        <v>130</v>
      </c>
      <c r="D941" s="73" t="s">
        <v>131</v>
      </c>
      <c r="E941" s="20">
        <v>72000.0</v>
      </c>
      <c r="F941" s="5">
        <v>72000.0</v>
      </c>
      <c r="G941" s="6">
        <f t="shared" si="8"/>
        <v>0</v>
      </c>
    </row>
    <row r="942" ht="14.25" customHeight="1">
      <c r="A942" s="1"/>
      <c r="B942" s="22">
        <v>3330.0</v>
      </c>
      <c r="E942" s="53">
        <v>104300.0</v>
      </c>
      <c r="F942" s="23">
        <f>SUM(F931:F941)</f>
        <v>104300</v>
      </c>
      <c r="G942" s="6">
        <f t="shared" si="8"/>
        <v>0</v>
      </c>
    </row>
    <row r="943" ht="14.25" customHeight="1">
      <c r="A943" s="1"/>
      <c r="B943" s="2"/>
      <c r="C943" s="30"/>
      <c r="D943" s="31"/>
      <c r="E943" s="32"/>
      <c r="F943" s="32"/>
      <c r="G943" s="6" t="str">
        <f t="shared" si="8"/>
        <v/>
      </c>
    </row>
    <row r="944" ht="14.25" customHeight="1">
      <c r="A944" s="1"/>
      <c r="B944" s="33">
        <v>3331.0</v>
      </c>
      <c r="C944" s="34"/>
      <c r="D944" s="35" t="s">
        <v>198</v>
      </c>
      <c r="E944" s="36">
        <v>2024.0</v>
      </c>
      <c r="F944" s="36">
        <v>2025.0</v>
      </c>
      <c r="G944" s="6">
        <f t="shared" si="8"/>
        <v>0.0004940711462</v>
      </c>
    </row>
    <row r="945" ht="14.25" customHeight="1">
      <c r="A945" s="1"/>
      <c r="B945" s="2"/>
      <c r="C945" s="54">
        <v>203.0</v>
      </c>
      <c r="D945" s="73" t="s">
        <v>97</v>
      </c>
      <c r="E945" s="20">
        <v>0.0</v>
      </c>
      <c r="F945" s="5">
        <v>0.0</v>
      </c>
      <c r="G945" s="6" t="str">
        <f t="shared" si="8"/>
        <v/>
      </c>
    </row>
    <row r="946" ht="14.25" customHeight="1">
      <c r="A946" s="1"/>
      <c r="B946" s="2"/>
      <c r="C946" s="54">
        <v>212.0</v>
      </c>
      <c r="D946" s="73" t="s">
        <v>98</v>
      </c>
      <c r="E946" s="20">
        <v>0.0</v>
      </c>
      <c r="F946" s="5">
        <v>0.0</v>
      </c>
      <c r="G946" s="6" t="str">
        <f t="shared" si="8"/>
        <v/>
      </c>
    </row>
    <row r="947" ht="14.25" customHeight="1">
      <c r="A947" s="1"/>
      <c r="B947" s="2"/>
      <c r="C947" s="54" t="s">
        <v>103</v>
      </c>
      <c r="D947" s="73" t="s">
        <v>104</v>
      </c>
      <c r="E947" s="20">
        <v>0.0</v>
      </c>
      <c r="F947" s="5">
        <v>0.0</v>
      </c>
      <c r="G947" s="6" t="str">
        <f t="shared" si="8"/>
        <v/>
      </c>
    </row>
    <row r="948" ht="14.25" customHeight="1">
      <c r="A948" s="1"/>
      <c r="B948" s="2"/>
      <c r="C948" s="54" t="s">
        <v>105</v>
      </c>
      <c r="D948" s="73" t="s">
        <v>137</v>
      </c>
      <c r="E948" s="20">
        <v>0.0</v>
      </c>
      <c r="F948" s="5">
        <v>0.0</v>
      </c>
      <c r="G948" s="6" t="str">
        <f t="shared" si="8"/>
        <v/>
      </c>
    </row>
    <row r="949" ht="14.25" customHeight="1">
      <c r="A949" s="1"/>
      <c r="B949" s="2"/>
      <c r="C949" s="54" t="s">
        <v>107</v>
      </c>
      <c r="D949" s="73" t="s">
        <v>108</v>
      </c>
      <c r="E949" s="20">
        <v>0.0</v>
      </c>
      <c r="F949" s="5">
        <v>0.0</v>
      </c>
      <c r="G949" s="6" t="str">
        <f t="shared" si="8"/>
        <v/>
      </c>
    </row>
    <row r="950" ht="14.25" customHeight="1">
      <c r="A950" s="1"/>
      <c r="B950" s="2"/>
      <c r="C950" s="54" t="s">
        <v>113</v>
      </c>
      <c r="D950" s="73" t="s">
        <v>114</v>
      </c>
      <c r="E950" s="20">
        <v>0.0</v>
      </c>
      <c r="F950" s="5">
        <v>0.0</v>
      </c>
      <c r="G950" s="6" t="str">
        <f t="shared" si="8"/>
        <v/>
      </c>
    </row>
    <row r="951" ht="14.25" customHeight="1">
      <c r="A951" s="1"/>
      <c r="B951" s="2"/>
      <c r="C951" s="54" t="s">
        <v>115</v>
      </c>
      <c r="D951" s="73" t="s">
        <v>116</v>
      </c>
      <c r="E951" s="20">
        <v>50.0</v>
      </c>
      <c r="F951" s="5">
        <v>50.0</v>
      </c>
      <c r="G951" s="6">
        <f t="shared" si="8"/>
        <v>0</v>
      </c>
    </row>
    <row r="952" ht="14.25" customHeight="1">
      <c r="A952" s="1"/>
      <c r="B952" s="2"/>
      <c r="C952" s="54" t="s">
        <v>120</v>
      </c>
      <c r="D952" s="31" t="s">
        <v>121</v>
      </c>
      <c r="E952" s="20">
        <v>0.0</v>
      </c>
      <c r="F952" s="5">
        <v>0.0</v>
      </c>
      <c r="G952" s="6" t="str">
        <f t="shared" si="8"/>
        <v/>
      </c>
    </row>
    <row r="953" ht="14.25" customHeight="1">
      <c r="A953" s="1"/>
      <c r="B953" s="2"/>
      <c r="C953" s="54" t="s">
        <v>124</v>
      </c>
      <c r="D953" s="73" t="s">
        <v>125</v>
      </c>
      <c r="E953" s="20">
        <v>3000.0</v>
      </c>
      <c r="F953" s="5">
        <v>3000.0</v>
      </c>
      <c r="G953" s="6">
        <f t="shared" si="8"/>
        <v>0</v>
      </c>
    </row>
    <row r="954" ht="14.25" customHeight="1">
      <c r="A954" s="1"/>
      <c r="B954" s="2"/>
      <c r="C954" s="54" t="s">
        <v>176</v>
      </c>
      <c r="D954" s="31" t="s">
        <v>177</v>
      </c>
      <c r="E954" s="20">
        <v>6000.0</v>
      </c>
      <c r="F954" s="5">
        <v>6000.0</v>
      </c>
      <c r="G954" s="6">
        <f t="shared" si="8"/>
        <v>0</v>
      </c>
    </row>
    <row r="955" ht="14.25" customHeight="1">
      <c r="A955" s="1"/>
      <c r="B955" s="2"/>
      <c r="C955" s="54" t="s">
        <v>128</v>
      </c>
      <c r="D955" s="73" t="s">
        <v>129</v>
      </c>
      <c r="E955" s="20">
        <v>4000.0</v>
      </c>
      <c r="F955" s="5">
        <v>4000.0</v>
      </c>
      <c r="G955" s="6">
        <f t="shared" si="8"/>
        <v>0</v>
      </c>
    </row>
    <row r="956" ht="14.25" customHeight="1">
      <c r="A956" s="1"/>
      <c r="B956" s="2"/>
      <c r="C956" s="54" t="s">
        <v>130</v>
      </c>
      <c r="D956" s="73" t="s">
        <v>131</v>
      </c>
      <c r="E956" s="20">
        <v>60000.0</v>
      </c>
      <c r="F956" s="5">
        <v>60000.0</v>
      </c>
      <c r="G956" s="6">
        <f t="shared" si="8"/>
        <v>0</v>
      </c>
    </row>
    <row r="957" ht="14.25" customHeight="1">
      <c r="A957" s="1"/>
      <c r="B957" s="22">
        <v>3331.0</v>
      </c>
      <c r="E957" s="53">
        <v>73050.0</v>
      </c>
      <c r="F957" s="23">
        <f>SUM(F945:F956)</f>
        <v>73050</v>
      </c>
      <c r="G957" s="6">
        <f t="shared" si="8"/>
        <v>0</v>
      </c>
    </row>
    <row r="958" ht="14.25" customHeight="1">
      <c r="A958" s="1"/>
      <c r="B958" s="2"/>
      <c r="C958" s="3"/>
      <c r="D958" s="4"/>
      <c r="E958" s="5"/>
      <c r="F958" s="5"/>
      <c r="G958" s="6" t="str">
        <f t="shared" si="8"/>
        <v/>
      </c>
    </row>
    <row r="959" ht="14.25" customHeight="1">
      <c r="A959" s="1"/>
      <c r="B959" s="33">
        <v>3340.0</v>
      </c>
      <c r="C959" s="34"/>
      <c r="D959" s="35" t="s">
        <v>199</v>
      </c>
      <c r="E959" s="36">
        <v>2024.0</v>
      </c>
      <c r="F959" s="36">
        <v>2025.0</v>
      </c>
      <c r="G959" s="6">
        <f t="shared" si="8"/>
        <v>0.0004940711462</v>
      </c>
    </row>
    <row r="960" ht="14.25" customHeight="1">
      <c r="A960" s="1"/>
      <c r="B960" s="2"/>
      <c r="C960" s="54">
        <v>202.0</v>
      </c>
      <c r="D960" s="73" t="s">
        <v>200</v>
      </c>
      <c r="E960" s="20">
        <v>40000.0</v>
      </c>
      <c r="F960" s="20">
        <v>55300.0</v>
      </c>
      <c r="G960" s="6">
        <f t="shared" si="8"/>
        <v>0.3825</v>
      </c>
      <c r="I960" s="38" t="s">
        <v>201</v>
      </c>
    </row>
    <row r="961" ht="14.25" customHeight="1">
      <c r="A961" s="1"/>
      <c r="B961" s="2"/>
      <c r="C961" s="54">
        <v>203.0</v>
      </c>
      <c r="D961" s="73" t="s">
        <v>97</v>
      </c>
      <c r="E961" s="20">
        <v>25000.0</v>
      </c>
      <c r="F961" s="5">
        <v>25000.0</v>
      </c>
      <c r="G961" s="6">
        <f t="shared" si="8"/>
        <v>0</v>
      </c>
    </row>
    <row r="962" ht="14.25" customHeight="1">
      <c r="A962" s="1"/>
      <c r="B962" s="2"/>
      <c r="C962" s="54">
        <v>209.0</v>
      </c>
      <c r="D962" s="73" t="s">
        <v>191</v>
      </c>
      <c r="E962" s="20">
        <v>12000.0</v>
      </c>
      <c r="F962" s="5">
        <v>12000.0</v>
      </c>
      <c r="G962" s="6">
        <f t="shared" si="8"/>
        <v>0</v>
      </c>
    </row>
    <row r="963" ht="14.25" customHeight="1">
      <c r="A963" s="1"/>
      <c r="B963" s="2"/>
      <c r="C963" s="54" t="s">
        <v>139</v>
      </c>
      <c r="D963" s="31" t="s">
        <v>192</v>
      </c>
      <c r="E963" s="20">
        <v>1000.0</v>
      </c>
      <c r="F963" s="5">
        <v>1000.0</v>
      </c>
      <c r="G963" s="6">
        <f t="shared" si="8"/>
        <v>0</v>
      </c>
    </row>
    <row r="964" ht="14.25" customHeight="1">
      <c r="A964" s="1"/>
      <c r="B964" s="2"/>
      <c r="C964" s="54">
        <v>223.0</v>
      </c>
      <c r="D964" s="31" t="s">
        <v>149</v>
      </c>
      <c r="E964" s="20">
        <v>1000.0</v>
      </c>
      <c r="F964" s="5">
        <v>1000.0</v>
      </c>
      <c r="G964" s="6">
        <f t="shared" si="8"/>
        <v>0</v>
      </c>
    </row>
    <row r="965" ht="14.25" customHeight="1">
      <c r="A965" s="1"/>
      <c r="B965" s="2"/>
      <c r="C965" s="54" t="s">
        <v>122</v>
      </c>
      <c r="D965" s="73" t="s">
        <v>123</v>
      </c>
      <c r="E965" s="20">
        <v>2000.0</v>
      </c>
      <c r="F965" s="5">
        <v>2000.0</v>
      </c>
      <c r="G965" s="6">
        <f t="shared" si="8"/>
        <v>0</v>
      </c>
    </row>
    <row r="966" ht="14.25" customHeight="1">
      <c r="A966" s="1"/>
      <c r="B966" s="2"/>
      <c r="C966" s="54" t="s">
        <v>124</v>
      </c>
      <c r="D966" s="73" t="s">
        <v>125</v>
      </c>
      <c r="E966" s="20">
        <v>35000.0</v>
      </c>
      <c r="F966" s="5">
        <v>35000.0</v>
      </c>
      <c r="G966" s="6">
        <f t="shared" si="8"/>
        <v>0</v>
      </c>
    </row>
    <row r="967" ht="14.25" customHeight="1">
      <c r="A967" s="1"/>
      <c r="B967" s="2"/>
      <c r="C967" s="54" t="s">
        <v>193</v>
      </c>
      <c r="D967" s="73" t="s">
        <v>202</v>
      </c>
      <c r="E967" s="20">
        <v>4000.0</v>
      </c>
      <c r="F967" s="5">
        <v>4000.0</v>
      </c>
      <c r="G967" s="6">
        <f t="shared" si="8"/>
        <v>0</v>
      </c>
    </row>
    <row r="968" ht="14.25" customHeight="1">
      <c r="A968" s="1"/>
      <c r="B968" s="2"/>
      <c r="C968" s="54" t="s">
        <v>176</v>
      </c>
      <c r="D968" s="31" t="s">
        <v>177</v>
      </c>
      <c r="E968" s="20">
        <v>180000.0</v>
      </c>
      <c r="F968" s="5">
        <v>180000.0</v>
      </c>
      <c r="G968" s="6">
        <f t="shared" si="8"/>
        <v>0</v>
      </c>
    </row>
    <row r="969" ht="14.25" customHeight="1">
      <c r="A969" s="1"/>
      <c r="B969" s="2"/>
      <c r="C969" s="54" t="s">
        <v>128</v>
      </c>
      <c r="D969" s="73" t="s">
        <v>129</v>
      </c>
      <c r="E969" s="20">
        <v>20000.0</v>
      </c>
      <c r="F969" s="5">
        <v>20000.0</v>
      </c>
      <c r="G969" s="6">
        <f t="shared" si="8"/>
        <v>0</v>
      </c>
    </row>
    <row r="970" ht="14.25" customHeight="1">
      <c r="A970" s="1"/>
      <c r="B970" s="2"/>
      <c r="C970" s="54" t="s">
        <v>142</v>
      </c>
      <c r="D970" s="73" t="s">
        <v>143</v>
      </c>
      <c r="E970" s="20">
        <v>500.0</v>
      </c>
      <c r="F970" s="5">
        <v>500.0</v>
      </c>
      <c r="G970" s="6">
        <f t="shared" si="8"/>
        <v>0</v>
      </c>
    </row>
    <row r="971" ht="14.25" customHeight="1">
      <c r="A971" s="1"/>
      <c r="B971" s="2"/>
      <c r="C971" s="54" t="s">
        <v>130</v>
      </c>
      <c r="D971" s="73" t="s">
        <v>131</v>
      </c>
      <c r="E971" s="20">
        <v>2000.0</v>
      </c>
      <c r="F971" s="5">
        <v>2000.0</v>
      </c>
      <c r="G971" s="6">
        <f t="shared" si="8"/>
        <v>0</v>
      </c>
    </row>
    <row r="972" ht="14.25" customHeight="1">
      <c r="A972" s="1"/>
      <c r="B972" s="2"/>
      <c r="C972" s="54" t="s">
        <v>132</v>
      </c>
      <c r="D972" s="73" t="s">
        <v>133</v>
      </c>
      <c r="E972" s="20">
        <v>1500.0</v>
      </c>
      <c r="F972" s="5">
        <v>1500.0</v>
      </c>
      <c r="G972" s="6">
        <f t="shared" si="8"/>
        <v>0</v>
      </c>
    </row>
    <row r="973" ht="14.25" customHeight="1">
      <c r="A973" s="1"/>
      <c r="B973" s="22">
        <v>3340.0</v>
      </c>
      <c r="E973" s="53">
        <v>324000.0</v>
      </c>
      <c r="F973" s="23">
        <f>SUM(F960:F972)</f>
        <v>339300</v>
      </c>
      <c r="G973" s="6">
        <f t="shared" si="8"/>
        <v>0.04722222222</v>
      </c>
    </row>
    <row r="974" ht="14.25" customHeight="1">
      <c r="A974" s="1"/>
      <c r="B974" s="2"/>
      <c r="C974" s="3"/>
      <c r="D974" s="4"/>
      <c r="E974" s="5"/>
      <c r="F974" s="5"/>
      <c r="G974" s="6" t="str">
        <f t="shared" si="8"/>
        <v/>
      </c>
    </row>
    <row r="975" ht="14.25" customHeight="1">
      <c r="A975" s="1"/>
      <c r="B975" s="33">
        <v>3341.0</v>
      </c>
      <c r="C975" s="34"/>
      <c r="D975" s="35" t="s">
        <v>203</v>
      </c>
      <c r="E975" s="36">
        <v>2024.0</v>
      </c>
      <c r="F975" s="36">
        <v>2025.0</v>
      </c>
      <c r="G975" s="6">
        <f t="shared" si="8"/>
        <v>0.0004940711462</v>
      </c>
    </row>
    <row r="976" ht="14.25" customHeight="1">
      <c r="A976" s="1"/>
      <c r="B976" s="2"/>
      <c r="C976" s="54">
        <v>202.0</v>
      </c>
      <c r="D976" s="73" t="s">
        <v>181</v>
      </c>
      <c r="E976" s="20">
        <v>500.0</v>
      </c>
      <c r="F976" s="5">
        <v>500.0</v>
      </c>
      <c r="G976" s="6">
        <f t="shared" si="8"/>
        <v>0</v>
      </c>
    </row>
    <row r="977" ht="14.25" customHeight="1">
      <c r="A977" s="1"/>
      <c r="B977" s="2"/>
      <c r="C977" s="54">
        <v>203.0</v>
      </c>
      <c r="D977" s="73" t="s">
        <v>97</v>
      </c>
      <c r="E977" s="20">
        <v>5000.0</v>
      </c>
      <c r="F977" s="5">
        <v>5000.0</v>
      </c>
      <c r="G977" s="6">
        <f t="shared" si="8"/>
        <v>0</v>
      </c>
    </row>
    <row r="978" ht="14.25" customHeight="1">
      <c r="A978" s="1"/>
      <c r="B978" s="2"/>
      <c r="C978" s="54">
        <v>209.0</v>
      </c>
      <c r="D978" s="73" t="s">
        <v>191</v>
      </c>
      <c r="E978" s="20">
        <v>1000.0</v>
      </c>
      <c r="F978" s="5">
        <v>1000.0</v>
      </c>
      <c r="G978" s="6">
        <f t="shared" si="8"/>
        <v>0</v>
      </c>
    </row>
    <row r="979" ht="14.25" customHeight="1">
      <c r="A979" s="1"/>
      <c r="B979" s="2"/>
      <c r="C979" s="54">
        <v>212.0</v>
      </c>
      <c r="D979" s="73" t="s">
        <v>98</v>
      </c>
      <c r="E979" s="20">
        <v>8000.0</v>
      </c>
      <c r="F979" s="5">
        <v>8000.0</v>
      </c>
      <c r="G979" s="6">
        <f t="shared" si="8"/>
        <v>0</v>
      </c>
    </row>
    <row r="980" ht="14.25" customHeight="1">
      <c r="A980" s="1"/>
      <c r="B980" s="2"/>
      <c r="C980" s="54">
        <v>213.0</v>
      </c>
      <c r="D980" s="73" t="s">
        <v>99</v>
      </c>
      <c r="E980" s="20">
        <v>3000.0</v>
      </c>
      <c r="F980" s="5">
        <v>3000.0</v>
      </c>
      <c r="G980" s="6">
        <f t="shared" si="8"/>
        <v>0</v>
      </c>
    </row>
    <row r="981" ht="14.25" customHeight="1">
      <c r="A981" s="1"/>
      <c r="B981" s="2"/>
      <c r="C981" s="54" t="s">
        <v>103</v>
      </c>
      <c r="D981" s="73" t="s">
        <v>104</v>
      </c>
      <c r="E981" s="20">
        <v>1500.0</v>
      </c>
      <c r="F981" s="5">
        <v>1500.0</v>
      </c>
      <c r="G981" s="6">
        <f t="shared" si="8"/>
        <v>0</v>
      </c>
    </row>
    <row r="982" ht="14.25" customHeight="1">
      <c r="A982" s="1"/>
      <c r="B982" s="2"/>
      <c r="C982" s="54" t="s">
        <v>111</v>
      </c>
      <c r="D982" s="73" t="s">
        <v>112</v>
      </c>
      <c r="E982" s="20">
        <v>3000.0</v>
      </c>
      <c r="F982" s="5">
        <v>3000.0</v>
      </c>
      <c r="G982" s="6">
        <f t="shared" si="8"/>
        <v>0</v>
      </c>
    </row>
    <row r="983" ht="14.25" customHeight="1">
      <c r="A983" s="1"/>
      <c r="B983" s="2"/>
      <c r="C983" s="54" t="s">
        <v>113</v>
      </c>
      <c r="D983" s="73" t="s">
        <v>114</v>
      </c>
      <c r="E983" s="20">
        <v>1000.0</v>
      </c>
      <c r="F983" s="5">
        <v>1000.0</v>
      </c>
      <c r="G983" s="6">
        <f t="shared" si="8"/>
        <v>0</v>
      </c>
    </row>
    <row r="984" ht="14.25" customHeight="1">
      <c r="A984" s="1"/>
      <c r="B984" s="2"/>
      <c r="C984" s="54" t="s">
        <v>115</v>
      </c>
      <c r="D984" s="73" t="s">
        <v>116</v>
      </c>
      <c r="E984" s="20">
        <v>700.0</v>
      </c>
      <c r="F984" s="5">
        <v>700.0</v>
      </c>
      <c r="G984" s="6">
        <f t="shared" si="8"/>
        <v>0</v>
      </c>
    </row>
    <row r="985" ht="14.25" customHeight="1">
      <c r="A985" s="1"/>
      <c r="B985" s="2"/>
      <c r="C985" s="54">
        <v>224.0</v>
      </c>
      <c r="D985" s="73" t="s">
        <v>119</v>
      </c>
      <c r="E985" s="20">
        <v>2000.0</v>
      </c>
      <c r="F985" s="5">
        <v>2000.0</v>
      </c>
      <c r="G985" s="6">
        <f t="shared" si="8"/>
        <v>0</v>
      </c>
    </row>
    <row r="986" ht="14.25" customHeight="1">
      <c r="A986" s="1"/>
      <c r="B986" s="2"/>
      <c r="C986" s="54" t="s">
        <v>124</v>
      </c>
      <c r="D986" s="73" t="s">
        <v>125</v>
      </c>
      <c r="E986" s="20">
        <v>4500.0</v>
      </c>
      <c r="F986" s="5">
        <v>4500.0</v>
      </c>
      <c r="G986" s="6">
        <f t="shared" si="8"/>
        <v>0</v>
      </c>
    </row>
    <row r="987" ht="14.25" customHeight="1">
      <c r="A987" s="1"/>
      <c r="B987" s="2"/>
      <c r="C987" s="54" t="s">
        <v>176</v>
      </c>
      <c r="D987" s="31" t="s">
        <v>177</v>
      </c>
      <c r="E987" s="20">
        <v>10000.0</v>
      </c>
      <c r="F987" s="5">
        <v>10000.0</v>
      </c>
      <c r="G987" s="6">
        <f t="shared" si="8"/>
        <v>0</v>
      </c>
    </row>
    <row r="988" ht="14.25" customHeight="1">
      <c r="A988" s="1"/>
      <c r="B988" s="2"/>
      <c r="C988" s="54" t="s">
        <v>128</v>
      </c>
      <c r="D988" s="73" t="s">
        <v>129</v>
      </c>
      <c r="E988" s="20">
        <v>10500.0</v>
      </c>
      <c r="F988" s="5">
        <v>10500.0</v>
      </c>
      <c r="G988" s="6">
        <f t="shared" si="8"/>
        <v>0</v>
      </c>
    </row>
    <row r="989" ht="14.25" customHeight="1">
      <c r="A989" s="1"/>
      <c r="B989" s="22">
        <v>3341.0</v>
      </c>
      <c r="E989" s="53">
        <v>50700.0</v>
      </c>
      <c r="F989" s="23">
        <f>SUM(F976:F988)</f>
        <v>50700</v>
      </c>
      <c r="G989" s="6">
        <f t="shared" si="8"/>
        <v>0</v>
      </c>
    </row>
    <row r="990" ht="14.25" customHeight="1">
      <c r="A990" s="1"/>
      <c r="B990" s="2"/>
      <c r="C990" s="3"/>
      <c r="D990" s="4"/>
      <c r="E990" s="5"/>
      <c r="F990" s="5"/>
      <c r="G990" s="6" t="str">
        <f t="shared" si="8"/>
        <v/>
      </c>
    </row>
    <row r="991" ht="14.25" customHeight="1">
      <c r="A991" s="1"/>
      <c r="B991" s="33">
        <v>3370.0</v>
      </c>
      <c r="C991" s="34"/>
      <c r="D991" s="35" t="s">
        <v>71</v>
      </c>
      <c r="E991" s="36">
        <v>2024.0</v>
      </c>
      <c r="F991" s="36">
        <v>2025.0</v>
      </c>
      <c r="G991" s="6">
        <f t="shared" si="8"/>
        <v>0.0004940711462</v>
      </c>
    </row>
    <row r="992" ht="14.25" customHeight="1">
      <c r="A992" s="1"/>
      <c r="B992" s="87"/>
      <c r="C992" s="54">
        <v>203.0</v>
      </c>
      <c r="D992" s="73" t="s">
        <v>97</v>
      </c>
      <c r="E992" s="20">
        <v>200.0</v>
      </c>
      <c r="F992" s="5">
        <v>200.0</v>
      </c>
      <c r="G992" s="6">
        <f t="shared" si="8"/>
        <v>0</v>
      </c>
    </row>
    <row r="993" ht="14.25" customHeight="1">
      <c r="A993" s="1"/>
      <c r="B993" s="87"/>
      <c r="C993" s="54">
        <v>212.0</v>
      </c>
      <c r="D993" s="73" t="s">
        <v>98</v>
      </c>
      <c r="E993" s="20">
        <v>79000.0</v>
      </c>
      <c r="F993" s="5">
        <v>79000.0</v>
      </c>
      <c r="G993" s="6">
        <f t="shared" si="8"/>
        <v>0</v>
      </c>
    </row>
    <row r="994" ht="14.25" customHeight="1">
      <c r="A994" s="1"/>
      <c r="B994" s="87"/>
      <c r="C994" s="88">
        <v>216.0</v>
      </c>
      <c r="D994" s="73" t="s">
        <v>138</v>
      </c>
      <c r="E994" s="20">
        <v>200.0</v>
      </c>
      <c r="F994" s="5">
        <v>200.0</v>
      </c>
      <c r="G994" s="6">
        <f t="shared" si="8"/>
        <v>0</v>
      </c>
    </row>
    <row r="995" ht="14.25" customHeight="1">
      <c r="A995" s="1"/>
      <c r="B995" s="87"/>
      <c r="C995" s="88" t="s">
        <v>103</v>
      </c>
      <c r="D995" s="73" t="s">
        <v>104</v>
      </c>
      <c r="E995" s="20">
        <v>800.0</v>
      </c>
      <c r="F995" s="5">
        <v>800.0</v>
      </c>
      <c r="G995" s="6">
        <f t="shared" si="8"/>
        <v>0</v>
      </c>
    </row>
    <row r="996" ht="14.25" customHeight="1">
      <c r="A996" s="1"/>
      <c r="B996" s="2"/>
      <c r="C996" s="88" t="s">
        <v>139</v>
      </c>
      <c r="D996" s="31" t="s">
        <v>192</v>
      </c>
      <c r="E996" s="20">
        <v>1900.0</v>
      </c>
      <c r="F996" s="5">
        <v>1900.0</v>
      </c>
      <c r="G996" s="6">
        <f t="shared" si="8"/>
        <v>0</v>
      </c>
    </row>
    <row r="997" ht="14.25" customHeight="1">
      <c r="A997" s="1"/>
      <c r="B997" s="2"/>
      <c r="C997" s="54" t="s">
        <v>105</v>
      </c>
      <c r="D997" s="73" t="s">
        <v>106</v>
      </c>
      <c r="E997" s="20">
        <v>10000.0</v>
      </c>
      <c r="F997" s="5">
        <v>10000.0</v>
      </c>
      <c r="G997" s="6">
        <f t="shared" si="8"/>
        <v>0</v>
      </c>
    </row>
    <row r="998" ht="14.25" customHeight="1">
      <c r="A998" s="1"/>
      <c r="B998" s="2"/>
      <c r="C998" s="54" t="s">
        <v>107</v>
      </c>
      <c r="D998" s="73" t="s">
        <v>108</v>
      </c>
      <c r="E998" s="20">
        <v>95000.0</v>
      </c>
      <c r="F998" s="20">
        <v>0.0</v>
      </c>
      <c r="G998" s="6">
        <f t="shared" si="8"/>
        <v>-1</v>
      </c>
    </row>
    <row r="999" ht="14.25" customHeight="1">
      <c r="A999" s="1"/>
      <c r="B999" s="2"/>
      <c r="C999" s="54" t="s">
        <v>185</v>
      </c>
      <c r="D999" s="73" t="s">
        <v>204</v>
      </c>
      <c r="E999" s="20">
        <v>70000.0</v>
      </c>
      <c r="F999" s="5">
        <v>70000.0</v>
      </c>
      <c r="G999" s="6">
        <f t="shared" si="8"/>
        <v>0</v>
      </c>
    </row>
    <row r="1000" ht="14.25" customHeight="1">
      <c r="A1000" s="1"/>
      <c r="B1000" s="2"/>
      <c r="C1000" s="54" t="s">
        <v>113</v>
      </c>
      <c r="D1000" s="73" t="s">
        <v>114</v>
      </c>
      <c r="E1000" s="20">
        <v>4000.0</v>
      </c>
      <c r="F1000" s="5">
        <f>3000+1000</f>
        <v>4000</v>
      </c>
      <c r="G1000" s="6">
        <f t="shared" si="8"/>
        <v>0</v>
      </c>
    </row>
    <row r="1001" ht="14.25" customHeight="1">
      <c r="A1001" s="1"/>
      <c r="B1001" s="2"/>
      <c r="C1001" s="54" t="s">
        <v>115</v>
      </c>
      <c r="D1001" s="73" t="s">
        <v>116</v>
      </c>
      <c r="E1001" s="20">
        <v>2500.0</v>
      </c>
      <c r="F1001" s="5">
        <v>2500.0</v>
      </c>
      <c r="G1001" s="6">
        <f t="shared" si="8"/>
        <v>0</v>
      </c>
    </row>
    <row r="1002" ht="14.25" customHeight="1">
      <c r="A1002" s="1"/>
      <c r="B1002" s="87"/>
      <c r="C1002" s="54" t="s">
        <v>120</v>
      </c>
      <c r="D1002" s="31" t="s">
        <v>121</v>
      </c>
      <c r="E1002" s="20">
        <v>300.0</v>
      </c>
      <c r="F1002" s="5">
        <f>100+200</f>
        <v>300</v>
      </c>
      <c r="G1002" s="6">
        <f t="shared" si="8"/>
        <v>0</v>
      </c>
    </row>
    <row r="1003" ht="14.25" customHeight="1">
      <c r="A1003" s="1"/>
      <c r="B1003" s="2"/>
      <c r="C1003" s="54" t="s">
        <v>124</v>
      </c>
      <c r="D1003" s="73" t="s">
        <v>125</v>
      </c>
      <c r="E1003" s="20">
        <v>300.0</v>
      </c>
      <c r="F1003" s="5">
        <v>300.0</v>
      </c>
      <c r="G1003" s="6">
        <f t="shared" si="8"/>
        <v>0</v>
      </c>
    </row>
    <row r="1004" ht="14.25" customHeight="1">
      <c r="A1004" s="1"/>
      <c r="B1004" s="2"/>
      <c r="C1004" s="54" t="s">
        <v>128</v>
      </c>
      <c r="D1004" s="73" t="s">
        <v>129</v>
      </c>
      <c r="E1004" s="20">
        <v>6100.0</v>
      </c>
      <c r="F1004" s="5">
        <f>6000+100</f>
        <v>6100</v>
      </c>
      <c r="G1004" s="6">
        <f t="shared" si="8"/>
        <v>0</v>
      </c>
    </row>
    <row r="1005" ht="14.25" customHeight="1">
      <c r="A1005" s="1"/>
      <c r="B1005" s="2"/>
      <c r="C1005" s="54" t="s">
        <v>130</v>
      </c>
      <c r="D1005" s="73" t="s">
        <v>131</v>
      </c>
      <c r="E1005" s="20">
        <v>1000.0</v>
      </c>
      <c r="F1005" s="5">
        <v>1000.0</v>
      </c>
      <c r="G1005" s="6">
        <f t="shared" si="8"/>
        <v>0</v>
      </c>
    </row>
    <row r="1006" ht="14.25" customHeight="1">
      <c r="A1006" s="1"/>
      <c r="B1006" s="22">
        <v>3370.0</v>
      </c>
      <c r="E1006" s="53">
        <v>271300.0</v>
      </c>
      <c r="F1006" s="23">
        <f>SUM(F992:F1005)</f>
        <v>176300</v>
      </c>
      <c r="G1006" s="6">
        <f t="shared" si="8"/>
        <v>-0.350165868</v>
      </c>
    </row>
    <row r="1007" ht="14.25" customHeight="1">
      <c r="A1007" s="1"/>
      <c r="B1007" s="2"/>
      <c r="C1007" s="3"/>
      <c r="D1007" s="4"/>
      <c r="E1007" s="5"/>
      <c r="F1007" s="5"/>
      <c r="G1007" s="6" t="str">
        <f t="shared" si="8"/>
        <v/>
      </c>
    </row>
    <row r="1008" ht="14.25" customHeight="1">
      <c r="A1008" s="1"/>
      <c r="B1008" s="33">
        <v>3373.0</v>
      </c>
      <c r="C1008" s="34"/>
      <c r="D1008" s="35" t="s">
        <v>74</v>
      </c>
      <c r="E1008" s="36">
        <v>2024.0</v>
      </c>
      <c r="F1008" s="36">
        <v>2025.0</v>
      </c>
      <c r="G1008" s="6">
        <f t="shared" si="8"/>
        <v>0.0004940711462</v>
      </c>
    </row>
    <row r="1009" ht="14.25" customHeight="1">
      <c r="A1009" s="1"/>
      <c r="B1009" s="2"/>
      <c r="C1009" s="54">
        <v>203.0</v>
      </c>
      <c r="D1009" s="73" t="s">
        <v>97</v>
      </c>
      <c r="E1009" s="20">
        <v>10000.0</v>
      </c>
      <c r="F1009" s="5">
        <v>10000.0</v>
      </c>
      <c r="G1009" s="6">
        <f t="shared" si="8"/>
        <v>0</v>
      </c>
    </row>
    <row r="1010" ht="14.25" customHeight="1">
      <c r="A1010" s="1"/>
      <c r="B1010" s="2"/>
      <c r="C1010" s="54">
        <v>209.0</v>
      </c>
      <c r="D1010" s="31" t="s">
        <v>191</v>
      </c>
      <c r="E1010" s="20">
        <v>900.0</v>
      </c>
      <c r="F1010" s="5">
        <v>900.0</v>
      </c>
      <c r="G1010" s="6">
        <f t="shared" si="8"/>
        <v>0</v>
      </c>
    </row>
    <row r="1011" ht="14.25" customHeight="1">
      <c r="A1011" s="1"/>
      <c r="B1011" s="2"/>
      <c r="C1011" s="54">
        <v>212.0</v>
      </c>
      <c r="D1011" s="73" t="s">
        <v>98</v>
      </c>
      <c r="E1011" s="20">
        <v>60000.0</v>
      </c>
      <c r="F1011" s="5">
        <v>60000.0</v>
      </c>
      <c r="G1011" s="6">
        <f t="shared" si="8"/>
        <v>0</v>
      </c>
    </row>
    <row r="1012" ht="14.25" customHeight="1">
      <c r="A1012" s="1"/>
      <c r="B1012" s="2"/>
      <c r="C1012" s="88">
        <v>216.0</v>
      </c>
      <c r="D1012" s="73" t="s">
        <v>138</v>
      </c>
      <c r="E1012" s="20">
        <v>300.0</v>
      </c>
      <c r="F1012" s="5">
        <v>300.0</v>
      </c>
      <c r="G1012" s="6">
        <f t="shared" si="8"/>
        <v>0</v>
      </c>
    </row>
    <row r="1013" ht="14.25" customHeight="1">
      <c r="A1013" s="1"/>
      <c r="B1013" s="2"/>
      <c r="C1013" s="54" t="s">
        <v>103</v>
      </c>
      <c r="D1013" s="73" t="s">
        <v>104</v>
      </c>
      <c r="E1013" s="20">
        <v>3200.0</v>
      </c>
      <c r="F1013" s="5">
        <v>3200.0</v>
      </c>
      <c r="G1013" s="6">
        <f t="shared" si="8"/>
        <v>0</v>
      </c>
    </row>
    <row r="1014" ht="14.25" customHeight="1">
      <c r="A1014" s="1"/>
      <c r="B1014" s="2"/>
      <c r="C1014" s="54" t="s">
        <v>139</v>
      </c>
      <c r="D1014" s="31" t="s">
        <v>192</v>
      </c>
      <c r="E1014" s="20">
        <v>1000.0</v>
      </c>
      <c r="F1014" s="5">
        <v>1000.0</v>
      </c>
      <c r="G1014" s="6">
        <f t="shared" si="8"/>
        <v>0</v>
      </c>
    </row>
    <row r="1015" ht="14.25" customHeight="1">
      <c r="A1015" s="1"/>
      <c r="B1015" s="2"/>
      <c r="C1015" s="54" t="s">
        <v>105</v>
      </c>
      <c r="D1015" s="73" t="s">
        <v>137</v>
      </c>
      <c r="E1015" s="20">
        <v>2900.0</v>
      </c>
      <c r="F1015" s="5">
        <v>2900.0</v>
      </c>
      <c r="G1015" s="6">
        <f t="shared" si="8"/>
        <v>0</v>
      </c>
    </row>
    <row r="1016" ht="14.25" customHeight="1">
      <c r="A1016" s="1"/>
      <c r="B1016" s="2"/>
      <c r="C1016" s="54" t="s">
        <v>107</v>
      </c>
      <c r="D1016" s="73" t="s">
        <v>108</v>
      </c>
      <c r="E1016" s="20">
        <v>8000.0</v>
      </c>
      <c r="F1016" s="5">
        <v>8000.0</v>
      </c>
      <c r="G1016" s="6">
        <f t="shared" si="8"/>
        <v>0</v>
      </c>
    </row>
    <row r="1017" ht="14.25" customHeight="1">
      <c r="A1017" s="1"/>
      <c r="B1017" s="2"/>
      <c r="C1017" s="54" t="s">
        <v>113</v>
      </c>
      <c r="D1017" s="73" t="s">
        <v>114</v>
      </c>
      <c r="E1017" s="20">
        <v>1600.0</v>
      </c>
      <c r="F1017" s="5">
        <v>1600.0</v>
      </c>
      <c r="G1017" s="6">
        <f t="shared" si="8"/>
        <v>0</v>
      </c>
    </row>
    <row r="1018" ht="14.25" customHeight="1">
      <c r="A1018" s="1"/>
      <c r="B1018" s="2"/>
      <c r="C1018" s="54" t="s">
        <v>115</v>
      </c>
      <c r="D1018" s="73" t="s">
        <v>116</v>
      </c>
      <c r="E1018" s="20">
        <v>3300.0</v>
      </c>
      <c r="F1018" s="5">
        <v>3300.0</v>
      </c>
      <c r="G1018" s="6">
        <f t="shared" si="8"/>
        <v>0</v>
      </c>
    </row>
    <row r="1019" ht="14.25" customHeight="1">
      <c r="A1019" s="1"/>
      <c r="B1019" s="2"/>
      <c r="C1019" s="54" t="s">
        <v>120</v>
      </c>
      <c r="D1019" s="31" t="s">
        <v>121</v>
      </c>
      <c r="E1019" s="20">
        <v>700.0</v>
      </c>
      <c r="F1019" s="5">
        <v>700.0</v>
      </c>
      <c r="G1019" s="6">
        <f t="shared" si="8"/>
        <v>0</v>
      </c>
    </row>
    <row r="1020" ht="14.25" customHeight="1">
      <c r="A1020" s="1"/>
      <c r="B1020" s="2"/>
      <c r="C1020" s="54" t="s">
        <v>124</v>
      </c>
      <c r="D1020" s="73" t="s">
        <v>125</v>
      </c>
      <c r="E1020" s="20">
        <v>10000.0</v>
      </c>
      <c r="F1020" s="5">
        <v>10000.0</v>
      </c>
      <c r="G1020" s="6">
        <f t="shared" si="8"/>
        <v>0</v>
      </c>
    </row>
    <row r="1021" ht="14.25" customHeight="1">
      <c r="A1021" s="1"/>
      <c r="B1021" s="2"/>
      <c r="C1021" s="54" t="s">
        <v>176</v>
      </c>
      <c r="D1021" s="31" t="s">
        <v>177</v>
      </c>
      <c r="E1021" s="20">
        <v>90000.0</v>
      </c>
      <c r="F1021" s="5">
        <v>90000.0</v>
      </c>
      <c r="G1021" s="6">
        <f t="shared" si="8"/>
        <v>0</v>
      </c>
    </row>
    <row r="1022" ht="14.25" customHeight="1">
      <c r="A1022" s="1"/>
      <c r="B1022" s="2"/>
      <c r="C1022" s="54" t="s">
        <v>128</v>
      </c>
      <c r="D1022" s="73" t="s">
        <v>129</v>
      </c>
      <c r="E1022" s="20">
        <v>50000.0</v>
      </c>
      <c r="F1022" s="5">
        <v>50000.0</v>
      </c>
      <c r="G1022" s="6">
        <f t="shared" si="8"/>
        <v>0</v>
      </c>
    </row>
    <row r="1023" ht="14.25" customHeight="1">
      <c r="A1023" s="1"/>
      <c r="B1023" s="22">
        <v>3373.0</v>
      </c>
      <c r="E1023" s="53">
        <v>241900.0</v>
      </c>
      <c r="F1023" s="23">
        <f>SUM(F1009:F1022)</f>
        <v>241900</v>
      </c>
      <c r="G1023" s="6">
        <f t="shared" si="8"/>
        <v>0</v>
      </c>
    </row>
    <row r="1024" ht="14.25" customHeight="1">
      <c r="A1024" s="1"/>
      <c r="B1024" s="2"/>
      <c r="C1024" s="3"/>
      <c r="D1024" s="4"/>
      <c r="E1024" s="5"/>
      <c r="F1024" s="5"/>
      <c r="G1024" s="6" t="str">
        <f t="shared" si="8"/>
        <v/>
      </c>
    </row>
    <row r="1025" ht="14.25" customHeight="1">
      <c r="A1025" s="1"/>
      <c r="B1025" s="33">
        <v>3374.0</v>
      </c>
      <c r="C1025" s="34"/>
      <c r="D1025" s="35" t="s">
        <v>205</v>
      </c>
      <c r="E1025" s="36">
        <v>2024.0</v>
      </c>
      <c r="F1025" s="36">
        <v>2025.0</v>
      </c>
      <c r="G1025" s="6">
        <f t="shared" si="8"/>
        <v>0.0004940711462</v>
      </c>
    </row>
    <row r="1026" ht="14.25" customHeight="1">
      <c r="A1026" s="1"/>
      <c r="B1026" s="2"/>
      <c r="C1026" s="54">
        <v>212.0</v>
      </c>
      <c r="D1026" s="73" t="s">
        <v>98</v>
      </c>
      <c r="E1026" s="20">
        <v>4400.0</v>
      </c>
      <c r="F1026" s="5">
        <v>4400.0</v>
      </c>
      <c r="G1026" s="6">
        <f t="shared" si="8"/>
        <v>0</v>
      </c>
    </row>
    <row r="1027" ht="14.25" customHeight="1">
      <c r="A1027" s="1"/>
      <c r="B1027" s="2"/>
      <c r="C1027" s="54" t="s">
        <v>105</v>
      </c>
      <c r="D1027" s="73" t="s">
        <v>137</v>
      </c>
      <c r="E1027" s="20">
        <v>850.0</v>
      </c>
      <c r="F1027" s="5">
        <v>850.0</v>
      </c>
      <c r="G1027" s="6">
        <f t="shared" si="8"/>
        <v>0</v>
      </c>
    </row>
    <row r="1028" ht="14.25" customHeight="1">
      <c r="A1028" s="1"/>
      <c r="B1028" s="2"/>
      <c r="C1028" s="54" t="s">
        <v>113</v>
      </c>
      <c r="D1028" s="73" t="s">
        <v>114</v>
      </c>
      <c r="E1028" s="20">
        <v>2000.0</v>
      </c>
      <c r="F1028" s="5">
        <v>2000.0</v>
      </c>
      <c r="G1028" s="6">
        <f t="shared" si="8"/>
        <v>0</v>
      </c>
    </row>
    <row r="1029" ht="14.25" customHeight="1">
      <c r="A1029" s="1"/>
      <c r="B1029" s="22">
        <v>3374.0</v>
      </c>
      <c r="E1029" s="53">
        <v>7250.0</v>
      </c>
      <c r="F1029" s="23">
        <f>SUM(F1026:F1028)</f>
        <v>7250</v>
      </c>
      <c r="G1029" s="6">
        <f t="shared" si="8"/>
        <v>0</v>
      </c>
    </row>
    <row r="1030" ht="14.25" customHeight="1">
      <c r="A1030" s="1"/>
      <c r="B1030" s="2"/>
      <c r="C1030" s="3"/>
      <c r="D1030" s="30"/>
      <c r="E1030" s="32"/>
      <c r="F1030" s="32"/>
      <c r="G1030" s="6" t="str">
        <f t="shared" si="8"/>
        <v/>
      </c>
    </row>
    <row r="1031" ht="14.25" customHeight="1">
      <c r="A1031" s="1"/>
      <c r="B1031" s="33">
        <v>3375.0</v>
      </c>
      <c r="C1031" s="34"/>
      <c r="D1031" s="35" t="s">
        <v>206</v>
      </c>
      <c r="E1031" s="36">
        <v>2024.0</v>
      </c>
      <c r="F1031" s="36">
        <v>2025.0</v>
      </c>
      <c r="G1031" s="6">
        <f t="shared" si="8"/>
        <v>0.0004940711462</v>
      </c>
    </row>
    <row r="1032" ht="14.25" customHeight="1">
      <c r="A1032" s="1"/>
      <c r="B1032" s="2"/>
      <c r="C1032" s="54">
        <v>212.0</v>
      </c>
      <c r="D1032" s="73" t="s">
        <v>98</v>
      </c>
      <c r="E1032" s="20">
        <v>2500.0</v>
      </c>
      <c r="F1032" s="5">
        <v>2500.0</v>
      </c>
      <c r="G1032" s="6">
        <f t="shared" si="8"/>
        <v>0</v>
      </c>
    </row>
    <row r="1033" ht="14.25" customHeight="1">
      <c r="A1033" s="1"/>
      <c r="B1033" s="2"/>
      <c r="C1033" s="54" t="s">
        <v>113</v>
      </c>
      <c r="D1033" s="73" t="s">
        <v>114</v>
      </c>
      <c r="E1033" s="20">
        <v>2500.0</v>
      </c>
      <c r="F1033" s="5">
        <v>2500.0</v>
      </c>
      <c r="G1033" s="6">
        <f t="shared" si="8"/>
        <v>0</v>
      </c>
    </row>
    <row r="1034" ht="14.25" customHeight="1">
      <c r="A1034" s="1"/>
      <c r="B1034" s="22">
        <v>3375.0</v>
      </c>
      <c r="E1034" s="53">
        <v>5000.0</v>
      </c>
      <c r="F1034" s="23">
        <f>SUM(F1032:F1033)</f>
        <v>5000</v>
      </c>
      <c r="G1034" s="6">
        <f t="shared" si="8"/>
        <v>0</v>
      </c>
    </row>
    <row r="1035" ht="14.25" customHeight="1">
      <c r="A1035" s="1"/>
      <c r="B1035" s="2"/>
      <c r="C1035" s="3"/>
      <c r="D1035" s="30"/>
      <c r="E1035" s="32"/>
      <c r="F1035" s="32"/>
      <c r="G1035" s="6" t="str">
        <f t="shared" si="8"/>
        <v/>
      </c>
    </row>
    <row r="1036" ht="14.25" customHeight="1">
      <c r="A1036" s="1"/>
      <c r="B1036" s="33">
        <v>3380.0</v>
      </c>
      <c r="C1036" s="34"/>
      <c r="D1036" s="35" t="s">
        <v>75</v>
      </c>
      <c r="E1036" s="36">
        <v>2024.0</v>
      </c>
      <c r="F1036" s="36">
        <v>2025.0</v>
      </c>
      <c r="G1036" s="6">
        <f t="shared" si="8"/>
        <v>0.0004940711462</v>
      </c>
    </row>
    <row r="1037" ht="14.25" customHeight="1">
      <c r="A1037" s="1"/>
      <c r="B1037" s="2"/>
      <c r="C1037" s="54">
        <v>203.0</v>
      </c>
      <c r="D1037" s="73" t="s">
        <v>97</v>
      </c>
      <c r="E1037" s="20">
        <v>170000.0</v>
      </c>
      <c r="F1037" s="5">
        <v>170000.0</v>
      </c>
      <c r="G1037" s="6">
        <f t="shared" si="8"/>
        <v>0</v>
      </c>
    </row>
    <row r="1038" ht="14.25" customHeight="1">
      <c r="A1038" s="1"/>
      <c r="B1038" s="2"/>
      <c r="C1038" s="54">
        <v>204.0</v>
      </c>
      <c r="D1038" s="31" t="s">
        <v>147</v>
      </c>
      <c r="E1038" s="20">
        <v>900.0</v>
      </c>
      <c r="F1038" s="5">
        <v>900.0</v>
      </c>
      <c r="G1038" s="6">
        <f t="shared" si="8"/>
        <v>0</v>
      </c>
    </row>
    <row r="1039" ht="14.25" customHeight="1">
      <c r="A1039" s="1"/>
      <c r="B1039" s="2"/>
      <c r="C1039" s="54">
        <v>209.0</v>
      </c>
      <c r="D1039" s="73" t="s">
        <v>191</v>
      </c>
      <c r="E1039" s="20">
        <v>8500.0</v>
      </c>
      <c r="F1039" s="5">
        <v>8500.0</v>
      </c>
      <c r="G1039" s="6">
        <f t="shared" si="8"/>
        <v>0</v>
      </c>
    </row>
    <row r="1040" ht="14.25" customHeight="1">
      <c r="A1040" s="1"/>
      <c r="B1040" s="2"/>
      <c r="C1040" s="54">
        <v>210.0</v>
      </c>
      <c r="D1040" s="73" t="s">
        <v>157</v>
      </c>
      <c r="E1040" s="20">
        <v>200.0</v>
      </c>
      <c r="F1040" s="5">
        <v>200.0</v>
      </c>
      <c r="G1040" s="6">
        <f t="shared" si="8"/>
        <v>0</v>
      </c>
    </row>
    <row r="1041" ht="14.25" customHeight="1">
      <c r="A1041" s="1"/>
      <c r="B1041" s="2"/>
      <c r="C1041" s="54" t="s">
        <v>103</v>
      </c>
      <c r="D1041" s="73" t="s">
        <v>104</v>
      </c>
      <c r="E1041" s="20">
        <v>500.0</v>
      </c>
      <c r="F1041" s="5">
        <v>500.0</v>
      </c>
      <c r="G1041" s="6">
        <f t="shared" si="8"/>
        <v>0</v>
      </c>
    </row>
    <row r="1042" ht="14.25" customHeight="1">
      <c r="A1042" s="1"/>
      <c r="B1042" s="2"/>
      <c r="C1042" s="54" t="s">
        <v>105</v>
      </c>
      <c r="D1042" s="73" t="s">
        <v>106</v>
      </c>
      <c r="E1042" s="20">
        <v>12000.0</v>
      </c>
      <c r="F1042" s="5">
        <v>12000.0</v>
      </c>
      <c r="G1042" s="6">
        <f t="shared" si="8"/>
        <v>0</v>
      </c>
    </row>
    <row r="1043" ht="14.25" customHeight="1">
      <c r="A1043" s="1"/>
      <c r="B1043" s="2"/>
      <c r="C1043" s="54" t="s">
        <v>113</v>
      </c>
      <c r="D1043" s="73" t="s">
        <v>114</v>
      </c>
      <c r="E1043" s="20">
        <v>4300.0</v>
      </c>
      <c r="F1043" s="5">
        <v>4300.0</v>
      </c>
      <c r="G1043" s="6">
        <f t="shared" si="8"/>
        <v>0</v>
      </c>
    </row>
    <row r="1044" ht="14.25" customHeight="1">
      <c r="A1044" s="1"/>
      <c r="B1044" s="2"/>
      <c r="C1044" s="54" t="s">
        <v>115</v>
      </c>
      <c r="D1044" s="73" t="s">
        <v>116</v>
      </c>
      <c r="E1044" s="20">
        <v>200.0</v>
      </c>
      <c r="F1044" s="5">
        <v>200.0</v>
      </c>
      <c r="G1044" s="6">
        <f t="shared" si="8"/>
        <v>0</v>
      </c>
    </row>
    <row r="1045" ht="14.25" customHeight="1">
      <c r="A1045" s="1"/>
      <c r="B1045" s="2"/>
      <c r="C1045" s="54">
        <v>224.0</v>
      </c>
      <c r="D1045" s="73" t="s">
        <v>119</v>
      </c>
      <c r="E1045" s="20">
        <v>2700.0</v>
      </c>
      <c r="F1045" s="5">
        <v>2700.0</v>
      </c>
      <c r="G1045" s="6">
        <f t="shared" si="8"/>
        <v>0</v>
      </c>
    </row>
    <row r="1046" ht="14.25" customHeight="1">
      <c r="A1046" s="1"/>
      <c r="B1046" s="2"/>
      <c r="C1046" s="54" t="s">
        <v>122</v>
      </c>
      <c r="D1046" s="73" t="s">
        <v>123</v>
      </c>
      <c r="E1046" s="20">
        <v>3300.0</v>
      </c>
      <c r="F1046" s="5">
        <v>3300.0</v>
      </c>
      <c r="G1046" s="6">
        <f t="shared" si="8"/>
        <v>0</v>
      </c>
    </row>
    <row r="1047" ht="14.25" customHeight="1">
      <c r="A1047" s="1"/>
      <c r="B1047" s="2"/>
      <c r="C1047" s="54" t="s">
        <v>124</v>
      </c>
      <c r="D1047" s="73" t="s">
        <v>125</v>
      </c>
      <c r="E1047" s="20">
        <v>32000.0</v>
      </c>
      <c r="F1047" s="5">
        <v>32000.0</v>
      </c>
      <c r="G1047" s="6">
        <f t="shared" si="8"/>
        <v>0</v>
      </c>
    </row>
    <row r="1048" ht="14.25" customHeight="1">
      <c r="A1048" s="1"/>
      <c r="B1048" s="2"/>
      <c r="C1048" s="54" t="s">
        <v>176</v>
      </c>
      <c r="D1048" s="31" t="s">
        <v>177</v>
      </c>
      <c r="E1048" s="20">
        <v>53800.0</v>
      </c>
      <c r="F1048" s="5">
        <f>30000+23800</f>
        <v>53800</v>
      </c>
      <c r="G1048" s="6">
        <f t="shared" si="8"/>
        <v>0</v>
      </c>
    </row>
    <row r="1049" ht="14.25" customHeight="1">
      <c r="A1049" s="1"/>
      <c r="B1049" s="2"/>
      <c r="C1049" s="54" t="s">
        <v>207</v>
      </c>
      <c r="D1049" s="31" t="s">
        <v>208</v>
      </c>
      <c r="E1049" s="90">
        <v>542000.0</v>
      </c>
      <c r="F1049" s="90">
        <v>460000.0</v>
      </c>
      <c r="G1049" s="6">
        <f t="shared" si="8"/>
        <v>-0.1512915129</v>
      </c>
    </row>
    <row r="1050" ht="14.25" customHeight="1">
      <c r="A1050" s="1"/>
      <c r="B1050" s="2"/>
      <c r="C1050" s="54" t="s">
        <v>128</v>
      </c>
      <c r="D1050" s="73" t="s">
        <v>129</v>
      </c>
      <c r="E1050" s="20">
        <v>72000.0</v>
      </c>
      <c r="F1050" s="5">
        <v>72000.0</v>
      </c>
      <c r="G1050" s="6">
        <f t="shared" si="8"/>
        <v>0</v>
      </c>
    </row>
    <row r="1051" ht="14.25" customHeight="1">
      <c r="A1051" s="1"/>
      <c r="B1051" s="2"/>
      <c r="C1051" s="54" t="s">
        <v>130</v>
      </c>
      <c r="D1051" s="73" t="s">
        <v>131</v>
      </c>
      <c r="E1051" s="20">
        <v>100.0</v>
      </c>
      <c r="F1051" s="5">
        <v>100.0</v>
      </c>
      <c r="G1051" s="6">
        <f t="shared" si="8"/>
        <v>0</v>
      </c>
    </row>
    <row r="1052" ht="14.25" customHeight="1">
      <c r="A1052" s="1"/>
      <c r="B1052" s="22">
        <v>3380.0</v>
      </c>
      <c r="E1052" s="53">
        <v>902500.0</v>
      </c>
      <c r="F1052" s="23">
        <f>SUM(F1037:F1051)</f>
        <v>820500</v>
      </c>
      <c r="G1052" s="6">
        <f t="shared" si="8"/>
        <v>-0.09085872576</v>
      </c>
    </row>
    <row r="1053" ht="14.25" customHeight="1">
      <c r="A1053" s="1"/>
      <c r="B1053" s="2"/>
      <c r="C1053" s="30"/>
      <c r="D1053" s="31"/>
      <c r="E1053" s="32"/>
      <c r="F1053" s="32"/>
      <c r="G1053" s="6" t="str">
        <f t="shared" si="8"/>
        <v/>
      </c>
    </row>
    <row r="1054" ht="14.25" customHeight="1">
      <c r="A1054" s="1"/>
      <c r="B1054" s="33">
        <v>3410.0</v>
      </c>
      <c r="C1054" s="34"/>
      <c r="D1054" s="35" t="s">
        <v>76</v>
      </c>
      <c r="E1054" s="36">
        <v>2024.0</v>
      </c>
      <c r="F1054" s="36">
        <v>2025.0</v>
      </c>
      <c r="G1054" s="6">
        <f t="shared" si="8"/>
        <v>0.0004940711462</v>
      </c>
    </row>
    <row r="1055" ht="14.25" customHeight="1">
      <c r="A1055" s="1"/>
      <c r="B1055" s="2"/>
      <c r="C1055" s="3">
        <v>203.0</v>
      </c>
      <c r="D1055" s="73" t="s">
        <v>97</v>
      </c>
      <c r="E1055" s="20">
        <v>20000.0</v>
      </c>
      <c r="F1055" s="5">
        <v>20000.0</v>
      </c>
      <c r="G1055" s="6">
        <f t="shared" si="8"/>
        <v>0</v>
      </c>
    </row>
    <row r="1056" ht="14.25" customHeight="1">
      <c r="A1056" s="1"/>
      <c r="B1056" s="2"/>
      <c r="C1056" s="54">
        <v>223.0</v>
      </c>
      <c r="D1056" s="31" t="s">
        <v>149</v>
      </c>
      <c r="E1056" s="20">
        <v>1300.0</v>
      </c>
      <c r="F1056" s="5">
        <v>1300.0</v>
      </c>
      <c r="G1056" s="6">
        <f t="shared" si="8"/>
        <v>0</v>
      </c>
    </row>
    <row r="1057" ht="14.25" customHeight="1">
      <c r="A1057" s="1"/>
      <c r="B1057" s="2"/>
      <c r="C1057" s="54" t="s">
        <v>122</v>
      </c>
      <c r="D1057" s="73" t="s">
        <v>123</v>
      </c>
      <c r="E1057" s="20">
        <v>2500.0</v>
      </c>
      <c r="F1057" s="5">
        <v>2500.0</v>
      </c>
      <c r="G1057" s="6">
        <f t="shared" si="8"/>
        <v>0</v>
      </c>
    </row>
    <row r="1058" ht="14.25" customHeight="1">
      <c r="A1058" s="1"/>
      <c r="B1058" s="2"/>
      <c r="C1058" s="54" t="s">
        <v>124</v>
      </c>
      <c r="D1058" s="73" t="s">
        <v>125</v>
      </c>
      <c r="E1058" s="20">
        <v>29000.0</v>
      </c>
      <c r="F1058" s="20">
        <v>40000.0</v>
      </c>
      <c r="G1058" s="6">
        <f t="shared" si="8"/>
        <v>0.3793103448</v>
      </c>
    </row>
    <row r="1059" ht="14.25" customHeight="1">
      <c r="A1059" s="1"/>
      <c r="B1059" s="2"/>
      <c r="C1059" s="54" t="s">
        <v>176</v>
      </c>
      <c r="D1059" s="31" t="s">
        <v>177</v>
      </c>
      <c r="E1059" s="90">
        <v>275000.0</v>
      </c>
      <c r="F1059" s="91">
        <v>275000.0</v>
      </c>
      <c r="G1059" s="6">
        <f t="shared" si="8"/>
        <v>0</v>
      </c>
    </row>
    <row r="1060" ht="14.25" customHeight="1">
      <c r="A1060" s="1"/>
      <c r="B1060" s="2"/>
      <c r="C1060" s="54" t="s">
        <v>128</v>
      </c>
      <c r="D1060" s="73" t="s">
        <v>129</v>
      </c>
      <c r="E1060" s="20">
        <v>30000.0</v>
      </c>
      <c r="F1060" s="5">
        <v>30000.0</v>
      </c>
      <c r="G1060" s="6">
        <f t="shared" si="8"/>
        <v>0</v>
      </c>
    </row>
    <row r="1061" ht="14.25" customHeight="1">
      <c r="A1061" s="1"/>
      <c r="B1061" s="2"/>
      <c r="C1061" s="54" t="s">
        <v>130</v>
      </c>
      <c r="D1061" s="73" t="s">
        <v>131</v>
      </c>
      <c r="E1061" s="20">
        <v>30000.0</v>
      </c>
      <c r="F1061" s="20">
        <v>40000.0</v>
      </c>
      <c r="G1061" s="6">
        <f t="shared" si="8"/>
        <v>0.3333333333</v>
      </c>
    </row>
    <row r="1062" ht="14.25" customHeight="1">
      <c r="A1062" s="1"/>
      <c r="B1062" s="22">
        <v>3410.0</v>
      </c>
      <c r="E1062" s="53">
        <v>387800.0</v>
      </c>
      <c r="F1062" s="23">
        <f>SUM(F1055:F1061)</f>
        <v>408800</v>
      </c>
      <c r="G1062" s="6">
        <f t="shared" si="8"/>
        <v>0.05415162455</v>
      </c>
    </row>
    <row r="1063" ht="14.25" customHeight="1">
      <c r="A1063" s="1"/>
      <c r="B1063" s="2"/>
      <c r="C1063" s="3"/>
      <c r="D1063" s="4"/>
      <c r="E1063" s="5"/>
      <c r="F1063" s="5"/>
      <c r="G1063" s="6" t="str">
        <f t="shared" si="8"/>
        <v/>
      </c>
    </row>
    <row r="1064" ht="14.25" customHeight="1">
      <c r="A1064" s="1"/>
      <c r="B1064" s="33">
        <v>3420.0</v>
      </c>
      <c r="C1064" s="34"/>
      <c r="D1064" s="35" t="s">
        <v>77</v>
      </c>
      <c r="E1064" s="36">
        <v>2024.0</v>
      </c>
      <c r="F1064" s="36">
        <v>2025.0</v>
      </c>
      <c r="G1064" s="6">
        <f t="shared" si="8"/>
        <v>0.0004940711462</v>
      </c>
    </row>
    <row r="1065" ht="14.25" customHeight="1">
      <c r="A1065" s="1"/>
      <c r="B1065" s="2"/>
      <c r="C1065" s="54">
        <v>202.0</v>
      </c>
      <c r="D1065" s="73" t="s">
        <v>181</v>
      </c>
      <c r="E1065" s="20">
        <v>500.0</v>
      </c>
      <c r="F1065" s="5">
        <v>500.0</v>
      </c>
      <c r="G1065" s="6">
        <f t="shared" si="8"/>
        <v>0</v>
      </c>
    </row>
    <row r="1066" ht="14.25" customHeight="1">
      <c r="A1066" s="1"/>
      <c r="B1066" s="2"/>
      <c r="C1066" s="3">
        <v>203.0</v>
      </c>
      <c r="D1066" s="73" t="s">
        <v>97</v>
      </c>
      <c r="E1066" s="20">
        <v>3800.0</v>
      </c>
      <c r="F1066" s="5">
        <v>3800.0</v>
      </c>
      <c r="G1066" s="6">
        <f t="shared" si="8"/>
        <v>0</v>
      </c>
    </row>
    <row r="1067" ht="14.25" customHeight="1">
      <c r="A1067" s="1"/>
      <c r="B1067" s="2"/>
      <c r="C1067" s="54">
        <v>210.0</v>
      </c>
      <c r="D1067" s="73" t="s">
        <v>157</v>
      </c>
      <c r="E1067" s="20">
        <v>71500.0</v>
      </c>
      <c r="F1067" s="5">
        <f>50000</f>
        <v>50000</v>
      </c>
      <c r="G1067" s="6">
        <f t="shared" si="8"/>
        <v>-0.3006993007</v>
      </c>
    </row>
    <row r="1068" ht="14.25" customHeight="1">
      <c r="A1068" s="1"/>
      <c r="B1068" s="2"/>
      <c r="C1068" s="54">
        <v>212.0</v>
      </c>
      <c r="D1068" s="73" t="s">
        <v>98</v>
      </c>
      <c r="E1068" s="20">
        <v>174000.0</v>
      </c>
      <c r="F1068" s="5">
        <v>174000.0</v>
      </c>
      <c r="G1068" s="6">
        <f t="shared" si="8"/>
        <v>0</v>
      </c>
    </row>
    <row r="1069" ht="14.25" customHeight="1">
      <c r="A1069" s="1"/>
      <c r="B1069" s="2"/>
      <c r="C1069" s="54">
        <v>213.0</v>
      </c>
      <c r="D1069" s="73" t="s">
        <v>99</v>
      </c>
      <c r="E1069" s="20">
        <v>5000.0</v>
      </c>
      <c r="F1069" s="5">
        <v>5000.0</v>
      </c>
      <c r="G1069" s="6">
        <f t="shared" si="8"/>
        <v>0</v>
      </c>
    </row>
    <row r="1070" ht="14.25" customHeight="1">
      <c r="A1070" s="1"/>
      <c r="B1070" s="2"/>
      <c r="C1070" s="54">
        <v>214.0</v>
      </c>
      <c r="D1070" s="73" t="s">
        <v>100</v>
      </c>
      <c r="E1070" s="20">
        <v>1000.0</v>
      </c>
      <c r="F1070" s="5">
        <v>1000.0</v>
      </c>
      <c r="G1070" s="6">
        <f t="shared" si="8"/>
        <v>0</v>
      </c>
    </row>
    <row r="1071" ht="14.25" customHeight="1">
      <c r="A1071" s="1"/>
      <c r="B1071" s="2"/>
      <c r="C1071" s="54" t="s">
        <v>103</v>
      </c>
      <c r="D1071" s="73" t="s">
        <v>104</v>
      </c>
      <c r="E1071" s="20">
        <v>5500.0</v>
      </c>
      <c r="F1071" s="5">
        <v>5500.0</v>
      </c>
      <c r="G1071" s="6">
        <f t="shared" si="8"/>
        <v>0</v>
      </c>
    </row>
    <row r="1072" ht="14.25" customHeight="1">
      <c r="A1072" s="1"/>
      <c r="B1072" s="2"/>
      <c r="C1072" s="54" t="s">
        <v>164</v>
      </c>
      <c r="D1072" s="73" t="s">
        <v>165</v>
      </c>
      <c r="E1072" s="20">
        <v>1000.0</v>
      </c>
      <c r="F1072" s="5">
        <v>1000.0</v>
      </c>
      <c r="G1072" s="6">
        <f t="shared" si="8"/>
        <v>0</v>
      </c>
    </row>
    <row r="1073" ht="14.25" customHeight="1">
      <c r="A1073" s="1"/>
      <c r="B1073" s="2"/>
      <c r="C1073" s="54" t="s">
        <v>105</v>
      </c>
      <c r="D1073" s="73" t="s">
        <v>137</v>
      </c>
      <c r="E1073" s="20">
        <v>48000.0</v>
      </c>
      <c r="F1073" s="20">
        <v>55000.0</v>
      </c>
      <c r="G1073" s="6">
        <f t="shared" si="8"/>
        <v>0.1458333333</v>
      </c>
    </row>
    <row r="1074" ht="14.25" customHeight="1">
      <c r="A1074" s="1"/>
      <c r="B1074" s="2"/>
      <c r="C1074" s="54" t="s">
        <v>107</v>
      </c>
      <c r="D1074" s="73" t="s">
        <v>108</v>
      </c>
      <c r="E1074" s="20">
        <v>40000.0</v>
      </c>
      <c r="F1074" s="20">
        <v>30000.0</v>
      </c>
      <c r="G1074" s="6">
        <f t="shared" si="8"/>
        <v>-0.25</v>
      </c>
    </row>
    <row r="1075" ht="14.25" customHeight="1">
      <c r="A1075" s="1"/>
      <c r="B1075" s="2"/>
      <c r="C1075" s="54" t="s">
        <v>185</v>
      </c>
      <c r="D1075" s="73" t="s">
        <v>204</v>
      </c>
      <c r="E1075" s="20">
        <v>20000.0</v>
      </c>
      <c r="F1075" s="20">
        <v>30000.0</v>
      </c>
      <c r="G1075" s="6">
        <f t="shared" si="8"/>
        <v>0.5</v>
      </c>
    </row>
    <row r="1076" ht="14.25" customHeight="1">
      <c r="A1076" s="1"/>
      <c r="B1076" s="2"/>
      <c r="C1076" s="54" t="s">
        <v>109</v>
      </c>
      <c r="D1076" s="31" t="s">
        <v>110</v>
      </c>
      <c r="E1076" s="20">
        <v>3500.0</v>
      </c>
      <c r="F1076" s="20">
        <v>10000.0</v>
      </c>
      <c r="G1076" s="6">
        <f t="shared" si="8"/>
        <v>1.857142857</v>
      </c>
    </row>
    <row r="1077" ht="14.25" customHeight="1">
      <c r="A1077" s="1"/>
      <c r="B1077" s="2"/>
      <c r="C1077" s="54" t="s">
        <v>111</v>
      </c>
      <c r="D1077" s="73" t="s">
        <v>112</v>
      </c>
      <c r="E1077" s="20">
        <v>2600.0</v>
      </c>
      <c r="F1077" s="5">
        <v>2600.0</v>
      </c>
      <c r="G1077" s="6">
        <f t="shared" si="8"/>
        <v>0</v>
      </c>
    </row>
    <row r="1078" ht="14.25" customHeight="1">
      <c r="A1078" s="1"/>
      <c r="B1078" s="2"/>
      <c r="C1078" s="54" t="s">
        <v>113</v>
      </c>
      <c r="D1078" s="73" t="s">
        <v>114</v>
      </c>
      <c r="E1078" s="20">
        <v>25000.0</v>
      </c>
      <c r="F1078" s="20">
        <v>12000.0</v>
      </c>
      <c r="G1078" s="6">
        <f t="shared" si="8"/>
        <v>-0.52</v>
      </c>
    </row>
    <row r="1079" ht="14.25" customHeight="1">
      <c r="A1079" s="1"/>
      <c r="B1079" s="2"/>
      <c r="C1079" s="54" t="s">
        <v>115</v>
      </c>
      <c r="D1079" s="73" t="s">
        <v>116</v>
      </c>
      <c r="E1079" s="20">
        <v>2800.0</v>
      </c>
      <c r="F1079" s="5">
        <v>2800.0</v>
      </c>
      <c r="G1079" s="6">
        <f t="shared" si="8"/>
        <v>0</v>
      </c>
    </row>
    <row r="1080" ht="14.25" customHeight="1">
      <c r="A1080" s="1"/>
      <c r="B1080" s="2"/>
      <c r="C1080" s="54">
        <v>224.0</v>
      </c>
      <c r="D1080" s="73" t="s">
        <v>119</v>
      </c>
      <c r="E1080" s="20">
        <v>800.0</v>
      </c>
      <c r="F1080" s="5">
        <v>800.0</v>
      </c>
      <c r="G1080" s="6">
        <f t="shared" si="8"/>
        <v>0</v>
      </c>
    </row>
    <row r="1081" ht="14.25" customHeight="1">
      <c r="A1081" s="1"/>
      <c r="B1081" s="2"/>
      <c r="C1081" s="54" t="s">
        <v>120</v>
      </c>
      <c r="D1081" s="31" t="s">
        <v>121</v>
      </c>
      <c r="E1081" s="20">
        <v>500.0</v>
      </c>
      <c r="F1081" s="5">
        <v>500.0</v>
      </c>
      <c r="G1081" s="6">
        <f t="shared" si="8"/>
        <v>0</v>
      </c>
    </row>
    <row r="1082" ht="14.25" customHeight="1">
      <c r="A1082" s="1"/>
      <c r="B1082" s="2"/>
      <c r="C1082" s="54" t="s">
        <v>126</v>
      </c>
      <c r="D1082" s="73" t="s">
        <v>127</v>
      </c>
      <c r="E1082" s="20">
        <v>10.0</v>
      </c>
      <c r="F1082" s="5">
        <v>10.0</v>
      </c>
      <c r="G1082" s="6">
        <f t="shared" si="8"/>
        <v>0</v>
      </c>
    </row>
    <row r="1083" ht="14.25" customHeight="1">
      <c r="A1083" s="1"/>
      <c r="B1083" s="2"/>
      <c r="C1083" s="54" t="s">
        <v>128</v>
      </c>
      <c r="D1083" s="73" t="s">
        <v>129</v>
      </c>
      <c r="E1083" s="20">
        <v>1800.0</v>
      </c>
      <c r="F1083" s="5">
        <v>1800.0</v>
      </c>
      <c r="G1083" s="6">
        <f t="shared" si="8"/>
        <v>0</v>
      </c>
    </row>
    <row r="1084" ht="14.25" customHeight="1">
      <c r="A1084" s="1"/>
      <c r="B1084" s="2"/>
      <c r="C1084" s="54" t="s">
        <v>130</v>
      </c>
      <c r="D1084" s="73" t="s">
        <v>131</v>
      </c>
      <c r="E1084" s="20">
        <v>70000.0</v>
      </c>
      <c r="F1084" s="20">
        <v>515000.0</v>
      </c>
      <c r="G1084" s="6">
        <f t="shared" si="8"/>
        <v>6.357142857</v>
      </c>
    </row>
    <row r="1085" ht="14.25" customHeight="1">
      <c r="A1085" s="1"/>
      <c r="B1085" s="2"/>
      <c r="C1085" s="54" t="s">
        <v>132</v>
      </c>
      <c r="D1085" s="73" t="s">
        <v>133</v>
      </c>
      <c r="E1085" s="20">
        <v>500.0</v>
      </c>
      <c r="F1085" s="5">
        <v>500.0</v>
      </c>
      <c r="G1085" s="6">
        <f t="shared" si="8"/>
        <v>0</v>
      </c>
    </row>
    <row r="1086" ht="14.25" customHeight="1">
      <c r="A1086" s="1"/>
      <c r="B1086" s="22">
        <v>3420.0</v>
      </c>
      <c r="E1086" s="53">
        <v>477810.0</v>
      </c>
      <c r="F1086" s="23">
        <f>SUM(F1065:F1085)</f>
        <v>901810</v>
      </c>
      <c r="G1086" s="6">
        <f t="shared" si="8"/>
        <v>0.8873820138</v>
      </c>
    </row>
    <row r="1087" ht="14.25" customHeight="1">
      <c r="A1087" s="1"/>
      <c r="B1087" s="2"/>
      <c r="C1087" s="30"/>
      <c r="D1087" s="31"/>
      <c r="E1087" s="5"/>
      <c r="F1087" s="5"/>
      <c r="G1087" s="6" t="str">
        <f t="shared" si="8"/>
        <v/>
      </c>
    </row>
    <row r="1088" ht="14.25" customHeight="1">
      <c r="A1088" s="1"/>
      <c r="B1088" s="33">
        <v>4220.0</v>
      </c>
      <c r="C1088" s="34"/>
      <c r="D1088" s="36" t="s">
        <v>209</v>
      </c>
      <c r="E1088" s="36">
        <v>2024.0</v>
      </c>
      <c r="F1088" s="36">
        <v>2025.0</v>
      </c>
      <c r="G1088" s="6">
        <f t="shared" si="8"/>
        <v>0.0004940711462</v>
      </c>
    </row>
    <row r="1089" ht="14.25" customHeight="1">
      <c r="A1089" s="1"/>
      <c r="B1089" s="2"/>
      <c r="C1089" s="54" t="s">
        <v>128</v>
      </c>
      <c r="D1089" s="73" t="s">
        <v>129</v>
      </c>
      <c r="E1089" s="20">
        <v>100000.0</v>
      </c>
      <c r="F1089" s="20">
        <v>50000.0</v>
      </c>
      <c r="G1089" s="6">
        <f t="shared" si="8"/>
        <v>-0.5</v>
      </c>
    </row>
    <row r="1090" ht="14.25" customHeight="1">
      <c r="A1090" s="1"/>
      <c r="B1090" s="52">
        <v>4220.0</v>
      </c>
      <c r="E1090" s="53">
        <v>100000.0</v>
      </c>
      <c r="F1090" s="23">
        <f>SUM(F1089)</f>
        <v>50000</v>
      </c>
      <c r="G1090" s="6">
        <f t="shared" si="8"/>
        <v>-0.5</v>
      </c>
    </row>
    <row r="1091" ht="14.25" customHeight="1">
      <c r="A1091" s="1"/>
      <c r="B1091" s="2"/>
      <c r="C1091" s="54"/>
      <c r="D1091" s="73"/>
      <c r="E1091" s="5"/>
      <c r="F1091" s="5"/>
      <c r="G1091" s="6" t="str">
        <f t="shared" si="8"/>
        <v/>
      </c>
    </row>
    <row r="1092" ht="14.25" customHeight="1">
      <c r="A1092" s="1"/>
      <c r="B1092" s="33">
        <v>4310.0</v>
      </c>
      <c r="C1092" s="34"/>
      <c r="D1092" s="35" t="s">
        <v>210</v>
      </c>
      <c r="E1092" s="36">
        <v>2024.0</v>
      </c>
      <c r="F1092" s="36">
        <v>2025.0</v>
      </c>
      <c r="G1092" s="6">
        <f t="shared" si="8"/>
        <v>0.0004940711462</v>
      </c>
    </row>
    <row r="1093" ht="14.25" customHeight="1">
      <c r="A1093" s="1"/>
      <c r="B1093" s="2"/>
      <c r="C1093" s="3">
        <v>203.0</v>
      </c>
      <c r="D1093" s="73" t="s">
        <v>97</v>
      </c>
      <c r="E1093" s="20">
        <v>1300.0</v>
      </c>
      <c r="F1093" s="5">
        <v>1300.0</v>
      </c>
      <c r="G1093" s="6">
        <f t="shared" si="8"/>
        <v>0</v>
      </c>
    </row>
    <row r="1094" ht="14.25" customHeight="1">
      <c r="A1094" s="76"/>
      <c r="B1094" s="76"/>
      <c r="C1094" s="78" t="s">
        <v>124</v>
      </c>
      <c r="D1094" s="79" t="s">
        <v>211</v>
      </c>
      <c r="E1094" s="84">
        <v>3000.0</v>
      </c>
      <c r="F1094" s="84">
        <v>6000.0</v>
      </c>
      <c r="G1094" s="6">
        <f t="shared" si="8"/>
        <v>1</v>
      </c>
      <c r="H1094" s="82"/>
      <c r="I1094" s="82"/>
      <c r="J1094" s="82"/>
      <c r="K1094" s="82"/>
    </row>
    <row r="1095" ht="14.25" customHeight="1">
      <c r="A1095" s="1"/>
      <c r="B1095" s="2"/>
      <c r="C1095" s="54" t="s">
        <v>126</v>
      </c>
      <c r="D1095" s="73" t="s">
        <v>127</v>
      </c>
      <c r="E1095" s="20">
        <v>200.0</v>
      </c>
      <c r="F1095" s="5">
        <v>200.0</v>
      </c>
      <c r="G1095" s="6">
        <f t="shared" si="8"/>
        <v>0</v>
      </c>
    </row>
    <row r="1096" ht="14.25" customHeight="1">
      <c r="A1096" s="1"/>
      <c r="B1096" s="2"/>
      <c r="C1096" s="54" t="s">
        <v>128</v>
      </c>
      <c r="D1096" s="73" t="s">
        <v>129</v>
      </c>
      <c r="E1096" s="20">
        <v>44500.0</v>
      </c>
      <c r="F1096" s="20">
        <v>24500.0</v>
      </c>
      <c r="G1096" s="6">
        <f t="shared" si="8"/>
        <v>-0.4494382022</v>
      </c>
    </row>
    <row r="1097" ht="14.25" customHeight="1">
      <c r="A1097" s="1"/>
      <c r="B1097" s="22">
        <v>4310.0</v>
      </c>
      <c r="E1097" s="53">
        <v>49000.0</v>
      </c>
      <c r="F1097" s="23">
        <f>SUM(F1093:F1096)</f>
        <v>32000</v>
      </c>
      <c r="G1097" s="6">
        <f t="shared" si="8"/>
        <v>-0.3469387755</v>
      </c>
    </row>
    <row r="1098" ht="14.25" customHeight="1">
      <c r="A1098" s="1"/>
      <c r="B1098" s="2"/>
      <c r="C1098" s="30"/>
      <c r="D1098" s="31"/>
      <c r="E1098" s="5"/>
      <c r="F1098" s="5"/>
      <c r="G1098" s="6" t="str">
        <f t="shared" si="8"/>
        <v/>
      </c>
    </row>
    <row r="1099" ht="14.25" customHeight="1">
      <c r="A1099" s="1"/>
      <c r="B1099" s="33">
        <v>4311.0</v>
      </c>
      <c r="C1099" s="34"/>
      <c r="D1099" s="35" t="s">
        <v>212</v>
      </c>
      <c r="E1099" s="36">
        <v>2024.0</v>
      </c>
      <c r="F1099" s="36">
        <v>2025.0</v>
      </c>
      <c r="G1099" s="6">
        <f t="shared" si="8"/>
        <v>0.0004940711462</v>
      </c>
    </row>
    <row r="1100" ht="14.25" customHeight="1">
      <c r="A1100" s="1"/>
      <c r="B1100" s="2"/>
      <c r="C1100" s="3">
        <v>203.0</v>
      </c>
      <c r="D1100" s="73" t="s">
        <v>97</v>
      </c>
      <c r="E1100" s="20">
        <v>0.0</v>
      </c>
      <c r="F1100" s="20">
        <v>25000.0</v>
      </c>
      <c r="G1100" s="6"/>
    </row>
    <row r="1101" ht="14.25" customHeight="1">
      <c r="A1101" s="1"/>
      <c r="B1101" s="2"/>
      <c r="C1101" s="54" t="s">
        <v>128</v>
      </c>
      <c r="D1101" s="73" t="s">
        <v>129</v>
      </c>
      <c r="E1101" s="20">
        <v>150000.0</v>
      </c>
      <c r="F1101" s="20">
        <v>75000.0</v>
      </c>
      <c r="G1101" s="6">
        <f t="shared" ref="G1101:G1115" si="9">IFERROR(((F1101-E1101)/E1101), "")</f>
        <v>-0.5</v>
      </c>
    </row>
    <row r="1102" ht="14.25" customHeight="1">
      <c r="A1102" s="1"/>
      <c r="B1102" s="22">
        <v>4311.0</v>
      </c>
      <c r="E1102" s="53">
        <v>150000.0</v>
      </c>
      <c r="F1102" s="23">
        <f>SUM(F1100:F1101)</f>
        <v>100000</v>
      </c>
      <c r="G1102" s="6">
        <f t="shared" si="9"/>
        <v>-0.3333333333</v>
      </c>
    </row>
    <row r="1103" ht="14.25" customHeight="1">
      <c r="A1103" s="1"/>
      <c r="B1103" s="2"/>
      <c r="C1103" s="3"/>
      <c r="D1103" s="4"/>
      <c r="E1103" s="5"/>
      <c r="F1103" s="5"/>
      <c r="G1103" s="6" t="str">
        <f t="shared" si="9"/>
        <v/>
      </c>
    </row>
    <row r="1104" ht="14.25" customHeight="1">
      <c r="A1104" s="1"/>
      <c r="B1104" s="33">
        <v>4320.0</v>
      </c>
      <c r="C1104" s="34"/>
      <c r="D1104" s="35" t="s">
        <v>78</v>
      </c>
      <c r="E1104" s="36">
        <v>2024.0</v>
      </c>
      <c r="F1104" s="36">
        <v>2025.0</v>
      </c>
      <c r="G1104" s="6">
        <f t="shared" si="9"/>
        <v>0.0004940711462</v>
      </c>
    </row>
    <row r="1105" ht="14.25" customHeight="1">
      <c r="A1105" s="1"/>
      <c r="B1105" s="2"/>
      <c r="C1105" s="54">
        <v>202.0</v>
      </c>
      <c r="D1105" s="73" t="s">
        <v>181</v>
      </c>
      <c r="E1105" s="20">
        <v>6000.0</v>
      </c>
      <c r="F1105" s="5">
        <v>6000.0</v>
      </c>
      <c r="G1105" s="6">
        <f t="shared" si="9"/>
        <v>0</v>
      </c>
    </row>
    <row r="1106" ht="14.25" customHeight="1">
      <c r="A1106" s="1"/>
      <c r="B1106" s="2"/>
      <c r="C1106" s="3">
        <v>203.0</v>
      </c>
      <c r="D1106" s="73" t="s">
        <v>97</v>
      </c>
      <c r="E1106" s="20">
        <v>3800.0</v>
      </c>
      <c r="F1106" s="20">
        <v>18000.0</v>
      </c>
      <c r="G1106" s="6">
        <f t="shared" si="9"/>
        <v>3.736842105</v>
      </c>
    </row>
    <row r="1107" ht="14.25" customHeight="1">
      <c r="A1107" s="1"/>
      <c r="B1107" s="2"/>
      <c r="C1107" s="54">
        <v>212.0</v>
      </c>
      <c r="D1107" s="73" t="s">
        <v>98</v>
      </c>
      <c r="E1107" s="20">
        <v>6700.0</v>
      </c>
      <c r="F1107" s="5">
        <v>6700.0</v>
      </c>
      <c r="G1107" s="6">
        <f t="shared" si="9"/>
        <v>0</v>
      </c>
    </row>
    <row r="1108" ht="14.25" customHeight="1">
      <c r="A1108" s="1"/>
      <c r="B1108" s="2"/>
      <c r="C1108" s="54">
        <v>213.0</v>
      </c>
      <c r="D1108" s="73" t="s">
        <v>99</v>
      </c>
      <c r="E1108" s="20">
        <v>3000.0</v>
      </c>
      <c r="F1108" s="20">
        <v>10000.0</v>
      </c>
      <c r="G1108" s="6">
        <f t="shared" si="9"/>
        <v>2.333333333</v>
      </c>
    </row>
    <row r="1109" ht="14.25" customHeight="1">
      <c r="A1109" s="1"/>
      <c r="B1109" s="2"/>
      <c r="C1109" s="54" t="s">
        <v>103</v>
      </c>
      <c r="D1109" s="73" t="s">
        <v>104</v>
      </c>
      <c r="E1109" s="20">
        <v>500.0</v>
      </c>
      <c r="F1109" s="5">
        <v>500.0</v>
      </c>
      <c r="G1109" s="6">
        <f t="shared" si="9"/>
        <v>0</v>
      </c>
    </row>
    <row r="1110" ht="14.25" customHeight="1">
      <c r="A1110" s="1"/>
      <c r="B1110" s="2"/>
      <c r="C1110" s="54" t="s">
        <v>105</v>
      </c>
      <c r="D1110" s="73" t="s">
        <v>137</v>
      </c>
      <c r="E1110" s="20">
        <v>1000.0</v>
      </c>
      <c r="F1110" s="5">
        <v>1000.0</v>
      </c>
      <c r="G1110" s="6">
        <f t="shared" si="9"/>
        <v>0</v>
      </c>
    </row>
    <row r="1111" ht="14.25" customHeight="1">
      <c r="A1111" s="1"/>
      <c r="B1111" s="2"/>
      <c r="C1111" s="54" t="s">
        <v>113</v>
      </c>
      <c r="D1111" s="73" t="s">
        <v>114</v>
      </c>
      <c r="E1111" s="20">
        <v>2000.0</v>
      </c>
      <c r="F1111" s="5">
        <v>2000.0</v>
      </c>
      <c r="G1111" s="6">
        <f t="shared" si="9"/>
        <v>0</v>
      </c>
    </row>
    <row r="1112" ht="14.25" customHeight="1">
      <c r="A1112" s="1"/>
      <c r="B1112" s="2"/>
      <c r="C1112" s="54" t="s">
        <v>115</v>
      </c>
      <c r="D1112" s="31" t="s">
        <v>116</v>
      </c>
      <c r="E1112" s="20">
        <v>500.0</v>
      </c>
      <c r="F1112" s="5">
        <v>500.0</v>
      </c>
      <c r="G1112" s="6">
        <f t="shared" si="9"/>
        <v>0</v>
      </c>
    </row>
    <row r="1113" ht="14.25" customHeight="1">
      <c r="A1113" s="1"/>
      <c r="B1113" s="2"/>
      <c r="C1113" s="54">
        <v>224.0</v>
      </c>
      <c r="D1113" s="73" t="s">
        <v>119</v>
      </c>
      <c r="E1113" s="20">
        <v>1200.0</v>
      </c>
      <c r="F1113" s="5">
        <v>1200.0</v>
      </c>
      <c r="G1113" s="6">
        <f t="shared" si="9"/>
        <v>0</v>
      </c>
    </row>
    <row r="1114" ht="14.25" customHeight="1">
      <c r="A1114" s="1"/>
      <c r="B1114" s="2"/>
      <c r="C1114" s="54" t="s">
        <v>122</v>
      </c>
      <c r="D1114" s="31" t="s">
        <v>123</v>
      </c>
      <c r="E1114" s="20">
        <v>1600.0</v>
      </c>
      <c r="F1114" s="5">
        <v>1600.0</v>
      </c>
      <c r="G1114" s="6">
        <f t="shared" si="9"/>
        <v>0</v>
      </c>
    </row>
    <row r="1115" ht="14.25" customHeight="1">
      <c r="A1115" s="1"/>
      <c r="B1115" s="2"/>
      <c r="C1115" s="54" t="s">
        <v>124</v>
      </c>
      <c r="D1115" s="73" t="s">
        <v>211</v>
      </c>
      <c r="E1115" s="20">
        <v>200000.0</v>
      </c>
      <c r="F1115" s="20">
        <v>75000.0</v>
      </c>
      <c r="G1115" s="6">
        <f t="shared" si="9"/>
        <v>-0.625</v>
      </c>
    </row>
    <row r="1116" ht="14.25" customHeight="1">
      <c r="A1116" s="1"/>
      <c r="B1116" s="2"/>
      <c r="C1116" s="83" t="s">
        <v>176</v>
      </c>
      <c r="D1116" s="73" t="s">
        <v>177</v>
      </c>
      <c r="E1116" s="20">
        <v>0.0</v>
      </c>
      <c r="F1116" s="20">
        <v>10000.0</v>
      </c>
      <c r="G1116" s="6"/>
    </row>
    <row r="1117" ht="14.25" customHeight="1">
      <c r="A1117" s="1"/>
      <c r="B1117" s="2"/>
      <c r="C1117" s="54" t="s">
        <v>128</v>
      </c>
      <c r="D1117" s="73" t="s">
        <v>213</v>
      </c>
      <c r="E1117" s="20">
        <v>220000.0</v>
      </c>
      <c r="F1117" s="20">
        <v>120000.0</v>
      </c>
      <c r="G1117" s="6">
        <f t="shared" ref="G1117:G1143" si="10">IFERROR(((F1117-E1117)/E1117), "")</f>
        <v>-0.4545454545</v>
      </c>
    </row>
    <row r="1118" ht="14.25" customHeight="1">
      <c r="A1118" s="1"/>
      <c r="B1118" s="2"/>
      <c r="C1118" s="54" t="s">
        <v>142</v>
      </c>
      <c r="D1118" s="73" t="s">
        <v>214</v>
      </c>
      <c r="E1118" s="20">
        <v>16000.0</v>
      </c>
      <c r="F1118" s="20">
        <v>30000.0</v>
      </c>
      <c r="G1118" s="6">
        <f t="shared" si="10"/>
        <v>0.875</v>
      </c>
    </row>
    <row r="1119" ht="14.25" customHeight="1">
      <c r="A1119" s="1"/>
      <c r="B1119" s="2"/>
      <c r="C1119" s="54" t="s">
        <v>132</v>
      </c>
      <c r="D1119" s="73" t="s">
        <v>133</v>
      </c>
      <c r="E1119" s="20">
        <v>1500.0</v>
      </c>
      <c r="F1119" s="5">
        <v>1500.0</v>
      </c>
      <c r="G1119" s="6">
        <f t="shared" si="10"/>
        <v>0</v>
      </c>
    </row>
    <row r="1120" ht="14.25" customHeight="1">
      <c r="A1120" s="1"/>
      <c r="B1120" s="22">
        <v>4320.0</v>
      </c>
      <c r="E1120" s="53">
        <v>463800.0</v>
      </c>
      <c r="F1120" s="23">
        <f>SUM(F1105:F1119)</f>
        <v>284000</v>
      </c>
      <c r="G1120" s="6">
        <f t="shared" si="10"/>
        <v>-0.3876670979</v>
      </c>
    </row>
    <row r="1121" ht="14.25" customHeight="1">
      <c r="A1121" s="1"/>
      <c r="B1121" s="2"/>
      <c r="C1121" s="3"/>
      <c r="D1121" s="4"/>
      <c r="E1121" s="5"/>
      <c r="F1121" s="5"/>
      <c r="G1121" s="6" t="str">
        <f t="shared" si="10"/>
        <v/>
      </c>
    </row>
    <row r="1122" ht="14.25" customHeight="1">
      <c r="A1122" s="1"/>
      <c r="B1122" s="33">
        <v>4321.0</v>
      </c>
      <c r="C1122" s="34"/>
      <c r="D1122" s="35" t="s">
        <v>215</v>
      </c>
      <c r="E1122" s="36">
        <v>2024.0</v>
      </c>
      <c r="F1122" s="36">
        <v>2025.0</v>
      </c>
      <c r="G1122" s="6">
        <f t="shared" si="10"/>
        <v>0.0004940711462</v>
      </c>
    </row>
    <row r="1123" ht="14.25" customHeight="1">
      <c r="A1123" s="1"/>
      <c r="B1123" s="2"/>
      <c r="C1123" s="54" t="s">
        <v>122</v>
      </c>
      <c r="D1123" s="31" t="s">
        <v>123</v>
      </c>
      <c r="E1123" s="20">
        <v>5000.0</v>
      </c>
      <c r="F1123" s="5">
        <v>5000.0</v>
      </c>
      <c r="G1123" s="6">
        <f t="shared" si="10"/>
        <v>0</v>
      </c>
    </row>
    <row r="1124" ht="14.25" customHeight="1">
      <c r="A1124" s="1"/>
      <c r="B1124" s="2"/>
      <c r="C1124" s="54" t="s">
        <v>124</v>
      </c>
      <c r="D1124" s="73" t="s">
        <v>125</v>
      </c>
      <c r="E1124" s="20">
        <v>200.0</v>
      </c>
      <c r="F1124" s="5">
        <v>200.0</v>
      </c>
      <c r="G1124" s="6">
        <f t="shared" si="10"/>
        <v>0</v>
      </c>
    </row>
    <row r="1125" ht="14.25" customHeight="1">
      <c r="A1125" s="1"/>
      <c r="B1125" s="2"/>
      <c r="C1125" s="54" t="s">
        <v>176</v>
      </c>
      <c r="D1125" s="31" t="s">
        <v>177</v>
      </c>
      <c r="E1125" s="20">
        <v>28500.0</v>
      </c>
      <c r="F1125" s="20">
        <v>23500.0</v>
      </c>
      <c r="G1125" s="6">
        <f t="shared" si="10"/>
        <v>-0.1754385965</v>
      </c>
    </row>
    <row r="1126" ht="14.25" customHeight="1">
      <c r="A1126" s="1"/>
      <c r="B1126" s="2"/>
      <c r="C1126" s="54" t="s">
        <v>128</v>
      </c>
      <c r="D1126" s="73" t="s">
        <v>129</v>
      </c>
      <c r="E1126" s="20">
        <v>10000.0</v>
      </c>
      <c r="F1126" s="5">
        <v>10000.0</v>
      </c>
      <c r="G1126" s="6">
        <f t="shared" si="10"/>
        <v>0</v>
      </c>
    </row>
    <row r="1127" ht="14.25" customHeight="1">
      <c r="A1127" s="1"/>
      <c r="B1127" s="22">
        <v>4321.0</v>
      </c>
      <c r="E1127" s="53">
        <v>43700.0</v>
      </c>
      <c r="F1127" s="23">
        <f>SUM(F1123:F1126)</f>
        <v>38700</v>
      </c>
      <c r="G1127" s="6">
        <f t="shared" si="10"/>
        <v>-0.114416476</v>
      </c>
    </row>
    <row r="1128" ht="14.25" customHeight="1">
      <c r="A1128" s="1"/>
      <c r="B1128" s="2"/>
      <c r="C1128" s="3"/>
      <c r="D1128" s="4"/>
      <c r="E1128" s="5"/>
      <c r="F1128" s="5"/>
      <c r="G1128" s="6" t="str">
        <f t="shared" si="10"/>
        <v/>
      </c>
    </row>
    <row r="1129" ht="14.25" customHeight="1">
      <c r="A1129" s="1"/>
      <c r="B1129" s="33">
        <v>4330.0</v>
      </c>
      <c r="C1129" s="34"/>
      <c r="D1129" s="35" t="s">
        <v>79</v>
      </c>
      <c r="E1129" s="36">
        <v>2024.0</v>
      </c>
      <c r="F1129" s="36">
        <v>2025.0</v>
      </c>
      <c r="G1129" s="6">
        <f t="shared" si="10"/>
        <v>0.0004940711462</v>
      </c>
    </row>
    <row r="1130" ht="14.25" customHeight="1">
      <c r="A1130" s="1"/>
      <c r="B1130" s="2"/>
      <c r="C1130" s="3">
        <v>203.0</v>
      </c>
      <c r="D1130" s="73" t="s">
        <v>97</v>
      </c>
      <c r="E1130" s="20">
        <v>39000.0</v>
      </c>
      <c r="F1130" s="5">
        <v>39000.0</v>
      </c>
      <c r="G1130" s="6">
        <f t="shared" si="10"/>
        <v>0</v>
      </c>
    </row>
    <row r="1131" ht="14.25" customHeight="1">
      <c r="A1131" s="1"/>
      <c r="B1131" s="2"/>
      <c r="C1131" s="54">
        <v>212.0</v>
      </c>
      <c r="D1131" s="73" t="s">
        <v>98</v>
      </c>
      <c r="E1131" s="20">
        <v>100000.0</v>
      </c>
      <c r="F1131" s="20">
        <v>70000.0</v>
      </c>
      <c r="G1131" s="6">
        <f t="shared" si="10"/>
        <v>-0.3</v>
      </c>
    </row>
    <row r="1132" ht="14.25" customHeight="1">
      <c r="A1132" s="1"/>
      <c r="B1132" s="2"/>
      <c r="C1132" s="54" t="s">
        <v>103</v>
      </c>
      <c r="D1132" s="73" t="s">
        <v>104</v>
      </c>
      <c r="E1132" s="20">
        <v>3600.0</v>
      </c>
      <c r="F1132" s="5">
        <v>3600.0</v>
      </c>
      <c r="G1132" s="6">
        <f t="shared" si="10"/>
        <v>0</v>
      </c>
    </row>
    <row r="1133" ht="14.25" customHeight="1">
      <c r="A1133" s="1"/>
      <c r="B1133" s="2"/>
      <c r="C1133" s="54" t="s">
        <v>139</v>
      </c>
      <c r="D1133" s="31" t="s">
        <v>192</v>
      </c>
      <c r="E1133" s="20">
        <v>4000.0</v>
      </c>
      <c r="F1133" s="5">
        <v>4000.0</v>
      </c>
      <c r="G1133" s="6">
        <f t="shared" si="10"/>
        <v>0</v>
      </c>
    </row>
    <row r="1134" ht="14.25" customHeight="1">
      <c r="A1134" s="1"/>
      <c r="B1134" s="2"/>
      <c r="C1134" s="54" t="s">
        <v>105</v>
      </c>
      <c r="D1134" s="73" t="s">
        <v>137</v>
      </c>
      <c r="E1134" s="20">
        <v>18000.0</v>
      </c>
      <c r="F1134" s="20">
        <v>40000.0</v>
      </c>
      <c r="G1134" s="6">
        <f t="shared" si="10"/>
        <v>1.222222222</v>
      </c>
    </row>
    <row r="1135" ht="14.25" customHeight="1">
      <c r="A1135" s="1"/>
      <c r="B1135" s="2"/>
      <c r="C1135" s="54" t="s">
        <v>107</v>
      </c>
      <c r="D1135" s="73" t="s">
        <v>108</v>
      </c>
      <c r="E1135" s="20">
        <v>26000.0</v>
      </c>
      <c r="F1135" s="5">
        <v>26000.0</v>
      </c>
      <c r="G1135" s="6">
        <f t="shared" si="10"/>
        <v>0</v>
      </c>
    </row>
    <row r="1136" ht="14.25" customHeight="1">
      <c r="A1136" s="1"/>
      <c r="B1136" s="2"/>
      <c r="C1136" s="54" t="s">
        <v>113</v>
      </c>
      <c r="D1136" s="73" t="s">
        <v>114</v>
      </c>
      <c r="E1136" s="20">
        <v>5500.0</v>
      </c>
      <c r="F1136" s="5">
        <v>5500.0</v>
      </c>
      <c r="G1136" s="6">
        <f t="shared" si="10"/>
        <v>0</v>
      </c>
    </row>
    <row r="1137" ht="14.25" customHeight="1">
      <c r="A1137" s="1"/>
      <c r="B1137" s="2"/>
      <c r="C1137" s="54" t="s">
        <v>115</v>
      </c>
      <c r="D1137" s="31" t="s">
        <v>116</v>
      </c>
      <c r="E1137" s="20">
        <v>5500.0</v>
      </c>
      <c r="F1137" s="5">
        <v>5500.0</v>
      </c>
      <c r="G1137" s="6">
        <f t="shared" si="10"/>
        <v>0</v>
      </c>
    </row>
    <row r="1138" ht="14.25" customHeight="1">
      <c r="A1138" s="1"/>
      <c r="B1138" s="2"/>
      <c r="C1138" s="54" t="s">
        <v>120</v>
      </c>
      <c r="D1138" s="31" t="s">
        <v>121</v>
      </c>
      <c r="E1138" s="20">
        <v>300.0</v>
      </c>
      <c r="F1138" s="5">
        <v>300.0</v>
      </c>
      <c r="G1138" s="6">
        <f t="shared" si="10"/>
        <v>0</v>
      </c>
    </row>
    <row r="1139" ht="14.25" customHeight="1">
      <c r="A1139" s="1"/>
      <c r="B1139" s="2"/>
      <c r="C1139" s="54" t="s">
        <v>122</v>
      </c>
      <c r="D1139" s="73" t="s">
        <v>123</v>
      </c>
      <c r="E1139" s="20">
        <v>12000.0</v>
      </c>
      <c r="F1139" s="5">
        <v>12000.0</v>
      </c>
      <c r="G1139" s="6">
        <f t="shared" si="10"/>
        <v>0</v>
      </c>
    </row>
    <row r="1140" ht="14.25" customHeight="1">
      <c r="A1140" s="1"/>
      <c r="B1140" s="2"/>
      <c r="C1140" s="54" t="s">
        <v>124</v>
      </c>
      <c r="D1140" s="73" t="s">
        <v>125</v>
      </c>
      <c r="E1140" s="20">
        <v>230000.0</v>
      </c>
      <c r="F1140" s="20">
        <v>70000.0</v>
      </c>
      <c r="G1140" s="6">
        <f t="shared" si="10"/>
        <v>-0.6956521739</v>
      </c>
    </row>
    <row r="1141" ht="14.25" customHeight="1">
      <c r="A1141" s="1"/>
      <c r="B1141" s="2"/>
      <c r="C1141" s="54" t="s">
        <v>176</v>
      </c>
      <c r="D1141" s="73" t="s">
        <v>177</v>
      </c>
      <c r="E1141" s="20">
        <v>40000.0</v>
      </c>
      <c r="F1141" s="5">
        <v>40000.0</v>
      </c>
      <c r="G1141" s="6">
        <f t="shared" si="10"/>
        <v>0</v>
      </c>
    </row>
    <row r="1142" ht="14.25" customHeight="1">
      <c r="A1142" s="1"/>
      <c r="B1142" s="2"/>
      <c r="C1142" s="54" t="s">
        <v>128</v>
      </c>
      <c r="D1142" s="73" t="s">
        <v>129</v>
      </c>
      <c r="E1142" s="90">
        <v>120000.0</v>
      </c>
      <c r="F1142" s="90">
        <v>80000.0</v>
      </c>
      <c r="G1142" s="6">
        <f t="shared" si="10"/>
        <v>-0.3333333333</v>
      </c>
    </row>
    <row r="1143" ht="14.25" customHeight="1">
      <c r="A1143" s="1"/>
      <c r="B1143" s="2"/>
      <c r="C1143" s="54" t="s">
        <v>142</v>
      </c>
      <c r="D1143" s="73" t="s">
        <v>143</v>
      </c>
      <c r="E1143" s="20">
        <v>60000.0</v>
      </c>
      <c r="F1143" s="20">
        <v>40000.0</v>
      </c>
      <c r="G1143" s="6">
        <f t="shared" si="10"/>
        <v>-0.3333333333</v>
      </c>
    </row>
    <row r="1144" ht="14.25" customHeight="1">
      <c r="A1144" s="1"/>
      <c r="B1144" s="2"/>
      <c r="C1144" s="83" t="s">
        <v>130</v>
      </c>
      <c r="D1144" s="73" t="s">
        <v>131</v>
      </c>
      <c r="E1144" s="20"/>
      <c r="F1144" s="20">
        <v>130000.0</v>
      </c>
      <c r="G1144" s="6"/>
    </row>
    <row r="1145" ht="14.25" customHeight="1">
      <c r="A1145" s="1"/>
      <c r="B1145" s="2"/>
      <c r="C1145" s="54" t="s">
        <v>132</v>
      </c>
      <c r="D1145" s="73" t="s">
        <v>133</v>
      </c>
      <c r="E1145" s="20">
        <v>500.0</v>
      </c>
      <c r="F1145" s="5">
        <v>500.0</v>
      </c>
      <c r="G1145" s="6">
        <f t="shared" ref="G1145:G1273" si="11">IFERROR(((F1145-E1145)/E1145), "")</f>
        <v>0</v>
      </c>
    </row>
    <row r="1146" ht="14.25" customHeight="1">
      <c r="A1146" s="1"/>
      <c r="B1146" s="22">
        <v>4330.0</v>
      </c>
      <c r="E1146" s="53">
        <v>664400.0</v>
      </c>
      <c r="F1146" s="23">
        <f>SUM(F1130:F1145)</f>
        <v>566400</v>
      </c>
      <c r="G1146" s="6">
        <f t="shared" si="11"/>
        <v>-0.1475015051</v>
      </c>
    </row>
    <row r="1147" ht="14.25" customHeight="1">
      <c r="A1147" s="1"/>
      <c r="B1147" s="2"/>
      <c r="C1147" s="3"/>
      <c r="D1147" s="4"/>
      <c r="E1147" s="5"/>
      <c r="F1147" s="5"/>
      <c r="G1147" s="6" t="str">
        <f t="shared" si="11"/>
        <v/>
      </c>
    </row>
    <row r="1148" ht="14.25" customHeight="1">
      <c r="A1148" s="1"/>
      <c r="B1148" s="33">
        <v>4411.0</v>
      </c>
      <c r="C1148" s="34"/>
      <c r="D1148" s="35" t="s">
        <v>216</v>
      </c>
      <c r="E1148" s="36">
        <v>2024.0</v>
      </c>
      <c r="F1148" s="36">
        <v>2025.0</v>
      </c>
      <c r="G1148" s="6">
        <f t="shared" si="11"/>
        <v>0.0004940711462</v>
      </c>
    </row>
    <row r="1149" ht="14.25" customHeight="1">
      <c r="A1149" s="1"/>
      <c r="B1149" s="2"/>
      <c r="C1149" s="54" t="s">
        <v>130</v>
      </c>
      <c r="D1149" s="73" t="s">
        <v>131</v>
      </c>
      <c r="E1149" s="20">
        <v>350000.0</v>
      </c>
      <c r="F1149" s="5">
        <v>350000.0</v>
      </c>
      <c r="G1149" s="6">
        <f t="shared" si="11"/>
        <v>0</v>
      </c>
    </row>
    <row r="1150" ht="14.25" customHeight="1">
      <c r="A1150" s="1"/>
      <c r="B1150" s="22">
        <v>4411.0</v>
      </c>
      <c r="E1150" s="53">
        <v>350000.0</v>
      </c>
      <c r="F1150" s="23">
        <f>SUM(F1149)</f>
        <v>350000</v>
      </c>
      <c r="G1150" s="6">
        <f t="shared" si="11"/>
        <v>0</v>
      </c>
    </row>
    <row r="1151" ht="14.25" customHeight="1">
      <c r="A1151" s="1"/>
      <c r="B1151" s="2"/>
      <c r="C1151" s="30"/>
      <c r="D1151" s="31"/>
      <c r="E1151" s="32"/>
      <c r="F1151" s="32"/>
      <c r="G1151" s="6" t="str">
        <f t="shared" si="11"/>
        <v/>
      </c>
    </row>
    <row r="1152" ht="14.25" customHeight="1">
      <c r="A1152" s="1"/>
      <c r="B1152" s="33">
        <v>4930.0</v>
      </c>
      <c r="C1152" s="34"/>
      <c r="D1152" s="35" t="s">
        <v>80</v>
      </c>
      <c r="E1152" s="36">
        <v>2024.0</v>
      </c>
      <c r="F1152" s="36">
        <v>2025.0</v>
      </c>
      <c r="G1152" s="6">
        <f t="shared" si="11"/>
        <v>0.0004940711462</v>
      </c>
    </row>
    <row r="1153" ht="14.25" customHeight="1">
      <c r="A1153" s="1"/>
      <c r="B1153" s="2"/>
      <c r="C1153" s="54">
        <v>202.0</v>
      </c>
      <c r="D1153" s="73" t="s">
        <v>181</v>
      </c>
      <c r="E1153" s="20">
        <v>200.0</v>
      </c>
      <c r="F1153" s="5">
        <v>200.0</v>
      </c>
      <c r="G1153" s="6">
        <f t="shared" si="11"/>
        <v>0</v>
      </c>
    </row>
    <row r="1154" ht="14.25" customHeight="1">
      <c r="A1154" s="1"/>
      <c r="B1154" s="2"/>
      <c r="C1154" s="3">
        <v>203.0</v>
      </c>
      <c r="D1154" s="73" t="s">
        <v>97</v>
      </c>
      <c r="E1154" s="20">
        <v>500.0</v>
      </c>
      <c r="F1154" s="5">
        <v>500.0</v>
      </c>
      <c r="G1154" s="6">
        <f t="shared" si="11"/>
        <v>0</v>
      </c>
    </row>
    <row r="1155" ht="14.25" customHeight="1">
      <c r="A1155" s="1"/>
      <c r="B1155" s="2"/>
      <c r="C1155" s="54">
        <v>209.0</v>
      </c>
      <c r="D1155" s="73" t="s">
        <v>191</v>
      </c>
      <c r="E1155" s="20">
        <v>200.0</v>
      </c>
      <c r="F1155" s="5">
        <v>200.0</v>
      </c>
      <c r="G1155" s="6">
        <f t="shared" si="11"/>
        <v>0</v>
      </c>
    </row>
    <row r="1156" ht="14.25" customHeight="1">
      <c r="A1156" s="1"/>
      <c r="B1156" s="2"/>
      <c r="C1156" s="54" t="s">
        <v>103</v>
      </c>
      <c r="D1156" s="31" t="s">
        <v>104</v>
      </c>
      <c r="E1156" s="20">
        <v>2000.0</v>
      </c>
      <c r="F1156" s="5">
        <v>2000.0</v>
      </c>
      <c r="G1156" s="6">
        <f t="shared" si="11"/>
        <v>0</v>
      </c>
    </row>
    <row r="1157" ht="14.25" customHeight="1">
      <c r="A1157" s="1"/>
      <c r="B1157" s="2"/>
      <c r="C1157" s="54" t="s">
        <v>139</v>
      </c>
      <c r="D1157" s="31" t="s">
        <v>192</v>
      </c>
      <c r="E1157" s="20">
        <v>100.0</v>
      </c>
      <c r="F1157" s="5">
        <v>100.0</v>
      </c>
      <c r="G1157" s="6">
        <f t="shared" si="11"/>
        <v>0</v>
      </c>
    </row>
    <row r="1158" ht="14.25" customHeight="1">
      <c r="A1158" s="1"/>
      <c r="B1158" s="2"/>
      <c r="C1158" s="54" t="s">
        <v>113</v>
      </c>
      <c r="D1158" s="73" t="s">
        <v>114</v>
      </c>
      <c r="E1158" s="20">
        <v>800.0</v>
      </c>
      <c r="F1158" s="5">
        <v>800.0</v>
      </c>
      <c r="G1158" s="6">
        <f t="shared" si="11"/>
        <v>0</v>
      </c>
    </row>
    <row r="1159" ht="14.25" customHeight="1">
      <c r="A1159" s="1"/>
      <c r="B1159" s="2"/>
      <c r="C1159" s="54" t="s">
        <v>115</v>
      </c>
      <c r="D1159" s="31" t="s">
        <v>116</v>
      </c>
      <c r="E1159" s="20">
        <v>1600.0</v>
      </c>
      <c r="F1159" s="5">
        <v>1600.0</v>
      </c>
      <c r="G1159" s="6">
        <f t="shared" si="11"/>
        <v>0</v>
      </c>
    </row>
    <row r="1160" ht="14.25" customHeight="1">
      <c r="A1160" s="1"/>
      <c r="B1160" s="2"/>
      <c r="C1160" s="54" t="s">
        <v>122</v>
      </c>
      <c r="D1160" s="73" t="s">
        <v>123</v>
      </c>
      <c r="E1160" s="20">
        <v>700.0</v>
      </c>
      <c r="F1160" s="5">
        <v>700.0</v>
      </c>
      <c r="G1160" s="6">
        <f t="shared" si="11"/>
        <v>0</v>
      </c>
    </row>
    <row r="1161" ht="14.25" customHeight="1">
      <c r="A1161" s="1"/>
      <c r="B1161" s="2"/>
      <c r="C1161" s="54" t="s">
        <v>124</v>
      </c>
      <c r="D1161" s="73" t="s">
        <v>125</v>
      </c>
      <c r="E1161" s="20">
        <v>9300.0</v>
      </c>
      <c r="F1161" s="5">
        <v>9300.0</v>
      </c>
      <c r="G1161" s="6">
        <f t="shared" si="11"/>
        <v>0</v>
      </c>
    </row>
    <row r="1162" ht="14.25" customHeight="1">
      <c r="A1162" s="1"/>
      <c r="B1162" s="2"/>
      <c r="C1162" s="54" t="s">
        <v>193</v>
      </c>
      <c r="D1162" s="31" t="s">
        <v>202</v>
      </c>
      <c r="E1162" s="20">
        <v>100.0</v>
      </c>
      <c r="F1162" s="5">
        <v>100.0</v>
      </c>
      <c r="G1162" s="6">
        <f t="shared" si="11"/>
        <v>0</v>
      </c>
    </row>
    <row r="1163" ht="14.25" customHeight="1">
      <c r="A1163" s="1"/>
      <c r="B1163" s="2"/>
      <c r="C1163" s="54" t="s">
        <v>176</v>
      </c>
      <c r="D1163" s="31" t="s">
        <v>177</v>
      </c>
      <c r="E1163" s="20">
        <v>2000.0</v>
      </c>
      <c r="F1163" s="5">
        <v>2000.0</v>
      </c>
      <c r="G1163" s="6">
        <f t="shared" si="11"/>
        <v>0</v>
      </c>
    </row>
    <row r="1164" ht="14.25" customHeight="1">
      <c r="A1164" s="1"/>
      <c r="B1164" s="2"/>
      <c r="C1164" s="54" t="s">
        <v>128</v>
      </c>
      <c r="D1164" s="73" t="s">
        <v>129</v>
      </c>
      <c r="E1164" s="20">
        <v>12000.0</v>
      </c>
      <c r="F1164" s="5">
        <v>12000.0</v>
      </c>
      <c r="G1164" s="6">
        <f t="shared" si="11"/>
        <v>0</v>
      </c>
    </row>
    <row r="1165" ht="14.25" customHeight="1">
      <c r="A1165" s="1"/>
      <c r="B1165" s="2"/>
      <c r="C1165" s="54" t="s">
        <v>132</v>
      </c>
      <c r="D1165" s="73" t="s">
        <v>133</v>
      </c>
      <c r="E1165" s="20">
        <v>600.0</v>
      </c>
      <c r="F1165" s="5">
        <v>600.0</v>
      </c>
      <c r="G1165" s="6">
        <f t="shared" si="11"/>
        <v>0</v>
      </c>
    </row>
    <row r="1166" ht="14.25" customHeight="1">
      <c r="A1166" s="1"/>
      <c r="B1166" s="22">
        <v>4930.0</v>
      </c>
      <c r="E1166" s="53">
        <v>30100.0</v>
      </c>
      <c r="F1166" s="23">
        <f>SUM(F1153:F1165)</f>
        <v>30100</v>
      </c>
      <c r="G1166" s="6">
        <f t="shared" si="11"/>
        <v>0</v>
      </c>
    </row>
    <row r="1167" ht="14.25" customHeight="1">
      <c r="A1167" s="1"/>
      <c r="B1167" s="2"/>
      <c r="C1167" s="30"/>
      <c r="D1167" s="31"/>
      <c r="E1167" s="32"/>
      <c r="F1167" s="32"/>
      <c r="G1167" s="6" t="str">
        <f t="shared" si="11"/>
        <v/>
      </c>
    </row>
    <row r="1168" ht="14.25" customHeight="1">
      <c r="A1168" s="1"/>
      <c r="B1168" s="33">
        <v>9120.0</v>
      </c>
      <c r="C1168" s="34"/>
      <c r="D1168" s="35" t="s">
        <v>81</v>
      </c>
      <c r="E1168" s="36">
        <v>2024.0</v>
      </c>
      <c r="F1168" s="36">
        <v>2025.0</v>
      </c>
      <c r="G1168" s="6">
        <f t="shared" si="11"/>
        <v>0.0004940711462</v>
      </c>
    </row>
    <row r="1169" ht="14.25" customHeight="1">
      <c r="A1169" s="1"/>
      <c r="B1169" s="2"/>
      <c r="C1169" s="54">
        <v>203.0</v>
      </c>
      <c r="D1169" s="73" t="s">
        <v>97</v>
      </c>
      <c r="E1169" s="20">
        <v>3600.0</v>
      </c>
      <c r="F1169" s="5">
        <v>3600.0</v>
      </c>
      <c r="G1169" s="6">
        <f t="shared" si="11"/>
        <v>0</v>
      </c>
    </row>
    <row r="1170" ht="14.25" customHeight="1">
      <c r="A1170" s="1"/>
      <c r="B1170" s="2"/>
      <c r="C1170" s="54">
        <v>204.0</v>
      </c>
      <c r="D1170" s="31" t="s">
        <v>147</v>
      </c>
      <c r="E1170" s="20">
        <v>10000.0</v>
      </c>
      <c r="F1170" s="5">
        <v>10000.0</v>
      </c>
      <c r="G1170" s="6">
        <f t="shared" si="11"/>
        <v>0</v>
      </c>
    </row>
    <row r="1171" ht="14.25" customHeight="1">
      <c r="A1171" s="1"/>
      <c r="B1171" s="2"/>
      <c r="C1171" s="54">
        <v>214.0</v>
      </c>
      <c r="D1171" s="73" t="s">
        <v>100</v>
      </c>
      <c r="E1171" s="20">
        <v>1300.0</v>
      </c>
      <c r="F1171" s="5">
        <v>1300.0</v>
      </c>
      <c r="G1171" s="6">
        <f t="shared" si="11"/>
        <v>0</v>
      </c>
    </row>
    <row r="1172" ht="14.25" customHeight="1">
      <c r="A1172" s="1"/>
      <c r="B1172" s="2"/>
      <c r="C1172" s="54" t="s">
        <v>103</v>
      </c>
      <c r="D1172" s="73" t="s">
        <v>104</v>
      </c>
      <c r="E1172" s="20">
        <v>2500.0</v>
      </c>
      <c r="F1172" s="5">
        <v>2500.0</v>
      </c>
      <c r="G1172" s="6">
        <f t="shared" si="11"/>
        <v>0</v>
      </c>
    </row>
    <row r="1173" ht="14.25" customHeight="1">
      <c r="A1173" s="1"/>
      <c r="B1173" s="2"/>
      <c r="C1173" s="54" t="s">
        <v>139</v>
      </c>
      <c r="D1173" s="31" t="s">
        <v>192</v>
      </c>
      <c r="E1173" s="20">
        <v>1500.0</v>
      </c>
      <c r="F1173" s="5">
        <v>1500.0</v>
      </c>
      <c r="G1173" s="6">
        <f t="shared" si="11"/>
        <v>0</v>
      </c>
    </row>
    <row r="1174" ht="14.25" customHeight="1">
      <c r="A1174" s="1"/>
      <c r="B1174" s="2"/>
      <c r="C1174" s="54" t="s">
        <v>109</v>
      </c>
      <c r="D1174" s="73" t="s">
        <v>110</v>
      </c>
      <c r="E1174" s="20">
        <v>4000.0</v>
      </c>
      <c r="F1174" s="5">
        <v>4000.0</v>
      </c>
      <c r="G1174" s="6">
        <f t="shared" si="11"/>
        <v>0</v>
      </c>
    </row>
    <row r="1175" ht="14.25" customHeight="1">
      <c r="A1175" s="1"/>
      <c r="B1175" s="2"/>
      <c r="C1175" s="54" t="s">
        <v>113</v>
      </c>
      <c r="D1175" s="73" t="s">
        <v>114</v>
      </c>
      <c r="E1175" s="20">
        <v>500.0</v>
      </c>
      <c r="F1175" s="5">
        <v>500.0</v>
      </c>
      <c r="G1175" s="6">
        <f t="shared" si="11"/>
        <v>0</v>
      </c>
    </row>
    <row r="1176" ht="14.25" customHeight="1">
      <c r="A1176" s="1"/>
      <c r="B1176" s="2"/>
      <c r="C1176" s="54" t="s">
        <v>115</v>
      </c>
      <c r="D1176" s="73" t="s">
        <v>116</v>
      </c>
      <c r="E1176" s="20">
        <v>2000.0</v>
      </c>
      <c r="F1176" s="5">
        <v>2000.0</v>
      </c>
      <c r="G1176" s="6">
        <f t="shared" si="11"/>
        <v>0</v>
      </c>
      <c r="H1176" s="92"/>
    </row>
    <row r="1177" ht="14.25" customHeight="1">
      <c r="A1177" s="1"/>
      <c r="B1177" s="2"/>
      <c r="C1177" s="54" t="s">
        <v>217</v>
      </c>
      <c r="D1177" s="74" t="s">
        <v>218</v>
      </c>
      <c r="E1177" s="20">
        <v>318220.0</v>
      </c>
      <c r="F1177" s="20">
        <f>318220 - 'Liberaciones &amp; Libre desig'!K3</f>
        <v>251980</v>
      </c>
      <c r="G1177" s="6">
        <f t="shared" si="11"/>
        <v>-0.2081578782</v>
      </c>
      <c r="H1177" s="38" t="s">
        <v>219</v>
      </c>
    </row>
    <row r="1178" ht="14.25" customHeight="1">
      <c r="A1178" s="1"/>
      <c r="B1178" s="2"/>
      <c r="C1178" s="54">
        <v>224.0</v>
      </c>
      <c r="D1178" s="73" t="s">
        <v>119</v>
      </c>
      <c r="E1178" s="20">
        <v>10500.0</v>
      </c>
      <c r="F1178" s="5">
        <v>10500.0</v>
      </c>
      <c r="G1178" s="6">
        <f t="shared" si="11"/>
        <v>0</v>
      </c>
    </row>
    <row r="1179" ht="14.25" customHeight="1">
      <c r="A1179" s="1"/>
      <c r="B1179" s="2"/>
      <c r="C1179" s="54" t="s">
        <v>122</v>
      </c>
      <c r="D1179" s="73" t="s">
        <v>123</v>
      </c>
      <c r="E1179" s="20">
        <v>30000.0</v>
      </c>
      <c r="F1179" s="5">
        <v>30000.0</v>
      </c>
      <c r="G1179" s="6">
        <f t="shared" si="11"/>
        <v>0</v>
      </c>
    </row>
    <row r="1180" ht="14.25" customHeight="1">
      <c r="A1180" s="1"/>
      <c r="B1180" s="2"/>
      <c r="C1180" s="54" t="s">
        <v>124</v>
      </c>
      <c r="D1180" s="73" t="s">
        <v>125</v>
      </c>
      <c r="E1180" s="20">
        <v>60000.0</v>
      </c>
      <c r="F1180" s="20">
        <v>50000.0</v>
      </c>
      <c r="G1180" s="6">
        <f t="shared" si="11"/>
        <v>-0.1666666667</v>
      </c>
    </row>
    <row r="1181" ht="14.25" customHeight="1">
      <c r="A1181" s="1"/>
      <c r="B1181" s="2"/>
      <c r="C1181" s="54" t="s">
        <v>128</v>
      </c>
      <c r="D1181" s="73" t="s">
        <v>129</v>
      </c>
      <c r="E1181" s="20">
        <v>6000.0</v>
      </c>
      <c r="F1181" s="5">
        <v>6000.0</v>
      </c>
      <c r="G1181" s="6">
        <f t="shared" si="11"/>
        <v>0</v>
      </c>
    </row>
    <row r="1182" ht="14.25" customHeight="1">
      <c r="A1182" s="1"/>
      <c r="B1182" s="2"/>
      <c r="C1182" s="78" t="s">
        <v>142</v>
      </c>
      <c r="D1182" s="79" t="s">
        <v>143</v>
      </c>
      <c r="E1182" s="84">
        <v>20000.0</v>
      </c>
      <c r="F1182" s="89">
        <v>20000.0</v>
      </c>
      <c r="G1182" s="6">
        <f t="shared" si="11"/>
        <v>0</v>
      </c>
    </row>
    <row r="1183" ht="14.25" customHeight="1">
      <c r="A1183" s="1"/>
      <c r="B1183" s="2"/>
      <c r="C1183" s="54" t="s">
        <v>220</v>
      </c>
      <c r="D1183" s="73" t="s">
        <v>221</v>
      </c>
      <c r="E1183" s="20">
        <v>3500.0</v>
      </c>
      <c r="F1183" s="5">
        <v>3500.0</v>
      </c>
      <c r="G1183" s="6">
        <f t="shared" si="11"/>
        <v>0</v>
      </c>
    </row>
    <row r="1184" ht="14.25" customHeight="1">
      <c r="A1184" s="1"/>
      <c r="B1184" s="2"/>
      <c r="C1184" s="54" t="s">
        <v>132</v>
      </c>
      <c r="D1184" s="73" t="s">
        <v>133</v>
      </c>
      <c r="E1184" s="20">
        <v>1500.0</v>
      </c>
      <c r="F1184" s="5">
        <v>1500.0</v>
      </c>
      <c r="G1184" s="6">
        <f t="shared" si="11"/>
        <v>0</v>
      </c>
    </row>
    <row r="1185" ht="14.25" customHeight="1">
      <c r="A1185" s="1"/>
      <c r="B1185" s="22">
        <v>9120.0</v>
      </c>
      <c r="E1185" s="53">
        <v>475120.0</v>
      </c>
      <c r="F1185" s="23">
        <f>SUM(F1169:F1184)</f>
        <v>398880</v>
      </c>
      <c r="G1185" s="6">
        <f t="shared" si="11"/>
        <v>-0.1604647247</v>
      </c>
    </row>
    <row r="1186" ht="14.25" customHeight="1">
      <c r="A1186" s="1"/>
      <c r="B1186" s="2"/>
      <c r="C1186" s="3"/>
      <c r="D1186" s="4"/>
      <c r="E1186" s="5"/>
      <c r="F1186" s="5"/>
      <c r="G1186" s="6" t="str">
        <f t="shared" si="11"/>
        <v/>
      </c>
    </row>
    <row r="1187" ht="14.25" customHeight="1">
      <c r="A1187" s="1"/>
      <c r="B1187" s="33">
        <v>9200.0</v>
      </c>
      <c r="C1187" s="34"/>
      <c r="D1187" s="35" t="s">
        <v>88</v>
      </c>
      <c r="E1187" s="36">
        <v>2024.0</v>
      </c>
      <c r="F1187" s="36">
        <v>2025.0</v>
      </c>
      <c r="G1187" s="6">
        <f t="shared" si="11"/>
        <v>0.0004940711462</v>
      </c>
    </row>
    <row r="1188" ht="14.25" customHeight="1">
      <c r="A1188" s="1"/>
      <c r="B1188" s="2"/>
      <c r="C1188" s="3">
        <v>203.0</v>
      </c>
      <c r="D1188" s="73" t="s">
        <v>97</v>
      </c>
      <c r="E1188" s="20">
        <v>1600.0</v>
      </c>
      <c r="F1188" s="5">
        <v>1600.0</v>
      </c>
      <c r="G1188" s="6">
        <f t="shared" si="11"/>
        <v>0</v>
      </c>
    </row>
    <row r="1189" ht="14.25" customHeight="1">
      <c r="A1189" s="1"/>
      <c r="B1189" s="2"/>
      <c r="C1189" s="54">
        <v>212.0</v>
      </c>
      <c r="D1189" s="73" t="s">
        <v>98</v>
      </c>
      <c r="E1189" s="20">
        <v>91100.0</v>
      </c>
      <c r="F1189" s="20">
        <v>70000.0</v>
      </c>
      <c r="G1189" s="6">
        <f t="shared" si="11"/>
        <v>-0.2316136114</v>
      </c>
    </row>
    <row r="1190" ht="14.25" customHeight="1">
      <c r="A1190" s="1"/>
      <c r="B1190" s="2"/>
      <c r="C1190" s="54">
        <v>213.0</v>
      </c>
      <c r="D1190" s="73" t="s">
        <v>99</v>
      </c>
      <c r="E1190" s="20">
        <v>1800.0</v>
      </c>
      <c r="F1190" s="5">
        <v>1800.0</v>
      </c>
      <c r="G1190" s="6">
        <f t="shared" si="11"/>
        <v>0</v>
      </c>
    </row>
    <row r="1191" ht="14.25" customHeight="1">
      <c r="A1191" s="1"/>
      <c r="B1191" s="2"/>
      <c r="C1191" s="54">
        <v>214.0</v>
      </c>
      <c r="D1191" s="73" t="s">
        <v>100</v>
      </c>
      <c r="E1191" s="20">
        <v>500.0</v>
      </c>
      <c r="F1191" s="5">
        <v>500.0</v>
      </c>
      <c r="G1191" s="6">
        <f t="shared" si="11"/>
        <v>0</v>
      </c>
    </row>
    <row r="1192" ht="14.25" customHeight="1">
      <c r="A1192" s="1"/>
      <c r="B1192" s="2"/>
      <c r="C1192" s="54">
        <v>215.0</v>
      </c>
      <c r="D1192" s="73" t="s">
        <v>222</v>
      </c>
      <c r="E1192" s="20">
        <v>200.0</v>
      </c>
      <c r="F1192" s="5">
        <v>200.0</v>
      </c>
      <c r="G1192" s="6">
        <f t="shared" si="11"/>
        <v>0</v>
      </c>
    </row>
    <row r="1193" ht="14.25" customHeight="1">
      <c r="A1193" s="1"/>
      <c r="B1193" s="2"/>
      <c r="C1193" s="54">
        <v>216.0</v>
      </c>
      <c r="D1193" s="73" t="s">
        <v>138</v>
      </c>
      <c r="E1193" s="20">
        <v>130000.0</v>
      </c>
      <c r="F1193" s="5">
        <v>130000.0</v>
      </c>
      <c r="G1193" s="6">
        <f t="shared" si="11"/>
        <v>0</v>
      </c>
    </row>
    <row r="1194" ht="14.25" customHeight="1">
      <c r="A1194" s="1"/>
      <c r="B1194" s="2"/>
      <c r="C1194" s="54" t="s">
        <v>103</v>
      </c>
      <c r="D1194" s="73" t="s">
        <v>104</v>
      </c>
      <c r="E1194" s="20">
        <v>33000.0</v>
      </c>
      <c r="F1194" s="20">
        <v>25000.0</v>
      </c>
      <c r="G1194" s="6">
        <f t="shared" si="11"/>
        <v>-0.2424242424</v>
      </c>
    </row>
    <row r="1195" ht="14.25" customHeight="1">
      <c r="A1195" s="1"/>
      <c r="B1195" s="2"/>
      <c r="C1195" s="54" t="s">
        <v>139</v>
      </c>
      <c r="D1195" s="31" t="s">
        <v>192</v>
      </c>
      <c r="E1195" s="20">
        <v>4300.0</v>
      </c>
      <c r="F1195" s="20">
        <v>13000.0</v>
      </c>
      <c r="G1195" s="6">
        <f t="shared" si="11"/>
        <v>2.023255814</v>
      </c>
    </row>
    <row r="1196" ht="14.25" customHeight="1">
      <c r="A1196" s="1"/>
      <c r="B1196" s="2"/>
      <c r="C1196" s="54" t="s">
        <v>164</v>
      </c>
      <c r="D1196" s="73" t="s">
        <v>165</v>
      </c>
      <c r="E1196" s="20">
        <v>1500.0</v>
      </c>
      <c r="F1196" s="5">
        <v>1500.0</v>
      </c>
      <c r="G1196" s="6">
        <f t="shared" si="11"/>
        <v>0</v>
      </c>
    </row>
    <row r="1197" ht="14.25" customHeight="1">
      <c r="A1197" s="1"/>
      <c r="B1197" s="2"/>
      <c r="C1197" s="54" t="s">
        <v>105</v>
      </c>
      <c r="D1197" s="73" t="s">
        <v>137</v>
      </c>
      <c r="E1197" s="20">
        <v>15000.0</v>
      </c>
      <c r="F1197" s="5">
        <v>15000.0</v>
      </c>
      <c r="G1197" s="6">
        <f t="shared" si="11"/>
        <v>0</v>
      </c>
    </row>
    <row r="1198" ht="14.25" customHeight="1">
      <c r="A1198" s="1"/>
      <c r="B1198" s="2"/>
      <c r="C1198" s="54" t="s">
        <v>107</v>
      </c>
      <c r="D1198" s="73" t="s">
        <v>108</v>
      </c>
      <c r="E1198" s="20">
        <v>23000.0</v>
      </c>
      <c r="F1198" s="5">
        <v>23000.0</v>
      </c>
      <c r="G1198" s="6">
        <f t="shared" si="11"/>
        <v>0</v>
      </c>
    </row>
    <row r="1199" ht="14.25" customHeight="1">
      <c r="A1199" s="1"/>
      <c r="B1199" s="2"/>
      <c r="C1199" s="54" t="s">
        <v>109</v>
      </c>
      <c r="D1199" s="73" t="s">
        <v>110</v>
      </c>
      <c r="E1199" s="20">
        <v>1000.0</v>
      </c>
      <c r="F1199" s="5">
        <v>1000.0</v>
      </c>
      <c r="G1199" s="6">
        <f t="shared" si="11"/>
        <v>0</v>
      </c>
    </row>
    <row r="1200" ht="14.25" customHeight="1">
      <c r="A1200" s="1"/>
      <c r="B1200" s="2"/>
      <c r="C1200" s="54" t="s">
        <v>111</v>
      </c>
      <c r="D1200" s="73" t="s">
        <v>112</v>
      </c>
      <c r="E1200" s="20">
        <v>300.0</v>
      </c>
      <c r="F1200" s="5">
        <v>300.0</v>
      </c>
      <c r="G1200" s="6">
        <f t="shared" si="11"/>
        <v>0</v>
      </c>
    </row>
    <row r="1201" ht="14.25" customHeight="1">
      <c r="A1201" s="1"/>
      <c r="B1201" s="2"/>
      <c r="C1201" s="54" t="s">
        <v>113</v>
      </c>
      <c r="D1201" s="73" t="s">
        <v>114</v>
      </c>
      <c r="E1201" s="20">
        <v>8000.0</v>
      </c>
      <c r="F1201" s="5">
        <v>8000.0</v>
      </c>
      <c r="G1201" s="6">
        <f t="shared" si="11"/>
        <v>0</v>
      </c>
    </row>
    <row r="1202" ht="14.25" customHeight="1">
      <c r="A1202" s="1"/>
      <c r="B1202" s="2"/>
      <c r="C1202" s="54" t="s">
        <v>115</v>
      </c>
      <c r="D1202" s="73" t="s">
        <v>116</v>
      </c>
      <c r="E1202" s="20">
        <v>9500.0</v>
      </c>
      <c r="F1202" s="20">
        <v>20000.0</v>
      </c>
      <c r="G1202" s="6">
        <f t="shared" si="11"/>
        <v>1.105263158</v>
      </c>
    </row>
    <row r="1203" ht="14.25" customHeight="1">
      <c r="A1203" s="1"/>
      <c r="B1203" s="2"/>
      <c r="C1203" s="54" t="s">
        <v>117</v>
      </c>
      <c r="D1203" s="73" t="s">
        <v>118</v>
      </c>
      <c r="E1203" s="20">
        <v>10000.0</v>
      </c>
      <c r="F1203" s="20">
        <v>17000.0</v>
      </c>
      <c r="G1203" s="6">
        <f t="shared" si="11"/>
        <v>0.7</v>
      </c>
    </row>
    <row r="1204" ht="14.25" customHeight="1">
      <c r="A1204" s="1"/>
      <c r="B1204" s="2"/>
      <c r="C1204" s="54">
        <v>224.0</v>
      </c>
      <c r="D1204" s="73" t="s">
        <v>119</v>
      </c>
      <c r="E1204" s="20">
        <v>180000.0</v>
      </c>
      <c r="F1204" s="20">
        <v>160000.0</v>
      </c>
      <c r="G1204" s="6">
        <f t="shared" si="11"/>
        <v>-0.1111111111</v>
      </c>
    </row>
    <row r="1205" ht="14.25" customHeight="1">
      <c r="A1205" s="1"/>
      <c r="B1205" s="2"/>
      <c r="C1205" s="54" t="s">
        <v>158</v>
      </c>
      <c r="D1205" s="31" t="s">
        <v>159</v>
      </c>
      <c r="E1205" s="20">
        <v>600.0</v>
      </c>
      <c r="F1205" s="5">
        <v>600.0</v>
      </c>
      <c r="G1205" s="6">
        <f t="shared" si="11"/>
        <v>0</v>
      </c>
    </row>
    <row r="1206" ht="14.25" customHeight="1">
      <c r="A1206" s="1"/>
      <c r="B1206" s="2"/>
      <c r="C1206" s="54" t="s">
        <v>120</v>
      </c>
      <c r="D1206" s="31" t="s">
        <v>121</v>
      </c>
      <c r="E1206" s="20">
        <v>200.0</v>
      </c>
      <c r="F1206" s="5">
        <v>200.0</v>
      </c>
      <c r="G1206" s="6">
        <f t="shared" si="11"/>
        <v>0</v>
      </c>
    </row>
    <row r="1207" ht="14.25" customHeight="1">
      <c r="A1207" s="1"/>
      <c r="B1207" s="2"/>
      <c r="C1207" s="54" t="s">
        <v>124</v>
      </c>
      <c r="D1207" s="73" t="s">
        <v>125</v>
      </c>
      <c r="E1207" s="20">
        <v>2000.0</v>
      </c>
      <c r="F1207" s="5">
        <v>2000.0</v>
      </c>
      <c r="G1207" s="6">
        <f t="shared" si="11"/>
        <v>0</v>
      </c>
    </row>
    <row r="1208" ht="14.25" customHeight="1">
      <c r="A1208" s="1"/>
      <c r="B1208" s="2"/>
      <c r="C1208" s="54" t="s">
        <v>126</v>
      </c>
      <c r="D1208" s="73" t="s">
        <v>127</v>
      </c>
      <c r="E1208" s="20">
        <v>3000.0</v>
      </c>
      <c r="F1208" s="5">
        <v>3000.0</v>
      </c>
      <c r="G1208" s="6">
        <f t="shared" si="11"/>
        <v>0</v>
      </c>
    </row>
    <row r="1209" ht="14.25" customHeight="1">
      <c r="A1209" s="1"/>
      <c r="B1209" s="2"/>
      <c r="C1209" s="54" t="s">
        <v>223</v>
      </c>
      <c r="D1209" s="73" t="s">
        <v>224</v>
      </c>
      <c r="E1209" s="20">
        <v>91000.0</v>
      </c>
      <c r="F1209" s="5">
        <v>91000.0</v>
      </c>
      <c r="G1209" s="6">
        <f t="shared" si="11"/>
        <v>0</v>
      </c>
    </row>
    <row r="1210" ht="14.25" customHeight="1">
      <c r="A1210" s="1"/>
      <c r="B1210" s="2"/>
      <c r="C1210" s="54" t="s">
        <v>225</v>
      </c>
      <c r="D1210" s="73" t="s">
        <v>226</v>
      </c>
      <c r="E1210" s="20">
        <v>15000.0</v>
      </c>
      <c r="F1210" s="5">
        <v>15000.0</v>
      </c>
      <c r="G1210" s="6">
        <f t="shared" si="11"/>
        <v>0</v>
      </c>
    </row>
    <row r="1211" ht="14.25" customHeight="1">
      <c r="A1211" s="1"/>
      <c r="B1211" s="2"/>
      <c r="C1211" s="54" t="s">
        <v>128</v>
      </c>
      <c r="D1211" s="73" t="s">
        <v>129</v>
      </c>
      <c r="E1211" s="20">
        <v>15000.0</v>
      </c>
      <c r="F1211" s="5">
        <v>15000.0</v>
      </c>
      <c r="G1211" s="6">
        <f t="shared" si="11"/>
        <v>0</v>
      </c>
    </row>
    <row r="1212" ht="14.25" customHeight="1">
      <c r="A1212" s="1"/>
      <c r="B1212" s="2"/>
      <c r="C1212" s="54" t="s">
        <v>142</v>
      </c>
      <c r="D1212" s="73" t="s">
        <v>143</v>
      </c>
      <c r="E1212" s="20">
        <v>15000.0</v>
      </c>
      <c r="F1212" s="5">
        <v>15000.0</v>
      </c>
      <c r="G1212" s="6">
        <f t="shared" si="11"/>
        <v>0</v>
      </c>
    </row>
    <row r="1213" ht="14.25" customHeight="1">
      <c r="A1213" s="1"/>
      <c r="B1213" s="2"/>
      <c r="C1213" s="54" t="s">
        <v>130</v>
      </c>
      <c r="D1213" s="73" t="s">
        <v>131</v>
      </c>
      <c r="E1213" s="20">
        <v>53000.0</v>
      </c>
      <c r="F1213" s="5">
        <v>53000.0</v>
      </c>
      <c r="G1213" s="6">
        <f t="shared" si="11"/>
        <v>0</v>
      </c>
      <c r="H1213" s="76"/>
      <c r="I1213" s="76"/>
      <c r="J1213" s="76"/>
      <c r="K1213" s="76"/>
    </row>
    <row r="1214" ht="14.25" customHeight="1">
      <c r="A1214" s="1"/>
      <c r="B1214" s="2"/>
      <c r="C1214" s="54" t="s">
        <v>132</v>
      </c>
      <c r="D1214" s="73" t="s">
        <v>133</v>
      </c>
      <c r="E1214" s="20">
        <v>1500.0</v>
      </c>
      <c r="F1214" s="5">
        <v>1500.0</v>
      </c>
      <c r="G1214" s="6">
        <f t="shared" si="11"/>
        <v>0</v>
      </c>
    </row>
    <row r="1215" ht="14.25" customHeight="1">
      <c r="A1215" s="1"/>
      <c r="B1215" s="2"/>
      <c r="C1215" s="54">
        <v>233.0</v>
      </c>
      <c r="D1215" s="73" t="s">
        <v>151</v>
      </c>
      <c r="E1215" s="20">
        <v>900.0</v>
      </c>
      <c r="F1215" s="5">
        <v>900.0</v>
      </c>
      <c r="G1215" s="6">
        <f t="shared" si="11"/>
        <v>0</v>
      </c>
    </row>
    <row r="1216" ht="14.25" customHeight="1">
      <c r="A1216" s="1"/>
      <c r="B1216" s="22">
        <v>9200.0</v>
      </c>
      <c r="E1216" s="53">
        <v>708000.0</v>
      </c>
      <c r="F1216" s="23">
        <f>SUM(F1188:F1215)</f>
        <v>685100</v>
      </c>
      <c r="G1216" s="6">
        <f t="shared" si="11"/>
        <v>-0.03234463277</v>
      </c>
    </row>
    <row r="1217" ht="14.25" customHeight="1">
      <c r="A1217" s="1"/>
      <c r="B1217" s="2"/>
      <c r="C1217" s="3"/>
      <c r="D1217" s="4"/>
      <c r="E1217" s="5"/>
      <c r="F1217" s="5"/>
      <c r="G1217" s="6" t="str">
        <f t="shared" si="11"/>
        <v/>
      </c>
    </row>
    <row r="1218" ht="14.25" customHeight="1">
      <c r="A1218" s="1"/>
      <c r="B1218" s="33">
        <v>9240.0</v>
      </c>
      <c r="C1218" s="34"/>
      <c r="D1218" s="35" t="s">
        <v>227</v>
      </c>
      <c r="E1218" s="36">
        <v>2024.0</v>
      </c>
      <c r="F1218" s="36">
        <v>2025.0</v>
      </c>
      <c r="G1218" s="6">
        <f t="shared" si="11"/>
        <v>0.0004940711462</v>
      </c>
    </row>
    <row r="1219" ht="14.25" customHeight="1">
      <c r="A1219" s="1"/>
      <c r="B1219" s="2"/>
      <c r="C1219" s="54">
        <v>202.0</v>
      </c>
      <c r="D1219" s="73" t="s">
        <v>181</v>
      </c>
      <c r="E1219" s="20">
        <v>28000.0</v>
      </c>
      <c r="F1219" s="5">
        <v>28000.0</v>
      </c>
      <c r="G1219" s="6">
        <f t="shared" si="11"/>
        <v>0</v>
      </c>
    </row>
    <row r="1220" ht="14.25" customHeight="1">
      <c r="A1220" s="1"/>
      <c r="B1220" s="2"/>
      <c r="C1220" s="54">
        <v>212.0</v>
      </c>
      <c r="D1220" s="73" t="s">
        <v>98</v>
      </c>
      <c r="E1220" s="20">
        <v>21500.0</v>
      </c>
      <c r="F1220" s="5">
        <v>21500.0</v>
      </c>
      <c r="G1220" s="6">
        <f t="shared" si="11"/>
        <v>0</v>
      </c>
    </row>
    <row r="1221" ht="14.25" customHeight="1">
      <c r="A1221" s="1"/>
      <c r="B1221" s="2"/>
      <c r="C1221" s="54" t="s">
        <v>105</v>
      </c>
      <c r="D1221" s="73" t="s">
        <v>137</v>
      </c>
      <c r="E1221" s="20">
        <v>11000.0</v>
      </c>
      <c r="F1221" s="5">
        <v>11000.0</v>
      </c>
      <c r="G1221" s="6">
        <f t="shared" si="11"/>
        <v>0</v>
      </c>
    </row>
    <row r="1222" ht="14.25" customHeight="1">
      <c r="A1222" s="1"/>
      <c r="B1222" s="2"/>
      <c r="C1222" s="54" t="s">
        <v>107</v>
      </c>
      <c r="D1222" s="73" t="s">
        <v>108</v>
      </c>
      <c r="E1222" s="20">
        <v>11000.0</v>
      </c>
      <c r="F1222" s="5">
        <v>11000.0</v>
      </c>
      <c r="G1222" s="6">
        <f t="shared" si="11"/>
        <v>0</v>
      </c>
    </row>
    <row r="1223" ht="14.25" customHeight="1">
      <c r="A1223" s="1"/>
      <c r="B1223" s="2"/>
      <c r="C1223" s="54" t="s">
        <v>113</v>
      </c>
      <c r="D1223" s="73" t="s">
        <v>114</v>
      </c>
      <c r="E1223" s="20">
        <v>700.0</v>
      </c>
      <c r="F1223" s="5">
        <v>700.0</v>
      </c>
      <c r="G1223" s="6">
        <f t="shared" si="11"/>
        <v>0</v>
      </c>
    </row>
    <row r="1224" ht="14.25" customHeight="1">
      <c r="A1224" s="1"/>
      <c r="B1224" s="2"/>
      <c r="C1224" s="54" t="s">
        <v>115</v>
      </c>
      <c r="D1224" s="31" t="s">
        <v>116</v>
      </c>
      <c r="E1224" s="20">
        <v>600.0</v>
      </c>
      <c r="F1224" s="5">
        <v>600.0</v>
      </c>
      <c r="G1224" s="6">
        <f t="shared" si="11"/>
        <v>0</v>
      </c>
    </row>
    <row r="1225" ht="14.25" customHeight="1">
      <c r="A1225" s="1"/>
      <c r="B1225" s="2"/>
      <c r="C1225" s="54" t="s">
        <v>120</v>
      </c>
      <c r="D1225" s="31" t="s">
        <v>121</v>
      </c>
      <c r="E1225" s="20">
        <v>1800.0</v>
      </c>
      <c r="F1225" s="5">
        <v>1800.0</v>
      </c>
      <c r="G1225" s="6">
        <f t="shared" si="11"/>
        <v>0</v>
      </c>
    </row>
    <row r="1226" ht="14.25" customHeight="1">
      <c r="A1226" s="1"/>
      <c r="B1226" s="2"/>
      <c r="C1226" s="54" t="s">
        <v>124</v>
      </c>
      <c r="D1226" s="73" t="s">
        <v>125</v>
      </c>
      <c r="E1226" s="20">
        <v>800.0</v>
      </c>
      <c r="F1226" s="5">
        <v>800.0</v>
      </c>
      <c r="G1226" s="6">
        <f t="shared" si="11"/>
        <v>0</v>
      </c>
    </row>
    <row r="1227" ht="14.25" customHeight="1">
      <c r="A1227" s="1"/>
      <c r="B1227" s="2"/>
      <c r="C1227" s="54" t="s">
        <v>128</v>
      </c>
      <c r="D1227" s="73" t="s">
        <v>129</v>
      </c>
      <c r="E1227" s="20">
        <v>200.0</v>
      </c>
      <c r="F1227" s="5">
        <v>200.0</v>
      </c>
      <c r="G1227" s="6">
        <f t="shared" si="11"/>
        <v>0</v>
      </c>
    </row>
    <row r="1228" ht="14.25" customHeight="1">
      <c r="A1228" s="1"/>
      <c r="B1228" s="22">
        <v>9240.0</v>
      </c>
      <c r="E1228" s="53">
        <v>75600.0</v>
      </c>
      <c r="F1228" s="23">
        <f>SUM(F1219:F1227)</f>
        <v>75600</v>
      </c>
      <c r="G1228" s="6">
        <f t="shared" si="11"/>
        <v>0</v>
      </c>
    </row>
    <row r="1229" ht="14.25" customHeight="1">
      <c r="A1229" s="1"/>
      <c r="B1229" s="2"/>
      <c r="C1229" s="30"/>
      <c r="D1229" s="4"/>
      <c r="E1229" s="5"/>
      <c r="F1229" s="5"/>
      <c r="G1229" s="6" t="str">
        <f t="shared" si="11"/>
        <v/>
      </c>
    </row>
    <row r="1230" ht="14.25" customHeight="1">
      <c r="A1230" s="1"/>
      <c r="B1230" s="33">
        <v>9250.0</v>
      </c>
      <c r="C1230" s="34"/>
      <c r="D1230" s="35" t="s">
        <v>228</v>
      </c>
      <c r="E1230" s="36">
        <v>2024.0</v>
      </c>
      <c r="F1230" s="36">
        <v>2025.0</v>
      </c>
      <c r="G1230" s="6">
        <f t="shared" si="11"/>
        <v>0.0004940711462</v>
      </c>
    </row>
    <row r="1231" ht="14.25" customHeight="1">
      <c r="A1231" s="1"/>
      <c r="B1231" s="2"/>
      <c r="C1231" s="54">
        <v>216.0</v>
      </c>
      <c r="D1231" s="73" t="s">
        <v>138</v>
      </c>
      <c r="E1231" s="20">
        <v>50000.0</v>
      </c>
      <c r="F1231" s="20">
        <v>40000.0</v>
      </c>
      <c r="G1231" s="6">
        <f t="shared" si="11"/>
        <v>-0.2</v>
      </c>
    </row>
    <row r="1232" ht="14.25" customHeight="1">
      <c r="A1232" s="1"/>
      <c r="B1232" s="2"/>
      <c r="C1232" s="54" t="s">
        <v>115</v>
      </c>
      <c r="D1232" s="73" t="s">
        <v>116</v>
      </c>
      <c r="E1232" s="20">
        <v>200.0</v>
      </c>
      <c r="F1232" s="5">
        <v>200.0</v>
      </c>
      <c r="G1232" s="6">
        <f t="shared" si="11"/>
        <v>0</v>
      </c>
    </row>
    <row r="1233" ht="14.25" customHeight="1">
      <c r="A1233" s="1"/>
      <c r="B1233" s="2"/>
      <c r="C1233" s="54" t="s">
        <v>130</v>
      </c>
      <c r="D1233" s="73" t="s">
        <v>131</v>
      </c>
      <c r="E1233" s="20">
        <v>2000.0</v>
      </c>
      <c r="F1233" s="5">
        <v>2000.0</v>
      </c>
      <c r="G1233" s="6">
        <f t="shared" si="11"/>
        <v>0</v>
      </c>
    </row>
    <row r="1234" ht="14.25" customHeight="1">
      <c r="A1234" s="1"/>
      <c r="B1234" s="22">
        <v>9250.0</v>
      </c>
      <c r="E1234" s="53">
        <v>52200.0</v>
      </c>
      <c r="F1234" s="23">
        <f>SUM(F1231:F1233)</f>
        <v>42200</v>
      </c>
      <c r="G1234" s="6">
        <f t="shared" si="11"/>
        <v>-0.1915708812</v>
      </c>
    </row>
    <row r="1235" ht="14.25" customHeight="1">
      <c r="A1235" s="1"/>
      <c r="B1235" s="2"/>
      <c r="C1235" s="3"/>
      <c r="D1235" s="4"/>
      <c r="E1235" s="5"/>
      <c r="F1235" s="5"/>
      <c r="G1235" s="6" t="str">
        <f t="shared" si="11"/>
        <v/>
      </c>
    </row>
    <row r="1236" ht="14.25" customHeight="1">
      <c r="A1236" s="1"/>
      <c r="B1236" s="33">
        <v>9290.0</v>
      </c>
      <c r="C1236" s="34"/>
      <c r="D1236" s="35" t="s">
        <v>229</v>
      </c>
      <c r="E1236" s="36">
        <v>2024.0</v>
      </c>
      <c r="F1236" s="36">
        <v>2025.0</v>
      </c>
      <c r="G1236" s="6">
        <f t="shared" si="11"/>
        <v>0.0004940711462</v>
      </c>
    </row>
    <row r="1237" ht="14.25" customHeight="1">
      <c r="A1237" s="1"/>
      <c r="B1237" s="2"/>
      <c r="C1237" s="54">
        <v>202.0</v>
      </c>
      <c r="D1237" s="73" t="s">
        <v>181</v>
      </c>
      <c r="E1237" s="20">
        <v>200.0</v>
      </c>
      <c r="F1237" s="5">
        <v>200.0</v>
      </c>
      <c r="G1237" s="6">
        <f t="shared" si="11"/>
        <v>0</v>
      </c>
    </row>
    <row r="1238" ht="14.25" customHeight="1">
      <c r="A1238" s="1"/>
      <c r="B1238" s="2"/>
      <c r="C1238" s="54">
        <v>212.0</v>
      </c>
      <c r="D1238" s="73" t="s">
        <v>98</v>
      </c>
      <c r="E1238" s="20">
        <v>9400.0</v>
      </c>
      <c r="F1238" s="5">
        <v>9400.0</v>
      </c>
      <c r="G1238" s="6">
        <f t="shared" si="11"/>
        <v>0</v>
      </c>
    </row>
    <row r="1239" ht="14.25" customHeight="1">
      <c r="A1239" s="1"/>
      <c r="B1239" s="2"/>
      <c r="C1239" s="54">
        <v>213.0</v>
      </c>
      <c r="D1239" s="73" t="s">
        <v>99</v>
      </c>
      <c r="E1239" s="20">
        <v>100.0</v>
      </c>
      <c r="F1239" s="5">
        <v>100.0</v>
      </c>
      <c r="G1239" s="6">
        <f t="shared" si="11"/>
        <v>0</v>
      </c>
    </row>
    <row r="1240" ht="14.25" customHeight="1">
      <c r="A1240" s="1"/>
      <c r="B1240" s="2"/>
      <c r="C1240" s="54" t="s">
        <v>105</v>
      </c>
      <c r="D1240" s="73" t="s">
        <v>106</v>
      </c>
      <c r="E1240" s="20">
        <v>6000.0</v>
      </c>
      <c r="F1240" s="5">
        <v>6000.0</v>
      </c>
      <c r="G1240" s="6">
        <f t="shared" si="11"/>
        <v>0</v>
      </c>
    </row>
    <row r="1241" ht="14.25" customHeight="1">
      <c r="A1241" s="1"/>
      <c r="B1241" s="2"/>
      <c r="C1241" s="54" t="s">
        <v>107</v>
      </c>
      <c r="D1241" s="73" t="s">
        <v>108</v>
      </c>
      <c r="E1241" s="20">
        <v>600.0</v>
      </c>
      <c r="F1241" s="5">
        <v>600.0</v>
      </c>
      <c r="G1241" s="6">
        <f t="shared" si="11"/>
        <v>0</v>
      </c>
    </row>
    <row r="1242" ht="14.25" customHeight="1">
      <c r="A1242" s="1"/>
      <c r="B1242" s="2"/>
      <c r="C1242" s="54" t="s">
        <v>113</v>
      </c>
      <c r="D1242" s="73" t="s">
        <v>114</v>
      </c>
      <c r="E1242" s="20">
        <v>300.0</v>
      </c>
      <c r="F1242" s="5">
        <v>300.0</v>
      </c>
      <c r="G1242" s="6">
        <f t="shared" si="11"/>
        <v>0</v>
      </c>
    </row>
    <row r="1243" ht="14.25" customHeight="1">
      <c r="A1243" s="1"/>
      <c r="B1243" s="2"/>
      <c r="C1243" s="54">
        <v>223.0</v>
      </c>
      <c r="D1243" s="73" t="s">
        <v>149</v>
      </c>
      <c r="E1243" s="20">
        <v>200.0</v>
      </c>
      <c r="F1243" s="5">
        <v>200.0</v>
      </c>
      <c r="G1243" s="6">
        <f t="shared" si="11"/>
        <v>0</v>
      </c>
    </row>
    <row r="1244" ht="14.25" customHeight="1">
      <c r="A1244" s="1"/>
      <c r="B1244" s="2"/>
      <c r="C1244" s="54">
        <v>224.0</v>
      </c>
      <c r="D1244" s="73" t="s">
        <v>119</v>
      </c>
      <c r="E1244" s="20">
        <v>200.0</v>
      </c>
      <c r="F1244" s="5">
        <v>200.0</v>
      </c>
      <c r="G1244" s="6">
        <f t="shared" si="11"/>
        <v>0</v>
      </c>
    </row>
    <row r="1245" ht="14.25" customHeight="1">
      <c r="A1245" s="1"/>
      <c r="B1245" s="2"/>
      <c r="C1245" s="54" t="s">
        <v>120</v>
      </c>
      <c r="D1245" s="31" t="s">
        <v>121</v>
      </c>
      <c r="E1245" s="20">
        <v>1100.0</v>
      </c>
      <c r="F1245" s="5">
        <v>1100.0</v>
      </c>
      <c r="G1245" s="6">
        <f t="shared" si="11"/>
        <v>0</v>
      </c>
    </row>
    <row r="1246" ht="14.25" customHeight="1">
      <c r="A1246" s="1"/>
      <c r="B1246" s="22">
        <v>9290.0</v>
      </c>
      <c r="E1246" s="53">
        <v>18100.0</v>
      </c>
      <c r="F1246" s="23">
        <f>SUM(F1237:F1245)</f>
        <v>18100</v>
      </c>
      <c r="G1246" s="6">
        <f t="shared" si="11"/>
        <v>0</v>
      </c>
    </row>
    <row r="1247" ht="14.25" customHeight="1">
      <c r="A1247" s="1"/>
      <c r="B1247" s="2"/>
      <c r="C1247" s="3"/>
      <c r="D1247" s="4"/>
      <c r="E1247" s="5"/>
      <c r="F1247" s="5"/>
      <c r="G1247" s="6" t="str">
        <f t="shared" si="11"/>
        <v/>
      </c>
    </row>
    <row r="1248" ht="14.25" customHeight="1">
      <c r="A1248" s="1"/>
      <c r="B1248" s="33">
        <v>9300.0</v>
      </c>
      <c r="C1248" s="34"/>
      <c r="D1248" s="35" t="s">
        <v>230</v>
      </c>
      <c r="E1248" s="36">
        <v>2024.0</v>
      </c>
      <c r="F1248" s="36">
        <v>2025.0</v>
      </c>
      <c r="G1248" s="6">
        <f t="shared" si="11"/>
        <v>0.0004940711462</v>
      </c>
    </row>
    <row r="1249" ht="14.25" customHeight="1">
      <c r="A1249" s="1"/>
      <c r="B1249" s="2"/>
      <c r="C1249" s="54">
        <v>212.0</v>
      </c>
      <c r="D1249" s="73" t="s">
        <v>98</v>
      </c>
      <c r="E1249" s="20">
        <v>80000.0</v>
      </c>
      <c r="F1249" s="5">
        <v>80000.0</v>
      </c>
      <c r="G1249" s="6">
        <f t="shared" si="11"/>
        <v>0</v>
      </c>
    </row>
    <row r="1250" ht="14.25" customHeight="1">
      <c r="A1250" s="1"/>
      <c r="B1250" s="2"/>
      <c r="C1250" s="54" t="s">
        <v>105</v>
      </c>
      <c r="D1250" s="73" t="s">
        <v>106</v>
      </c>
      <c r="E1250" s="20">
        <v>10000.0</v>
      </c>
      <c r="F1250" s="5">
        <v>10000.0</v>
      </c>
      <c r="G1250" s="6">
        <f t="shared" si="11"/>
        <v>0</v>
      </c>
    </row>
    <row r="1251" ht="14.25" customHeight="1">
      <c r="A1251" s="1"/>
      <c r="B1251" s="2"/>
      <c r="C1251" s="54" t="s">
        <v>115</v>
      </c>
      <c r="D1251" s="31" t="s">
        <v>116</v>
      </c>
      <c r="E1251" s="20">
        <v>2000.0</v>
      </c>
      <c r="F1251" s="5">
        <v>2000.0</v>
      </c>
      <c r="G1251" s="6">
        <f t="shared" si="11"/>
        <v>0</v>
      </c>
    </row>
    <row r="1252" ht="14.25" customHeight="1">
      <c r="A1252" s="1"/>
      <c r="B1252" s="22">
        <v>9300.0</v>
      </c>
      <c r="E1252" s="53">
        <v>92000.0</v>
      </c>
      <c r="F1252" s="23">
        <f>SUM(F1249:F1251)</f>
        <v>92000</v>
      </c>
      <c r="G1252" s="6">
        <f t="shared" si="11"/>
        <v>0</v>
      </c>
    </row>
    <row r="1253" ht="14.25" customHeight="1">
      <c r="A1253" s="1"/>
      <c r="B1253" s="2"/>
      <c r="C1253" s="3"/>
      <c r="D1253" s="4"/>
      <c r="E1253" s="5"/>
      <c r="F1253" s="5"/>
      <c r="G1253" s="6" t="str">
        <f t="shared" si="11"/>
        <v/>
      </c>
    </row>
    <row r="1254" ht="14.25" customHeight="1">
      <c r="A1254" s="1"/>
      <c r="B1254" s="33">
        <v>9310.0</v>
      </c>
      <c r="C1254" s="34"/>
      <c r="D1254" s="35" t="s">
        <v>91</v>
      </c>
      <c r="E1254" s="36">
        <v>2024.0</v>
      </c>
      <c r="F1254" s="36">
        <v>2025.0</v>
      </c>
      <c r="G1254" s="6">
        <f t="shared" si="11"/>
        <v>0.0004940711462</v>
      </c>
    </row>
    <row r="1255" ht="14.25" customHeight="1">
      <c r="A1255" s="1"/>
      <c r="B1255" s="2"/>
      <c r="C1255" s="54">
        <v>216.0</v>
      </c>
      <c r="D1255" s="73" t="s">
        <v>138</v>
      </c>
      <c r="E1255" s="20">
        <v>10000.0</v>
      </c>
      <c r="F1255" s="5">
        <v>10000.0</v>
      </c>
      <c r="G1255" s="6">
        <f t="shared" si="11"/>
        <v>0</v>
      </c>
    </row>
    <row r="1256" ht="14.25" customHeight="1">
      <c r="A1256" s="1"/>
      <c r="B1256" s="2"/>
      <c r="C1256" s="54" t="s">
        <v>103</v>
      </c>
      <c r="D1256" s="31" t="s">
        <v>104</v>
      </c>
      <c r="E1256" s="20">
        <v>4200.0</v>
      </c>
      <c r="F1256" s="5">
        <v>4200.0</v>
      </c>
      <c r="G1256" s="6">
        <f t="shared" si="11"/>
        <v>0</v>
      </c>
    </row>
    <row r="1257" ht="14.25" customHeight="1">
      <c r="A1257" s="1"/>
      <c r="B1257" s="2"/>
      <c r="C1257" s="54" t="s">
        <v>139</v>
      </c>
      <c r="D1257" s="31" t="s">
        <v>192</v>
      </c>
      <c r="E1257" s="20">
        <v>100.0</v>
      </c>
      <c r="F1257" s="5">
        <v>100.0</v>
      </c>
      <c r="G1257" s="6">
        <f t="shared" si="11"/>
        <v>0</v>
      </c>
    </row>
    <row r="1258" ht="14.25" customHeight="1">
      <c r="A1258" s="1"/>
      <c r="B1258" s="2"/>
      <c r="C1258" s="54" t="s">
        <v>115</v>
      </c>
      <c r="D1258" s="31" t="s">
        <v>116</v>
      </c>
      <c r="E1258" s="20">
        <v>250.0</v>
      </c>
      <c r="F1258" s="5">
        <v>250.0</v>
      </c>
      <c r="G1258" s="6">
        <f t="shared" si="11"/>
        <v>0</v>
      </c>
    </row>
    <row r="1259" ht="14.25" customHeight="1">
      <c r="A1259" s="1"/>
      <c r="B1259" s="2"/>
      <c r="C1259" s="54" t="s">
        <v>126</v>
      </c>
      <c r="D1259" s="73" t="s">
        <v>127</v>
      </c>
      <c r="E1259" s="20">
        <v>500.0</v>
      </c>
      <c r="F1259" s="5">
        <v>500.0</v>
      </c>
      <c r="G1259" s="6">
        <f t="shared" si="11"/>
        <v>0</v>
      </c>
    </row>
    <row r="1260" ht="14.25" customHeight="1">
      <c r="A1260" s="1"/>
      <c r="B1260" s="2"/>
      <c r="C1260" s="54" t="s">
        <v>142</v>
      </c>
      <c r="D1260" s="73" t="s">
        <v>143</v>
      </c>
      <c r="E1260" s="20">
        <v>30000.0</v>
      </c>
      <c r="F1260" s="5">
        <v>30000.0</v>
      </c>
      <c r="G1260" s="6">
        <f t="shared" si="11"/>
        <v>0</v>
      </c>
    </row>
    <row r="1261" ht="14.25" customHeight="1">
      <c r="A1261" s="1"/>
      <c r="B1261" s="2"/>
      <c r="C1261" s="54" t="s">
        <v>132</v>
      </c>
      <c r="D1261" s="73" t="s">
        <v>133</v>
      </c>
      <c r="E1261" s="20">
        <v>200.0</v>
      </c>
      <c r="F1261" s="5">
        <v>200.0</v>
      </c>
      <c r="G1261" s="6">
        <f t="shared" si="11"/>
        <v>0</v>
      </c>
    </row>
    <row r="1262" ht="14.25" customHeight="1">
      <c r="A1262" s="1"/>
      <c r="B1262" s="22">
        <v>9310.0</v>
      </c>
      <c r="E1262" s="53">
        <v>45250.0</v>
      </c>
      <c r="F1262" s="23">
        <f>SUM(F1255:F1261)</f>
        <v>45250</v>
      </c>
      <c r="G1262" s="6">
        <f t="shared" si="11"/>
        <v>0</v>
      </c>
    </row>
    <row r="1263" ht="14.25" customHeight="1">
      <c r="A1263" s="1"/>
      <c r="B1263" s="2"/>
      <c r="C1263" s="3"/>
      <c r="D1263" s="4"/>
      <c r="E1263" s="5"/>
      <c r="F1263" s="5"/>
      <c r="G1263" s="6" t="str">
        <f t="shared" si="11"/>
        <v/>
      </c>
    </row>
    <row r="1264" ht="14.25" customHeight="1">
      <c r="A1264" s="1"/>
      <c r="B1264" s="33">
        <v>9320.0</v>
      </c>
      <c r="C1264" s="34"/>
      <c r="D1264" s="35" t="s">
        <v>92</v>
      </c>
      <c r="E1264" s="36">
        <v>2024.0</v>
      </c>
      <c r="F1264" s="36">
        <v>2025.0</v>
      </c>
      <c r="G1264" s="6">
        <f t="shared" si="11"/>
        <v>0.0004940711462</v>
      </c>
    </row>
    <row r="1265" ht="14.25" customHeight="1">
      <c r="A1265" s="1"/>
      <c r="B1265" s="2"/>
      <c r="C1265" s="54">
        <v>216.0</v>
      </c>
      <c r="D1265" s="73" t="s">
        <v>138</v>
      </c>
      <c r="E1265" s="20">
        <v>38000.0</v>
      </c>
      <c r="F1265" s="5">
        <v>38000.0</v>
      </c>
      <c r="G1265" s="6">
        <f t="shared" si="11"/>
        <v>0</v>
      </c>
    </row>
    <row r="1266" ht="14.25" customHeight="1">
      <c r="A1266" s="1"/>
      <c r="B1266" s="2"/>
      <c r="C1266" s="54" t="s">
        <v>103</v>
      </c>
      <c r="D1266" s="73" t="s">
        <v>104</v>
      </c>
      <c r="E1266" s="20">
        <v>13000.0</v>
      </c>
      <c r="F1266" s="20">
        <v>10000.0</v>
      </c>
      <c r="G1266" s="6">
        <f t="shared" si="11"/>
        <v>-0.2307692308</v>
      </c>
    </row>
    <row r="1267" ht="14.25" customHeight="1">
      <c r="A1267" s="1"/>
      <c r="B1267" s="2"/>
      <c r="C1267" s="54" t="s">
        <v>139</v>
      </c>
      <c r="D1267" s="31" t="s">
        <v>192</v>
      </c>
      <c r="E1267" s="20">
        <v>1100.0</v>
      </c>
      <c r="F1267" s="5">
        <f>500+600</f>
        <v>1100</v>
      </c>
      <c r="G1267" s="6">
        <f t="shared" si="11"/>
        <v>0</v>
      </c>
    </row>
    <row r="1268" ht="14.25" customHeight="1">
      <c r="A1268" s="1"/>
      <c r="B1268" s="2"/>
      <c r="C1268" s="54" t="s">
        <v>107</v>
      </c>
      <c r="D1268" s="73" t="s">
        <v>108</v>
      </c>
      <c r="E1268" s="20">
        <v>0.0</v>
      </c>
      <c r="F1268" s="5">
        <v>0.0</v>
      </c>
      <c r="G1268" s="6" t="str">
        <f t="shared" si="11"/>
        <v/>
      </c>
    </row>
    <row r="1269" ht="14.25" customHeight="1">
      <c r="A1269" s="1"/>
      <c r="B1269" s="2"/>
      <c r="C1269" s="54" t="s">
        <v>115</v>
      </c>
      <c r="D1269" s="73" t="s">
        <v>116</v>
      </c>
      <c r="E1269" s="20">
        <v>2500.0</v>
      </c>
      <c r="F1269" s="5">
        <v>2500.0</v>
      </c>
      <c r="G1269" s="6">
        <f t="shared" si="11"/>
        <v>0</v>
      </c>
    </row>
    <row r="1270" ht="14.25" customHeight="1">
      <c r="A1270" s="1"/>
      <c r="B1270" s="2"/>
      <c r="C1270" s="54" t="s">
        <v>117</v>
      </c>
      <c r="D1270" s="73" t="s">
        <v>118</v>
      </c>
      <c r="E1270" s="20">
        <v>20000.0</v>
      </c>
      <c r="F1270" s="20">
        <v>80000.0</v>
      </c>
      <c r="G1270" s="6">
        <f t="shared" si="11"/>
        <v>3</v>
      </c>
    </row>
    <row r="1271" ht="14.25" customHeight="1">
      <c r="A1271" s="1"/>
      <c r="B1271" s="2"/>
      <c r="C1271" s="54" t="s">
        <v>124</v>
      </c>
      <c r="D1271" s="73" t="s">
        <v>125</v>
      </c>
      <c r="E1271" s="20">
        <v>7600.0</v>
      </c>
      <c r="F1271" s="5">
        <f>2500+5100</f>
        <v>7600</v>
      </c>
      <c r="G1271" s="6">
        <f t="shared" si="11"/>
        <v>0</v>
      </c>
    </row>
    <row r="1272" ht="14.25" customHeight="1">
      <c r="A1272" s="1"/>
      <c r="B1272" s="2"/>
      <c r="C1272" s="54" t="s">
        <v>126</v>
      </c>
      <c r="D1272" s="73" t="s">
        <v>127</v>
      </c>
      <c r="E1272" s="20">
        <v>500.0</v>
      </c>
      <c r="F1272" s="5">
        <f>300+200</f>
        <v>500</v>
      </c>
      <c r="G1272" s="6">
        <f t="shared" si="11"/>
        <v>0</v>
      </c>
    </row>
    <row r="1273" ht="14.25" customHeight="1">
      <c r="A1273" s="1"/>
      <c r="B1273" s="2"/>
      <c r="C1273" s="54" t="s">
        <v>128</v>
      </c>
      <c r="D1273" s="73" t="s">
        <v>129</v>
      </c>
      <c r="E1273" s="20">
        <v>300.0</v>
      </c>
      <c r="F1273" s="20">
        <v>3000.0</v>
      </c>
      <c r="G1273" s="6">
        <f t="shared" si="11"/>
        <v>9</v>
      </c>
    </row>
    <row r="1274" ht="14.25" customHeight="1">
      <c r="A1274" s="1"/>
      <c r="B1274" s="2"/>
      <c r="C1274" s="83" t="s">
        <v>142</v>
      </c>
      <c r="D1274" s="73" t="s">
        <v>143</v>
      </c>
      <c r="E1274" s="20"/>
      <c r="F1274" s="20">
        <v>15000.0</v>
      </c>
      <c r="G1274" s="6"/>
    </row>
    <row r="1275" ht="14.25" customHeight="1">
      <c r="A1275" s="1"/>
      <c r="B1275" s="2"/>
      <c r="C1275" s="54" t="s">
        <v>132</v>
      </c>
      <c r="D1275" s="73" t="s">
        <v>133</v>
      </c>
      <c r="E1275" s="20">
        <v>1100.0</v>
      </c>
      <c r="F1275" s="5">
        <f>100+1000</f>
        <v>1100</v>
      </c>
      <c r="G1275" s="6">
        <f t="shared" ref="G1275:G1337" si="12">IFERROR(((F1275-E1275)/E1275), "")</f>
        <v>0</v>
      </c>
    </row>
    <row r="1276" ht="14.25" customHeight="1">
      <c r="A1276" s="1"/>
      <c r="B1276" s="22">
        <v>9320.0</v>
      </c>
      <c r="E1276" s="53">
        <v>84100.0</v>
      </c>
      <c r="F1276" s="23">
        <f>SUM(F1265:F1275)</f>
        <v>158800</v>
      </c>
      <c r="G1276" s="6">
        <f t="shared" si="12"/>
        <v>0.8882282996</v>
      </c>
    </row>
    <row r="1277" ht="14.25" customHeight="1">
      <c r="A1277" s="1"/>
      <c r="B1277" s="2"/>
      <c r="C1277" s="54"/>
      <c r="D1277" s="30"/>
      <c r="E1277" s="32"/>
      <c r="F1277" s="32"/>
      <c r="G1277" s="6" t="str">
        <f t="shared" si="12"/>
        <v/>
      </c>
    </row>
    <row r="1278" ht="14.25" customHeight="1">
      <c r="A1278" s="1"/>
      <c r="B1278" s="33">
        <v>9330.0</v>
      </c>
      <c r="C1278" s="34"/>
      <c r="D1278" s="35" t="s">
        <v>93</v>
      </c>
      <c r="E1278" s="36">
        <v>2024.0</v>
      </c>
      <c r="F1278" s="36">
        <v>2025.0</v>
      </c>
      <c r="G1278" s="6">
        <f t="shared" si="12"/>
        <v>0.0004940711462</v>
      </c>
    </row>
    <row r="1279" ht="14.25" customHeight="1">
      <c r="A1279" s="1"/>
      <c r="B1279" s="2"/>
      <c r="C1279" s="54" t="s">
        <v>103</v>
      </c>
      <c r="D1279" s="31" t="s">
        <v>104</v>
      </c>
      <c r="E1279" s="20">
        <v>1200.0</v>
      </c>
      <c r="F1279" s="5">
        <v>1200.0</v>
      </c>
      <c r="G1279" s="6">
        <f t="shared" si="12"/>
        <v>0</v>
      </c>
    </row>
    <row r="1280" ht="14.25" customHeight="1">
      <c r="A1280" s="1"/>
      <c r="B1280" s="2"/>
      <c r="C1280" s="54" t="s">
        <v>115</v>
      </c>
      <c r="D1280" s="31" t="s">
        <v>116</v>
      </c>
      <c r="E1280" s="20">
        <v>300.0</v>
      </c>
      <c r="F1280" s="5">
        <v>300.0</v>
      </c>
      <c r="G1280" s="6">
        <f t="shared" si="12"/>
        <v>0</v>
      </c>
    </row>
    <row r="1281" ht="14.25" customHeight="1">
      <c r="A1281" s="1"/>
      <c r="B1281" s="2"/>
      <c r="C1281" s="54" t="s">
        <v>142</v>
      </c>
      <c r="D1281" s="73" t="s">
        <v>143</v>
      </c>
      <c r="E1281" s="20">
        <v>0.0</v>
      </c>
      <c r="F1281" s="5">
        <v>0.0</v>
      </c>
      <c r="G1281" s="6" t="str">
        <f t="shared" si="12"/>
        <v/>
      </c>
    </row>
    <row r="1282" ht="14.25" customHeight="1">
      <c r="A1282" s="1"/>
      <c r="B1282" s="2"/>
      <c r="C1282" s="54" t="s">
        <v>128</v>
      </c>
      <c r="D1282" s="73" t="s">
        <v>129</v>
      </c>
      <c r="E1282" s="20">
        <v>100.0</v>
      </c>
      <c r="F1282" s="5">
        <v>100.0</v>
      </c>
      <c r="G1282" s="6">
        <f t="shared" si="12"/>
        <v>0</v>
      </c>
    </row>
    <row r="1283" ht="14.25" customHeight="1">
      <c r="A1283" s="1"/>
      <c r="B1283" s="22">
        <v>9330.0</v>
      </c>
      <c r="E1283" s="53">
        <v>1600.0</v>
      </c>
      <c r="F1283" s="23">
        <f>SUM(F1279:F1282)</f>
        <v>1600</v>
      </c>
      <c r="G1283" s="6">
        <f t="shared" si="12"/>
        <v>0</v>
      </c>
    </row>
    <row r="1284" ht="14.25" customHeight="1">
      <c r="A1284" s="1"/>
      <c r="B1284" s="2"/>
      <c r="C1284" s="54"/>
      <c r="D1284" s="30"/>
      <c r="E1284" s="32"/>
      <c r="F1284" s="32"/>
      <c r="G1284" s="6" t="str">
        <f t="shared" si="12"/>
        <v/>
      </c>
    </row>
    <row r="1285" ht="14.25" customHeight="1">
      <c r="A1285" s="1"/>
      <c r="B1285" s="33">
        <v>9340.0</v>
      </c>
      <c r="C1285" s="34"/>
      <c r="D1285" s="35" t="s">
        <v>94</v>
      </c>
      <c r="E1285" s="36">
        <v>2024.0</v>
      </c>
      <c r="F1285" s="36">
        <v>2025.0</v>
      </c>
      <c r="G1285" s="6">
        <f t="shared" si="12"/>
        <v>0.0004940711462</v>
      </c>
    </row>
    <row r="1286" ht="14.25" customHeight="1">
      <c r="A1286" s="1"/>
      <c r="B1286" s="61"/>
      <c r="C1286" s="54" t="s">
        <v>117</v>
      </c>
      <c r="D1286" s="73" t="s">
        <v>118</v>
      </c>
      <c r="E1286" s="20">
        <v>500.0</v>
      </c>
      <c r="F1286" s="5">
        <v>500.0</v>
      </c>
      <c r="G1286" s="6">
        <f t="shared" si="12"/>
        <v>0</v>
      </c>
    </row>
    <row r="1287" ht="14.25" customHeight="1">
      <c r="A1287" s="1"/>
      <c r="B1287" s="61"/>
      <c r="C1287" s="54" t="s">
        <v>132</v>
      </c>
      <c r="D1287" s="73" t="s">
        <v>133</v>
      </c>
      <c r="E1287" s="20">
        <v>500.0</v>
      </c>
      <c r="F1287" s="5">
        <v>500.0</v>
      </c>
      <c r="G1287" s="6">
        <f t="shared" si="12"/>
        <v>0</v>
      </c>
    </row>
    <row r="1288" ht="14.25" customHeight="1">
      <c r="A1288" s="1"/>
      <c r="B1288" s="2"/>
      <c r="C1288" s="54" t="s">
        <v>130</v>
      </c>
      <c r="D1288" s="73" t="s">
        <v>131</v>
      </c>
      <c r="E1288" s="20">
        <v>75000.0</v>
      </c>
      <c r="F1288" s="5">
        <v>75000.0</v>
      </c>
      <c r="G1288" s="6">
        <f t="shared" si="12"/>
        <v>0</v>
      </c>
    </row>
    <row r="1289" ht="14.25" customHeight="1">
      <c r="A1289" s="1"/>
      <c r="B1289" s="22">
        <v>9340.0</v>
      </c>
      <c r="E1289" s="53">
        <v>76000.0</v>
      </c>
      <c r="F1289" s="23">
        <f>SUM(F1286:F1288)</f>
        <v>76000</v>
      </c>
      <c r="G1289" s="6">
        <f t="shared" si="12"/>
        <v>0</v>
      </c>
    </row>
    <row r="1290" ht="14.25" customHeight="1">
      <c r="A1290" s="1"/>
      <c r="B1290" s="2"/>
      <c r="C1290" s="54"/>
      <c r="D1290" s="30"/>
      <c r="E1290" s="4"/>
      <c r="F1290" s="4"/>
      <c r="G1290" s="6" t="str">
        <f t="shared" si="12"/>
        <v/>
      </c>
    </row>
    <row r="1291" ht="14.25" customHeight="1">
      <c r="A1291" s="1"/>
      <c r="B1291" s="2"/>
      <c r="C1291" s="54"/>
      <c r="D1291" s="22" t="s">
        <v>231</v>
      </c>
      <c r="E1291" s="93">
        <v>1.955067E7</v>
      </c>
      <c r="F1291" s="65">
        <f>SUM(F532,F539,F557,F577,F594,F603,F609,F632,F643,F667,F672,F680,F684,F698,F719,F738,F745,F749,F769,F777,F794,F806,F823,F827,F833,F845,F857,F878,F895,F912,F928,F942,F957,F973,F989,F1006,F1023,F1029,F1034,F1052,F1062,F1086,F1090,F1097,F1102,F1120,F1127,F1146,F1150,F1166,F1185,F1216,F1228,F1234,F1246,F1252,F1262,F1276,F1283,F1289)</f>
        <v>19430030</v>
      </c>
      <c r="G1291" s="6">
        <f t="shared" si="12"/>
        <v>-0.006170632515</v>
      </c>
    </row>
    <row r="1292" ht="14.25" customHeight="1">
      <c r="A1292" s="1"/>
      <c r="B1292" s="2"/>
      <c r="C1292" s="54"/>
      <c r="D1292" s="30"/>
      <c r="E1292" s="4"/>
      <c r="F1292" s="4"/>
      <c r="G1292" s="6" t="str">
        <f t="shared" si="12"/>
        <v/>
      </c>
    </row>
    <row r="1293" ht="14.25" customHeight="1">
      <c r="A1293" s="1"/>
      <c r="B1293" s="2"/>
      <c r="C1293" s="54"/>
      <c r="D1293" s="30"/>
      <c r="E1293" s="4"/>
      <c r="F1293" s="4"/>
      <c r="G1293" s="6" t="str">
        <f t="shared" si="12"/>
        <v/>
      </c>
    </row>
    <row r="1294" ht="14.25" customHeight="1">
      <c r="A1294" s="1"/>
      <c r="B1294" s="2"/>
      <c r="C1294" s="54"/>
      <c r="D1294" s="30"/>
      <c r="E1294" s="4"/>
      <c r="F1294" s="4"/>
      <c r="G1294" s="6" t="str">
        <f t="shared" si="12"/>
        <v/>
      </c>
    </row>
    <row r="1295" ht="14.25" customHeight="1">
      <c r="A1295" s="1"/>
      <c r="B1295" s="8" t="s">
        <v>0</v>
      </c>
      <c r="C1295" s="9"/>
      <c r="D1295" s="10" t="s">
        <v>232</v>
      </c>
      <c r="E1295" s="11"/>
      <c r="F1295" s="11"/>
      <c r="G1295" s="6" t="str">
        <f t="shared" si="12"/>
        <v/>
      </c>
    </row>
    <row r="1296" ht="14.25" customHeight="1">
      <c r="A1296" s="1"/>
      <c r="B1296" s="94" t="s">
        <v>2</v>
      </c>
      <c r="C1296" s="95" t="s">
        <v>3</v>
      </c>
      <c r="D1296" s="96"/>
      <c r="E1296" s="97">
        <v>2024.0</v>
      </c>
      <c r="F1296" s="98">
        <v>2025.0</v>
      </c>
      <c r="G1296" s="6">
        <f t="shared" si="12"/>
        <v>0.0004940711462</v>
      </c>
    </row>
    <row r="1297" ht="14.25" customHeight="1">
      <c r="A1297" s="1"/>
      <c r="B1297" s="99" t="s">
        <v>233</v>
      </c>
      <c r="C1297" s="34"/>
      <c r="D1297" s="35" t="s">
        <v>234</v>
      </c>
      <c r="E1297" s="35">
        <v>2024.0</v>
      </c>
      <c r="F1297" s="36">
        <v>2025.0</v>
      </c>
      <c r="G1297" s="6">
        <f t="shared" si="12"/>
        <v>0.0004940711462</v>
      </c>
    </row>
    <row r="1298" ht="14.25" customHeight="1">
      <c r="A1298" s="1"/>
      <c r="B1298" s="2"/>
      <c r="C1298" s="3" t="s">
        <v>235</v>
      </c>
      <c r="D1298" s="41" t="s">
        <v>236</v>
      </c>
      <c r="E1298" s="20">
        <v>160000.0</v>
      </c>
      <c r="F1298" s="5">
        <v>160000.0</v>
      </c>
      <c r="G1298" s="6">
        <f t="shared" si="12"/>
        <v>0</v>
      </c>
    </row>
    <row r="1299" ht="14.25" customHeight="1">
      <c r="A1299" s="1"/>
      <c r="B1299" s="2"/>
      <c r="C1299" s="3" t="s">
        <v>237</v>
      </c>
      <c r="D1299" s="4" t="s">
        <v>238</v>
      </c>
      <c r="E1299" s="5">
        <v>0.0</v>
      </c>
      <c r="F1299" s="5">
        <v>0.0</v>
      </c>
      <c r="G1299" s="6" t="str">
        <f t="shared" si="12"/>
        <v/>
      </c>
    </row>
    <row r="1300" ht="14.25" customHeight="1">
      <c r="A1300" s="1"/>
      <c r="B1300" s="100" t="s">
        <v>233</v>
      </c>
      <c r="E1300" s="23">
        <v>160000.0</v>
      </c>
      <c r="F1300" s="23">
        <f>SUM(F1298:F1299)</f>
        <v>160000</v>
      </c>
      <c r="G1300" s="6">
        <f t="shared" si="12"/>
        <v>0</v>
      </c>
    </row>
    <row r="1301" ht="14.25" customHeight="1">
      <c r="A1301" s="1"/>
      <c r="B1301" s="2"/>
      <c r="C1301" s="3"/>
      <c r="D1301" s="4"/>
      <c r="E1301" s="5"/>
      <c r="F1301" s="5"/>
      <c r="G1301" s="6" t="str">
        <f t="shared" si="12"/>
        <v/>
      </c>
    </row>
    <row r="1302" ht="14.25" customHeight="1">
      <c r="A1302" s="1"/>
      <c r="B1302" s="33">
        <v>9340.0</v>
      </c>
      <c r="C1302" s="34"/>
      <c r="D1302" s="35" t="s">
        <v>94</v>
      </c>
      <c r="E1302" s="35">
        <v>2024.0</v>
      </c>
      <c r="F1302" s="36">
        <v>2025.0</v>
      </c>
      <c r="G1302" s="6">
        <f t="shared" si="12"/>
        <v>0.0004940711462</v>
      </c>
    </row>
    <row r="1303" ht="14.25" customHeight="1">
      <c r="A1303" s="1"/>
      <c r="B1303" s="7"/>
      <c r="C1303" s="3" t="s">
        <v>239</v>
      </c>
      <c r="D1303" s="4" t="s">
        <v>240</v>
      </c>
      <c r="E1303" s="5">
        <v>10300.0</v>
      </c>
      <c r="F1303" s="5">
        <v>10300.0</v>
      </c>
      <c r="G1303" s="6">
        <f t="shared" si="12"/>
        <v>0</v>
      </c>
    </row>
    <row r="1304" ht="14.25" customHeight="1">
      <c r="A1304" s="1"/>
      <c r="B1304" s="22">
        <v>9340.0</v>
      </c>
      <c r="E1304" s="23">
        <v>10300.0</v>
      </c>
      <c r="F1304" s="23">
        <f>SUM(F1303)</f>
        <v>10300</v>
      </c>
      <c r="G1304" s="6">
        <f t="shared" si="12"/>
        <v>0</v>
      </c>
    </row>
    <row r="1305" ht="14.25" customHeight="1">
      <c r="A1305" s="1"/>
      <c r="B1305" s="2"/>
      <c r="C1305" s="3"/>
      <c r="D1305" s="4"/>
      <c r="E1305" s="5"/>
      <c r="F1305" s="5"/>
      <c r="G1305" s="6" t="str">
        <f t="shared" si="12"/>
        <v/>
      </c>
    </row>
    <row r="1306" ht="14.25" customHeight="1">
      <c r="A1306" s="1"/>
      <c r="B1306" s="2"/>
      <c r="C1306" s="54"/>
      <c r="D1306" s="22" t="s">
        <v>241</v>
      </c>
      <c r="E1306" s="65">
        <v>170300.0</v>
      </c>
      <c r="F1306" s="65">
        <f>F1304+F1300</f>
        <v>170300</v>
      </c>
      <c r="G1306" s="6">
        <f t="shared" si="12"/>
        <v>0</v>
      </c>
    </row>
    <row r="1307" ht="14.25" customHeight="1">
      <c r="A1307" s="1"/>
      <c r="B1307" s="2"/>
      <c r="C1307" s="3"/>
      <c r="D1307" s="4"/>
      <c r="E1307" s="5"/>
      <c r="F1307" s="5"/>
      <c r="G1307" s="6" t="str">
        <f t="shared" si="12"/>
        <v/>
      </c>
    </row>
    <row r="1308" ht="14.25" customHeight="1">
      <c r="A1308" s="1"/>
      <c r="B1308" s="2"/>
      <c r="C1308" s="3"/>
      <c r="D1308" s="4"/>
      <c r="E1308" s="5"/>
      <c r="F1308" s="5"/>
      <c r="G1308" s="6" t="str">
        <f t="shared" si="12"/>
        <v/>
      </c>
    </row>
    <row r="1309" ht="14.25" customHeight="1">
      <c r="A1309" s="1"/>
      <c r="B1309" s="2"/>
      <c r="C1309" s="3"/>
      <c r="D1309" s="4"/>
      <c r="E1309" s="5"/>
      <c r="F1309" s="5"/>
      <c r="G1309" s="6" t="str">
        <f t="shared" si="12"/>
        <v/>
      </c>
    </row>
    <row r="1310" ht="14.25" customHeight="1">
      <c r="A1310" s="1"/>
      <c r="B1310" s="101" t="s">
        <v>0</v>
      </c>
      <c r="C1310" s="9"/>
      <c r="D1310" s="102" t="s">
        <v>242</v>
      </c>
      <c r="E1310" s="103"/>
      <c r="F1310" s="103"/>
      <c r="G1310" s="6" t="str">
        <f t="shared" si="12"/>
        <v/>
      </c>
    </row>
    <row r="1311" ht="14.25" customHeight="1">
      <c r="A1311" s="1"/>
      <c r="B1311" s="104" t="s">
        <v>2</v>
      </c>
      <c r="C1311" s="105" t="s">
        <v>3</v>
      </c>
      <c r="D1311" s="14"/>
      <c r="E1311" s="106">
        <v>2024.0</v>
      </c>
      <c r="F1311" s="107">
        <v>2025.0</v>
      </c>
      <c r="G1311" s="6">
        <f t="shared" si="12"/>
        <v>0.0004940711462</v>
      </c>
    </row>
    <row r="1312" ht="14.25" customHeight="1">
      <c r="A1312" s="1"/>
      <c r="B1312" s="108">
        <v>1610.0</v>
      </c>
      <c r="C1312" s="109"/>
      <c r="D1312" s="110" t="s">
        <v>41</v>
      </c>
      <c r="E1312" s="111">
        <v>2024.0</v>
      </c>
      <c r="F1312" s="112">
        <v>2025.0</v>
      </c>
      <c r="G1312" s="6">
        <f t="shared" si="12"/>
        <v>0.0004940711462</v>
      </c>
      <c r="I1312" s="113" t="s">
        <v>243</v>
      </c>
    </row>
    <row r="1313" ht="14.25" customHeight="1">
      <c r="A1313" s="1"/>
      <c r="B1313" s="114"/>
      <c r="C1313" s="115" t="s">
        <v>244</v>
      </c>
      <c r="D1313" s="116" t="s">
        <v>245</v>
      </c>
      <c r="E1313" s="117">
        <v>8500.0</v>
      </c>
      <c r="F1313" s="117">
        <v>2200.0</v>
      </c>
      <c r="G1313" s="6">
        <f t="shared" si="12"/>
        <v>-0.7411764706</v>
      </c>
      <c r="H1313" s="38" t="s">
        <v>246</v>
      </c>
      <c r="I1313" s="118"/>
    </row>
    <row r="1314" ht="14.25" customHeight="1">
      <c r="A1314" s="1"/>
      <c r="B1314" s="119">
        <v>1610.0</v>
      </c>
      <c r="E1314" s="120">
        <v>8500.0</v>
      </c>
      <c r="F1314" s="120">
        <f>SUM(F1313)</f>
        <v>2200</v>
      </c>
      <c r="G1314" s="6">
        <f t="shared" si="12"/>
        <v>-0.7411764706</v>
      </c>
      <c r="I1314" s="118"/>
    </row>
    <row r="1315" ht="14.25" customHeight="1">
      <c r="A1315" s="1"/>
      <c r="B1315" s="114"/>
      <c r="C1315" s="115"/>
      <c r="D1315" s="116"/>
      <c r="E1315" s="121"/>
      <c r="F1315" s="121"/>
      <c r="G1315" s="6" t="str">
        <f t="shared" si="12"/>
        <v/>
      </c>
      <c r="I1315" s="118"/>
    </row>
    <row r="1316" ht="14.25" customHeight="1">
      <c r="A1316" s="1"/>
      <c r="B1316" s="25">
        <v>1700.0</v>
      </c>
      <c r="C1316" s="26"/>
      <c r="D1316" s="27" t="s">
        <v>169</v>
      </c>
      <c r="E1316" s="27">
        <v>2024.0</v>
      </c>
      <c r="F1316" s="28">
        <v>2025.0</v>
      </c>
      <c r="G1316" s="6">
        <f t="shared" si="12"/>
        <v>0.0004940711462</v>
      </c>
      <c r="I1316" s="118"/>
    </row>
    <row r="1317" ht="14.25" customHeight="1">
      <c r="A1317" s="1"/>
      <c r="B1317" s="122"/>
      <c r="C1317" s="115" t="s">
        <v>244</v>
      </c>
      <c r="D1317" s="116" t="s">
        <v>245</v>
      </c>
      <c r="E1317" s="121">
        <v>2300.0</v>
      </c>
      <c r="F1317" s="121">
        <v>2300.0</v>
      </c>
      <c r="G1317" s="6">
        <f t="shared" si="12"/>
        <v>0</v>
      </c>
      <c r="H1317" s="38" t="s">
        <v>246</v>
      </c>
      <c r="I1317" s="118"/>
    </row>
    <row r="1318" ht="14.25" customHeight="1">
      <c r="A1318" s="1"/>
      <c r="B1318" s="119">
        <v>1700.0</v>
      </c>
      <c r="E1318" s="120">
        <v>2300.0</v>
      </c>
      <c r="F1318" s="120">
        <f>SUM(F1317)</f>
        <v>2300</v>
      </c>
      <c r="G1318" s="6">
        <f t="shared" si="12"/>
        <v>0</v>
      </c>
      <c r="I1318" s="118"/>
    </row>
    <row r="1319" ht="14.25" customHeight="1">
      <c r="A1319" s="1"/>
      <c r="B1319" s="114"/>
      <c r="C1319" s="123"/>
      <c r="D1319" s="124"/>
      <c r="E1319" s="125"/>
      <c r="F1319" s="125"/>
      <c r="G1319" s="6" t="str">
        <f t="shared" si="12"/>
        <v/>
      </c>
      <c r="I1319" s="118"/>
    </row>
    <row r="1320" ht="14.25" customHeight="1">
      <c r="A1320" s="1"/>
      <c r="B1320" s="25">
        <v>1710.0</v>
      </c>
      <c r="C1320" s="26"/>
      <c r="D1320" s="27" t="s">
        <v>48</v>
      </c>
      <c r="E1320" s="27">
        <v>2024.0</v>
      </c>
      <c r="F1320" s="28">
        <v>2025.0</v>
      </c>
      <c r="G1320" s="6">
        <f t="shared" si="12"/>
        <v>0.0004940711462</v>
      </c>
      <c r="I1320" s="118"/>
    </row>
    <row r="1321" ht="14.25" customHeight="1">
      <c r="A1321" s="1"/>
      <c r="B1321" s="114"/>
      <c r="C1321" s="115" t="s">
        <v>244</v>
      </c>
      <c r="D1321" s="116" t="s">
        <v>245</v>
      </c>
      <c r="E1321" s="121">
        <v>210.0</v>
      </c>
      <c r="F1321" s="121">
        <v>210.0</v>
      </c>
      <c r="G1321" s="6">
        <f t="shared" si="12"/>
        <v>0</v>
      </c>
      <c r="H1321" s="38" t="s">
        <v>246</v>
      </c>
      <c r="I1321" s="118"/>
    </row>
    <row r="1322" ht="14.25" customHeight="1">
      <c r="A1322" s="1"/>
      <c r="B1322" s="119">
        <v>1710.0</v>
      </c>
      <c r="E1322" s="120">
        <v>210.0</v>
      </c>
      <c r="F1322" s="120">
        <f>SUM(F1321)</f>
        <v>210</v>
      </c>
      <c r="G1322" s="6">
        <f t="shared" si="12"/>
        <v>0</v>
      </c>
      <c r="I1322" s="118"/>
    </row>
    <row r="1323" ht="14.25" customHeight="1">
      <c r="A1323" s="1"/>
      <c r="B1323" s="114"/>
      <c r="C1323" s="115"/>
      <c r="D1323" s="116"/>
      <c r="E1323" s="121"/>
      <c r="F1323" s="121"/>
      <c r="G1323" s="6" t="str">
        <f t="shared" si="12"/>
        <v/>
      </c>
      <c r="I1323" s="118"/>
    </row>
    <row r="1324" ht="14.25" customHeight="1">
      <c r="A1324" s="1"/>
      <c r="B1324" s="25">
        <v>2311.0</v>
      </c>
      <c r="C1324" s="26"/>
      <c r="D1324" s="27" t="s">
        <v>63</v>
      </c>
      <c r="E1324" s="27">
        <v>2024.0</v>
      </c>
      <c r="F1324" s="28">
        <v>2025.0</v>
      </c>
      <c r="G1324" s="6">
        <f t="shared" si="12"/>
        <v>0.0004940711462</v>
      </c>
      <c r="I1324" s="118"/>
    </row>
    <row r="1325" ht="14.25" customHeight="1">
      <c r="A1325" s="1"/>
      <c r="B1325" s="114"/>
      <c r="C1325" s="115" t="s">
        <v>244</v>
      </c>
      <c r="D1325" s="116" t="s">
        <v>245</v>
      </c>
      <c r="E1325" s="121">
        <v>177910.0</v>
      </c>
      <c r="F1325" s="121">
        <f>IFERROR(__xludf.DUMMYFUNCTION("IMPORTRANGE(""https://docs.google.com/spreadsheets/d/1TxC1r1xGARlhZGAlOWrY5Ddc_BvMUTLIJGf-73JT7QI/"", ""2025!sn_2311_48900"") + IMPORTRANGE(""https://docs.google.com/spreadsheets/d/1vps4HOPp-beCb_31jTbpR0EUSkY-oQZMDxR6ZFqco5M/"", ""2025!K4"")"),186580.0)</f>
        <v>186580</v>
      </c>
      <c r="G1325" s="6">
        <f t="shared" si="12"/>
        <v>0.0487325052</v>
      </c>
      <c r="H1325" s="38" t="s">
        <v>246</v>
      </c>
      <c r="I1325" s="39">
        <v>3580.0</v>
      </c>
    </row>
    <row r="1326" ht="14.25" customHeight="1">
      <c r="A1326" s="1"/>
      <c r="B1326" s="114"/>
      <c r="C1326" s="115" t="s">
        <v>247</v>
      </c>
      <c r="D1326" s="126" t="s">
        <v>248</v>
      </c>
      <c r="E1326" s="121">
        <v>26000.0</v>
      </c>
      <c r="F1326" s="121">
        <v>26000.0</v>
      </c>
      <c r="G1326" s="6">
        <f t="shared" si="12"/>
        <v>0</v>
      </c>
      <c r="H1326" s="38" t="s">
        <v>246</v>
      </c>
      <c r="I1326" s="39">
        <v>26000.0</v>
      </c>
    </row>
    <row r="1327" ht="14.25" customHeight="1">
      <c r="A1327" s="1"/>
      <c r="B1327" s="114"/>
      <c r="C1327" s="115" t="s">
        <v>249</v>
      </c>
      <c r="D1327" s="116" t="s">
        <v>250</v>
      </c>
      <c r="E1327" s="121">
        <v>200000.0</v>
      </c>
      <c r="F1327" s="117">
        <v>150000.0</v>
      </c>
      <c r="G1327" s="6">
        <f t="shared" si="12"/>
        <v>-0.25</v>
      </c>
      <c r="H1327" s="38" t="s">
        <v>246</v>
      </c>
      <c r="I1327" s="118"/>
    </row>
    <row r="1328" ht="14.25" customHeight="1">
      <c r="A1328" s="1"/>
      <c r="B1328" s="119">
        <v>2311.0</v>
      </c>
      <c r="E1328" s="120">
        <v>403910.0</v>
      </c>
      <c r="F1328" s="120">
        <f>SUM(F1325:F1327)</f>
        <v>362580</v>
      </c>
      <c r="G1328" s="6">
        <f t="shared" si="12"/>
        <v>-0.1023247753</v>
      </c>
      <c r="I1328" s="118"/>
    </row>
    <row r="1329" ht="14.25" customHeight="1">
      <c r="A1329" s="1"/>
      <c r="B1329" s="114"/>
      <c r="C1329" s="115"/>
      <c r="D1329" s="116"/>
      <c r="E1329" s="121"/>
      <c r="F1329" s="121"/>
      <c r="G1329" s="6" t="str">
        <f t="shared" si="12"/>
        <v/>
      </c>
      <c r="I1329" s="118"/>
    </row>
    <row r="1330" ht="14.25" customHeight="1">
      <c r="A1330" s="1"/>
      <c r="B1330" s="25">
        <v>2313.0</v>
      </c>
      <c r="C1330" s="26"/>
      <c r="D1330" s="27" t="s">
        <v>179</v>
      </c>
      <c r="E1330" s="27">
        <v>2024.0</v>
      </c>
      <c r="F1330" s="28">
        <v>2025.0</v>
      </c>
      <c r="G1330" s="6">
        <f t="shared" si="12"/>
        <v>0.0004940711462</v>
      </c>
      <c r="I1330" s="118"/>
    </row>
    <row r="1331" ht="14.25" customHeight="1">
      <c r="A1331" s="1"/>
      <c r="B1331" s="114"/>
      <c r="C1331" s="115" t="s">
        <v>244</v>
      </c>
      <c r="D1331" s="116" t="s">
        <v>245</v>
      </c>
      <c r="E1331" s="117">
        <v>83400.0</v>
      </c>
      <c r="F1331" s="121">
        <f>23690+18000</f>
        <v>41690</v>
      </c>
      <c r="G1331" s="6">
        <f t="shared" si="12"/>
        <v>-0.5001199041</v>
      </c>
      <c r="H1331" s="38" t="s">
        <v>246</v>
      </c>
      <c r="I1331" s="39">
        <v>23690.0</v>
      </c>
    </row>
    <row r="1332" ht="14.25" customHeight="1">
      <c r="A1332" s="1"/>
      <c r="B1332" s="119">
        <v>2313.0</v>
      </c>
      <c r="E1332" s="120">
        <v>83400.0</v>
      </c>
      <c r="F1332" s="120">
        <f>SUM(F1331)</f>
        <v>41690</v>
      </c>
      <c r="G1332" s="6">
        <f t="shared" si="12"/>
        <v>-0.5001199041</v>
      </c>
      <c r="I1332" s="118"/>
    </row>
    <row r="1333" ht="14.25" customHeight="1">
      <c r="A1333" s="1"/>
      <c r="B1333" s="114"/>
      <c r="C1333" s="115"/>
      <c r="D1333" s="116"/>
      <c r="E1333" s="121"/>
      <c r="F1333" s="121"/>
      <c r="G1333" s="6" t="str">
        <f t="shared" si="12"/>
        <v/>
      </c>
      <c r="I1333" s="118"/>
    </row>
    <row r="1334" ht="14.25" customHeight="1">
      <c r="A1334" s="1"/>
      <c r="B1334" s="25">
        <v>3260.0</v>
      </c>
      <c r="C1334" s="26"/>
      <c r="D1334" s="35" t="s">
        <v>187</v>
      </c>
      <c r="E1334" s="27">
        <v>2024.0</v>
      </c>
      <c r="F1334" s="28">
        <v>2025.0</v>
      </c>
      <c r="G1334" s="6">
        <f t="shared" si="12"/>
        <v>0.0004940711462</v>
      </c>
      <c r="I1334" s="118"/>
    </row>
    <row r="1335" ht="14.25" customHeight="1">
      <c r="A1335" s="1"/>
      <c r="B1335" s="114"/>
      <c r="C1335" s="115" t="s">
        <v>244</v>
      </c>
      <c r="D1335" s="116" t="s">
        <v>245</v>
      </c>
      <c r="E1335" s="121">
        <v>91400.0</v>
      </c>
      <c r="F1335" s="127">
        <v>59650.0</v>
      </c>
      <c r="G1335" s="6">
        <f t="shared" si="12"/>
        <v>-0.3473741794</v>
      </c>
      <c r="H1335" s="38" t="s">
        <v>246</v>
      </c>
      <c r="I1335" s="39">
        <v>32850.0</v>
      </c>
    </row>
    <row r="1336" ht="14.25" customHeight="1">
      <c r="A1336" s="1"/>
      <c r="B1336" s="119">
        <v>3260.0</v>
      </c>
      <c r="E1336" s="120">
        <v>91400.0</v>
      </c>
      <c r="F1336" s="120">
        <f>SUM(F1335)</f>
        <v>59650</v>
      </c>
      <c r="G1336" s="6">
        <f t="shared" si="12"/>
        <v>-0.3473741794</v>
      </c>
      <c r="I1336" s="118"/>
    </row>
    <row r="1337" ht="14.25" customHeight="1">
      <c r="A1337" s="1"/>
      <c r="B1337" s="114"/>
      <c r="C1337" s="128"/>
      <c r="D1337" s="123"/>
      <c r="E1337" s="125"/>
      <c r="F1337" s="125"/>
      <c r="G1337" s="6" t="str">
        <f t="shared" si="12"/>
        <v/>
      </c>
      <c r="I1337" s="118"/>
    </row>
    <row r="1338" ht="14.25" customHeight="1">
      <c r="A1338" s="1"/>
      <c r="B1338" s="129">
        <v>3262.0</v>
      </c>
      <c r="C1338" s="26"/>
      <c r="D1338" s="130" t="s">
        <v>67</v>
      </c>
      <c r="E1338" s="27">
        <v>2024.0</v>
      </c>
      <c r="F1338" s="28">
        <v>2025.0</v>
      </c>
      <c r="G1338" s="6"/>
      <c r="I1338" s="118"/>
    </row>
    <row r="1339" ht="14.25" customHeight="1">
      <c r="A1339" s="1"/>
      <c r="B1339" s="114"/>
      <c r="C1339" s="115" t="s">
        <v>244</v>
      </c>
      <c r="D1339" s="116" t="s">
        <v>245</v>
      </c>
      <c r="E1339" s="117">
        <v>0.0</v>
      </c>
      <c r="F1339" s="131">
        <v>16000.0</v>
      </c>
      <c r="G1339" s="6" t="str">
        <f t="shared" ref="G1339:G1409" si="13">IFERROR(((F1339-E1339)/E1339), "")</f>
        <v/>
      </c>
      <c r="I1339" s="39"/>
    </row>
    <row r="1340" ht="14.25" customHeight="1">
      <c r="A1340" s="1"/>
      <c r="B1340" s="132">
        <v>3262.0</v>
      </c>
      <c r="E1340" s="133">
        <v>0.0</v>
      </c>
      <c r="F1340" s="120">
        <f>SUM(F1339)</f>
        <v>16000</v>
      </c>
      <c r="G1340" s="6" t="str">
        <f t="shared" si="13"/>
        <v/>
      </c>
      <c r="I1340" s="118"/>
    </row>
    <row r="1341" ht="14.25" customHeight="1">
      <c r="A1341" s="1"/>
      <c r="B1341" s="114"/>
      <c r="C1341" s="128"/>
      <c r="D1341" s="123"/>
      <c r="E1341" s="125"/>
      <c r="F1341" s="125"/>
      <c r="G1341" s="6" t="str">
        <f t="shared" si="13"/>
        <v/>
      </c>
      <c r="I1341" s="118"/>
    </row>
    <row r="1342" ht="14.25" customHeight="1">
      <c r="A1342" s="1"/>
      <c r="B1342" s="25">
        <v>3340.0</v>
      </c>
      <c r="C1342" s="26"/>
      <c r="D1342" s="27" t="s">
        <v>70</v>
      </c>
      <c r="E1342" s="27">
        <v>2024.0</v>
      </c>
      <c r="F1342" s="28">
        <v>2025.0</v>
      </c>
      <c r="G1342" s="6">
        <f t="shared" si="13"/>
        <v>0.0004940711462</v>
      </c>
      <c r="I1342" s="39" t="s">
        <v>243</v>
      </c>
    </row>
    <row r="1343" ht="14.25" customHeight="1">
      <c r="A1343" s="1"/>
      <c r="B1343" s="114"/>
      <c r="C1343" s="115" t="s">
        <v>244</v>
      </c>
      <c r="D1343" s="116" t="s">
        <v>245</v>
      </c>
      <c r="E1343" s="121">
        <v>104700.0</v>
      </c>
      <c r="F1343" s="117">
        <f>90400+I1343</f>
        <v>97550</v>
      </c>
      <c r="G1343" s="6">
        <f t="shared" si="13"/>
        <v>-0.06829035339</v>
      </c>
      <c r="H1343" s="38" t="s">
        <v>246</v>
      </c>
      <c r="I1343" s="39">
        <v>7150.0</v>
      </c>
    </row>
    <row r="1344" ht="14.25" customHeight="1">
      <c r="A1344" s="1"/>
      <c r="B1344" s="119">
        <v>3340.0</v>
      </c>
      <c r="E1344" s="120">
        <v>104700.0</v>
      </c>
      <c r="F1344" s="120">
        <f>SUM(F1343)</f>
        <v>97550</v>
      </c>
      <c r="G1344" s="6">
        <f t="shared" si="13"/>
        <v>-0.06829035339</v>
      </c>
      <c r="I1344" s="118"/>
    </row>
    <row r="1345" ht="14.25" customHeight="1">
      <c r="A1345" s="1"/>
      <c r="B1345" s="114"/>
      <c r="C1345" s="128"/>
      <c r="D1345" s="123"/>
      <c r="E1345" s="125"/>
      <c r="F1345" s="125"/>
      <c r="G1345" s="6" t="str">
        <f t="shared" si="13"/>
        <v/>
      </c>
      <c r="I1345" s="118"/>
    </row>
    <row r="1346" ht="14.25" customHeight="1">
      <c r="A1346" s="1"/>
      <c r="B1346" s="25">
        <v>3341.0</v>
      </c>
      <c r="C1346" s="26"/>
      <c r="D1346" s="27" t="s">
        <v>203</v>
      </c>
      <c r="E1346" s="27">
        <v>2024.0</v>
      </c>
      <c r="F1346" s="28">
        <v>2025.0</v>
      </c>
      <c r="G1346" s="6">
        <f t="shared" si="13"/>
        <v>0.0004940711462</v>
      </c>
      <c r="I1346" s="118"/>
    </row>
    <row r="1347" ht="14.25" customHeight="1">
      <c r="A1347" s="1"/>
      <c r="B1347" s="114"/>
      <c r="C1347" s="115" t="s">
        <v>244</v>
      </c>
      <c r="D1347" s="116" t="s">
        <v>245</v>
      </c>
      <c r="E1347" s="121">
        <v>100.0</v>
      </c>
      <c r="F1347" s="121">
        <v>100.0</v>
      </c>
      <c r="G1347" s="6">
        <f t="shared" si="13"/>
        <v>0</v>
      </c>
      <c r="H1347" s="38" t="s">
        <v>246</v>
      </c>
      <c r="I1347" s="118"/>
    </row>
    <row r="1348" ht="14.25" customHeight="1">
      <c r="A1348" s="1"/>
      <c r="B1348" s="119">
        <v>3341.0</v>
      </c>
      <c r="E1348" s="120">
        <v>100.0</v>
      </c>
      <c r="F1348" s="120">
        <f>SUM(F1347)</f>
        <v>100</v>
      </c>
      <c r="G1348" s="6">
        <f t="shared" si="13"/>
        <v>0</v>
      </c>
      <c r="I1348" s="118"/>
    </row>
    <row r="1349" ht="14.25" customHeight="1">
      <c r="A1349" s="1"/>
      <c r="B1349" s="114"/>
      <c r="C1349" s="115"/>
      <c r="D1349" s="116"/>
      <c r="E1349" s="116"/>
      <c r="F1349" s="116"/>
      <c r="G1349" s="6" t="str">
        <f t="shared" si="13"/>
        <v/>
      </c>
      <c r="I1349" s="118"/>
    </row>
    <row r="1350" ht="14.25" customHeight="1">
      <c r="A1350" s="1"/>
      <c r="B1350" s="25">
        <v>3373.0</v>
      </c>
      <c r="C1350" s="26"/>
      <c r="D1350" s="27" t="s">
        <v>74</v>
      </c>
      <c r="E1350" s="27">
        <v>2024.0</v>
      </c>
      <c r="F1350" s="28">
        <v>2025.0</v>
      </c>
      <c r="G1350" s="6">
        <f t="shared" si="13"/>
        <v>0.0004940711462</v>
      </c>
      <c r="I1350" s="39" t="s">
        <v>243</v>
      </c>
    </row>
    <row r="1351" ht="14.25" customHeight="1">
      <c r="A1351" s="1"/>
      <c r="B1351" s="114"/>
      <c r="C1351" s="115" t="s">
        <v>244</v>
      </c>
      <c r="D1351" s="116" t="s">
        <v>245</v>
      </c>
      <c r="E1351" s="121">
        <v>180000.0</v>
      </c>
      <c r="F1351" s="117">
        <v>55000.0</v>
      </c>
      <c r="G1351" s="6">
        <f t="shared" si="13"/>
        <v>-0.6944444444</v>
      </c>
      <c r="H1351" s="38" t="s">
        <v>246</v>
      </c>
      <c r="I1351" s="39">
        <v>40000.0</v>
      </c>
    </row>
    <row r="1352" ht="14.25" customHeight="1">
      <c r="A1352" s="1"/>
      <c r="B1352" s="119">
        <v>3373.0</v>
      </c>
      <c r="E1352" s="120">
        <v>180000.0</v>
      </c>
      <c r="F1352" s="120">
        <f>SUM(F1351)</f>
        <v>55000</v>
      </c>
      <c r="G1352" s="6">
        <f t="shared" si="13"/>
        <v>-0.6944444444</v>
      </c>
      <c r="I1352" s="118"/>
    </row>
    <row r="1353" ht="14.25" customHeight="1">
      <c r="A1353" s="1"/>
      <c r="B1353" s="114"/>
      <c r="C1353" s="115"/>
      <c r="D1353" s="116"/>
      <c r="E1353" s="121"/>
      <c r="F1353" s="121"/>
      <c r="G1353" s="6" t="str">
        <f t="shared" si="13"/>
        <v/>
      </c>
      <c r="I1353" s="118"/>
    </row>
    <row r="1354" ht="14.25" customHeight="1">
      <c r="A1354" s="1"/>
      <c r="B1354" s="25">
        <v>3380.0</v>
      </c>
      <c r="C1354" s="26"/>
      <c r="D1354" s="27" t="s">
        <v>75</v>
      </c>
      <c r="E1354" s="27">
        <v>2024.0</v>
      </c>
      <c r="F1354" s="28">
        <v>2025.0</v>
      </c>
      <c r="G1354" s="6">
        <f t="shared" si="13"/>
        <v>0.0004940711462</v>
      </c>
      <c r="I1354" s="39" t="s">
        <v>243</v>
      </c>
    </row>
    <row r="1355" ht="14.25" customHeight="1">
      <c r="A1355" s="1"/>
      <c r="B1355" s="114"/>
      <c r="C1355" s="115" t="s">
        <v>244</v>
      </c>
      <c r="D1355" s="116" t="s">
        <v>245</v>
      </c>
      <c r="E1355" s="121">
        <v>73328.0</v>
      </c>
      <c r="F1355" s="117">
        <v>20000.0</v>
      </c>
      <c r="G1355" s="6">
        <f t="shared" si="13"/>
        <v>-0.7272528911</v>
      </c>
      <c r="H1355" s="38" t="s">
        <v>246</v>
      </c>
      <c r="I1355" s="39">
        <v>42000.0</v>
      </c>
    </row>
    <row r="1356" ht="14.25" customHeight="1">
      <c r="A1356" s="1"/>
      <c r="B1356" s="119">
        <v>3380.0</v>
      </c>
      <c r="E1356" s="120">
        <v>73328.0</v>
      </c>
      <c r="F1356" s="120">
        <f>SUM(F1355)</f>
        <v>20000</v>
      </c>
      <c r="G1356" s="6">
        <f t="shared" si="13"/>
        <v>-0.7272528911</v>
      </c>
      <c r="I1356" s="118"/>
    </row>
    <row r="1357" ht="14.25" customHeight="1">
      <c r="A1357" s="1"/>
      <c r="B1357" s="114"/>
      <c r="C1357" s="115"/>
      <c r="D1357" s="116"/>
      <c r="E1357" s="121"/>
      <c r="F1357" s="121"/>
      <c r="G1357" s="6" t="str">
        <f t="shared" si="13"/>
        <v/>
      </c>
      <c r="I1357" s="118"/>
    </row>
    <row r="1358" ht="14.25" customHeight="1">
      <c r="A1358" s="1"/>
      <c r="B1358" s="25">
        <v>3410.0</v>
      </c>
      <c r="C1358" s="26"/>
      <c r="D1358" s="28" t="s">
        <v>76</v>
      </c>
      <c r="E1358" s="27">
        <v>2024.0</v>
      </c>
      <c r="F1358" s="28">
        <v>2025.0</v>
      </c>
      <c r="G1358" s="6">
        <f t="shared" si="13"/>
        <v>0.0004940711462</v>
      </c>
      <c r="I1358" s="38" t="s">
        <v>243</v>
      </c>
      <c r="J1358" s="38" t="s">
        <v>251</v>
      </c>
      <c r="K1358" s="38"/>
    </row>
    <row r="1359" ht="14.25" customHeight="1">
      <c r="A1359" s="1"/>
      <c r="B1359" s="114"/>
      <c r="C1359" s="115" t="s">
        <v>244</v>
      </c>
      <c r="D1359" s="116" t="s">
        <v>245</v>
      </c>
      <c r="E1359" s="121">
        <v>339400.0</v>
      </c>
      <c r="F1359" s="117">
        <v>306000.0</v>
      </c>
      <c r="G1359" s="6">
        <f t="shared" si="13"/>
        <v>-0.09840895698</v>
      </c>
      <c r="H1359" s="38" t="s">
        <v>252</v>
      </c>
      <c r="I1359" s="39">
        <v>35000.0</v>
      </c>
      <c r="J1359" s="134">
        <v>313600.0</v>
      </c>
      <c r="K1359" s="134"/>
    </row>
    <row r="1360" ht="14.25" customHeight="1">
      <c r="A1360" s="1"/>
      <c r="B1360" s="119">
        <v>3410.0</v>
      </c>
      <c r="E1360" s="120">
        <v>339400.0</v>
      </c>
      <c r="F1360" s="120">
        <f>SUM(F1359)</f>
        <v>306000</v>
      </c>
      <c r="G1360" s="6">
        <f t="shared" si="13"/>
        <v>-0.09840895698</v>
      </c>
      <c r="I1360" s="39" t="s">
        <v>253</v>
      </c>
      <c r="J1360" s="39">
        <v>315000.0</v>
      </c>
      <c r="K1360" s="39"/>
    </row>
    <row r="1361" ht="14.25" customHeight="1">
      <c r="A1361" s="1"/>
      <c r="B1361" s="114"/>
      <c r="C1361" s="128"/>
      <c r="D1361" s="123"/>
      <c r="E1361" s="125"/>
      <c r="F1361" s="125"/>
      <c r="G1361" s="6" t="str">
        <f t="shared" si="13"/>
        <v/>
      </c>
      <c r="I1361" s="118"/>
    </row>
    <row r="1362" ht="14.25" customHeight="1">
      <c r="A1362" s="1"/>
      <c r="B1362" s="25">
        <v>4310.0</v>
      </c>
      <c r="C1362" s="26"/>
      <c r="D1362" s="27" t="s">
        <v>210</v>
      </c>
      <c r="E1362" s="27">
        <v>2024.0</v>
      </c>
      <c r="F1362" s="28">
        <v>2025.0</v>
      </c>
      <c r="G1362" s="6">
        <f t="shared" si="13"/>
        <v>0.0004940711462</v>
      </c>
      <c r="I1362" s="118"/>
    </row>
    <row r="1363" ht="14.25" customHeight="1">
      <c r="A1363" s="1"/>
      <c r="B1363" s="114"/>
      <c r="C1363" s="115" t="s">
        <v>254</v>
      </c>
      <c r="D1363" s="116" t="s">
        <v>255</v>
      </c>
      <c r="E1363" s="121">
        <v>50000.0</v>
      </c>
      <c r="F1363" s="117">
        <v>20000.0</v>
      </c>
      <c r="G1363" s="6">
        <f t="shared" si="13"/>
        <v>-0.6</v>
      </c>
      <c r="H1363" s="76" t="s">
        <v>256</v>
      </c>
      <c r="I1363" s="135"/>
      <c r="J1363" s="76"/>
      <c r="K1363" s="76"/>
    </row>
    <row r="1364" ht="14.25" customHeight="1">
      <c r="A1364" s="1"/>
      <c r="B1364" s="114"/>
      <c r="C1364" s="115" t="s">
        <v>244</v>
      </c>
      <c r="D1364" s="116" t="s">
        <v>245</v>
      </c>
      <c r="E1364" s="121">
        <v>50000.0</v>
      </c>
      <c r="F1364" s="117">
        <v>40000.0</v>
      </c>
      <c r="G1364" s="6">
        <f t="shared" si="13"/>
        <v>-0.2</v>
      </c>
      <c r="H1364" s="38" t="s">
        <v>246</v>
      </c>
      <c r="I1364" s="118"/>
    </row>
    <row r="1365" ht="14.25" customHeight="1">
      <c r="A1365" s="1"/>
      <c r="B1365" s="119">
        <v>4310.0</v>
      </c>
      <c r="E1365" s="120">
        <v>100000.0</v>
      </c>
      <c r="F1365" s="120">
        <f>SUM(F1363:F1364)</f>
        <v>60000</v>
      </c>
      <c r="G1365" s="6">
        <f t="shared" si="13"/>
        <v>-0.4</v>
      </c>
      <c r="I1365" s="118"/>
    </row>
    <row r="1366" ht="14.25" customHeight="1">
      <c r="A1366" s="1"/>
      <c r="B1366" s="114"/>
      <c r="C1366" s="115"/>
      <c r="D1366" s="116"/>
      <c r="E1366" s="116"/>
      <c r="F1366" s="116"/>
      <c r="G1366" s="6" t="str">
        <f t="shared" si="13"/>
        <v/>
      </c>
      <c r="I1366" s="118"/>
    </row>
    <row r="1367" ht="14.25" customHeight="1">
      <c r="A1367" s="1"/>
      <c r="B1367" s="25">
        <v>4320.0</v>
      </c>
      <c r="C1367" s="26"/>
      <c r="D1367" s="27" t="s">
        <v>78</v>
      </c>
      <c r="E1367" s="27">
        <v>2024.0</v>
      </c>
      <c r="F1367" s="28">
        <v>2025.0</v>
      </c>
      <c r="G1367" s="6">
        <f t="shared" si="13"/>
        <v>0.0004940711462</v>
      </c>
      <c r="I1367" s="118"/>
    </row>
    <row r="1368" ht="14.25" customHeight="1">
      <c r="A1368" s="1"/>
      <c r="B1368" s="114"/>
      <c r="C1368" s="115" t="s">
        <v>257</v>
      </c>
      <c r="D1368" s="116" t="s">
        <v>258</v>
      </c>
      <c r="E1368" s="121">
        <v>18000.0</v>
      </c>
      <c r="F1368" s="121">
        <v>18000.0</v>
      </c>
      <c r="G1368" s="6">
        <f t="shared" si="13"/>
        <v>0</v>
      </c>
      <c r="H1368" s="38" t="s">
        <v>246</v>
      </c>
      <c r="I1368" s="118"/>
    </row>
    <row r="1369" ht="14.25" customHeight="1">
      <c r="A1369" s="1"/>
      <c r="B1369" s="114"/>
      <c r="C1369" s="115" t="s">
        <v>244</v>
      </c>
      <c r="D1369" s="116" t="s">
        <v>245</v>
      </c>
      <c r="E1369" s="121">
        <v>43700.0</v>
      </c>
      <c r="F1369" s="127">
        <f>14500 + 76000</f>
        <v>90500</v>
      </c>
      <c r="G1369" s="6">
        <f t="shared" si="13"/>
        <v>1.070938215</v>
      </c>
      <c r="H1369" s="38" t="s">
        <v>246</v>
      </c>
      <c r="I1369" s="118"/>
    </row>
    <row r="1370" ht="14.25" customHeight="1">
      <c r="A1370" s="1"/>
      <c r="B1370" s="119">
        <v>4320.0</v>
      </c>
      <c r="E1370" s="120">
        <v>61700.0</v>
      </c>
      <c r="F1370" s="120">
        <f>SUM(F1368:F1369)</f>
        <v>108500</v>
      </c>
      <c r="G1370" s="6">
        <f t="shared" si="13"/>
        <v>0.7585089141</v>
      </c>
      <c r="I1370" s="118"/>
    </row>
    <row r="1371" ht="14.25" customHeight="1">
      <c r="A1371" s="1"/>
      <c r="B1371" s="114"/>
      <c r="C1371" s="115"/>
      <c r="D1371" s="116"/>
      <c r="E1371" s="121"/>
      <c r="F1371" s="121"/>
      <c r="G1371" s="6" t="str">
        <f t="shared" si="13"/>
        <v/>
      </c>
      <c r="I1371" s="118"/>
    </row>
    <row r="1372" ht="14.25" customHeight="1">
      <c r="A1372" s="1"/>
      <c r="B1372" s="25">
        <v>4330.0</v>
      </c>
      <c r="C1372" s="26"/>
      <c r="D1372" s="27" t="s">
        <v>79</v>
      </c>
      <c r="E1372" s="27">
        <v>2024.0</v>
      </c>
      <c r="F1372" s="28">
        <v>2025.0</v>
      </c>
      <c r="G1372" s="6">
        <f t="shared" si="13"/>
        <v>0.0004940711462</v>
      </c>
      <c r="I1372" s="118"/>
    </row>
    <row r="1373" ht="14.25" customHeight="1">
      <c r="A1373" s="1"/>
      <c r="B1373" s="114"/>
      <c r="C1373" s="136" t="s">
        <v>259</v>
      </c>
      <c r="D1373" s="126" t="s">
        <v>260</v>
      </c>
      <c r="E1373" s="117">
        <v>0.0</v>
      </c>
      <c r="F1373" s="117">
        <v>145200.0</v>
      </c>
      <c r="G1373" s="6" t="str">
        <f t="shared" si="13"/>
        <v/>
      </c>
      <c r="I1373" s="118"/>
    </row>
    <row r="1374" ht="14.25" customHeight="1">
      <c r="A1374" s="1"/>
      <c r="B1374" s="114"/>
      <c r="C1374" s="115" t="s">
        <v>244</v>
      </c>
      <c r="D1374" s="116" t="s">
        <v>245</v>
      </c>
      <c r="E1374" s="121">
        <v>65900.0</v>
      </c>
      <c r="F1374" s="117">
        <v>53400.0</v>
      </c>
      <c r="G1374" s="6">
        <f t="shared" si="13"/>
        <v>-0.1896813354</v>
      </c>
      <c r="H1374" s="38" t="s">
        <v>246</v>
      </c>
      <c r="I1374" s="118"/>
    </row>
    <row r="1375" ht="14.25" customHeight="1">
      <c r="A1375" s="1"/>
      <c r="B1375" s="119">
        <v>4330.0</v>
      </c>
      <c r="E1375" s="120">
        <v>65900.0</v>
      </c>
      <c r="F1375" s="120">
        <f>SUM(F1373:F1374)</f>
        <v>198600</v>
      </c>
      <c r="G1375" s="6">
        <f t="shared" si="13"/>
        <v>2.013657056</v>
      </c>
      <c r="I1375" s="118"/>
    </row>
    <row r="1376" ht="14.25" customHeight="1">
      <c r="A1376" s="1"/>
      <c r="B1376" s="114"/>
      <c r="C1376" s="115"/>
      <c r="D1376" s="116"/>
      <c r="E1376" s="121"/>
      <c r="F1376" s="121"/>
      <c r="G1376" s="6" t="str">
        <f t="shared" si="13"/>
        <v/>
      </c>
      <c r="I1376" s="118"/>
    </row>
    <row r="1377" ht="14.25" customHeight="1">
      <c r="A1377" s="1"/>
      <c r="B1377" s="25">
        <v>9120.0</v>
      </c>
      <c r="C1377" s="26"/>
      <c r="D1377" s="27" t="s">
        <v>81</v>
      </c>
      <c r="E1377" s="27">
        <v>2024.0</v>
      </c>
      <c r="F1377" s="28">
        <v>2025.0</v>
      </c>
      <c r="G1377" s="6">
        <f t="shared" si="13"/>
        <v>0.0004940711462</v>
      </c>
      <c r="I1377" s="118"/>
    </row>
    <row r="1378" ht="14.25" customHeight="1">
      <c r="A1378" s="1"/>
      <c r="B1378" s="114"/>
      <c r="C1378" s="115" t="s">
        <v>244</v>
      </c>
      <c r="D1378" s="116" t="s">
        <v>261</v>
      </c>
      <c r="E1378" s="121">
        <v>51400.0</v>
      </c>
      <c r="F1378" s="117">
        <v>53000.0</v>
      </c>
      <c r="G1378" s="6">
        <f t="shared" si="13"/>
        <v>0.03112840467</v>
      </c>
      <c r="H1378" s="38" t="s">
        <v>246</v>
      </c>
      <c r="I1378" s="118"/>
    </row>
    <row r="1379" ht="14.25" customHeight="1">
      <c r="A1379" s="1"/>
      <c r="B1379" s="119">
        <v>9120.0</v>
      </c>
      <c r="E1379" s="120">
        <v>51400.0</v>
      </c>
      <c r="F1379" s="120">
        <f>SUM(F1378)</f>
        <v>53000</v>
      </c>
      <c r="G1379" s="6">
        <f t="shared" si="13"/>
        <v>0.03112840467</v>
      </c>
      <c r="I1379" s="118"/>
    </row>
    <row r="1380" ht="14.25" customHeight="1">
      <c r="A1380" s="1"/>
      <c r="B1380" s="114"/>
      <c r="C1380" s="128"/>
      <c r="D1380" s="123"/>
      <c r="E1380" s="125"/>
      <c r="F1380" s="125"/>
      <c r="G1380" s="6" t="str">
        <f t="shared" si="13"/>
        <v/>
      </c>
      <c r="I1380" s="118"/>
    </row>
    <row r="1381" ht="14.25" customHeight="1">
      <c r="A1381" s="1"/>
      <c r="B1381" s="25">
        <v>9200.0</v>
      </c>
      <c r="C1381" s="26"/>
      <c r="D1381" s="27" t="s">
        <v>88</v>
      </c>
      <c r="E1381" s="27">
        <v>2024.0</v>
      </c>
      <c r="F1381" s="28">
        <v>2025.0</v>
      </c>
      <c r="G1381" s="6">
        <f t="shared" si="13"/>
        <v>0.0004940711462</v>
      </c>
      <c r="I1381" s="118"/>
    </row>
    <row r="1382" ht="14.25" customHeight="1">
      <c r="A1382" s="1"/>
      <c r="B1382" s="114"/>
      <c r="C1382" s="115" t="s">
        <v>244</v>
      </c>
      <c r="D1382" s="116" t="s">
        <v>262</v>
      </c>
      <c r="E1382" s="121">
        <v>4500.0</v>
      </c>
      <c r="F1382" s="117">
        <v>4300.0</v>
      </c>
      <c r="G1382" s="6">
        <f t="shared" si="13"/>
        <v>-0.04444444444</v>
      </c>
      <c r="H1382" s="38" t="s">
        <v>246</v>
      </c>
      <c r="I1382" s="118"/>
    </row>
    <row r="1383" ht="14.25" customHeight="1">
      <c r="A1383" s="1"/>
      <c r="B1383" s="119">
        <v>9200.0</v>
      </c>
      <c r="E1383" s="120">
        <v>4500.0</v>
      </c>
      <c r="F1383" s="120">
        <f>SUM(F1382)</f>
        <v>4300</v>
      </c>
      <c r="G1383" s="6">
        <f t="shared" si="13"/>
        <v>-0.04444444444</v>
      </c>
      <c r="I1383" s="118"/>
    </row>
    <row r="1384" ht="14.25" customHeight="1">
      <c r="A1384" s="1"/>
      <c r="B1384" s="114"/>
      <c r="C1384" s="115"/>
      <c r="D1384" s="116"/>
      <c r="E1384" s="116"/>
      <c r="F1384" s="116"/>
      <c r="G1384" s="6" t="str">
        <f t="shared" si="13"/>
        <v/>
      </c>
      <c r="I1384" s="118"/>
    </row>
    <row r="1385" ht="14.25" customHeight="1">
      <c r="A1385" s="1"/>
      <c r="B1385" s="25">
        <v>9240.0</v>
      </c>
      <c r="C1385" s="26"/>
      <c r="D1385" s="27" t="s">
        <v>227</v>
      </c>
      <c r="E1385" s="27">
        <v>2024.0</v>
      </c>
      <c r="F1385" s="28">
        <v>2025.0</v>
      </c>
      <c r="G1385" s="6">
        <f t="shared" si="13"/>
        <v>0.0004940711462</v>
      </c>
      <c r="I1385" s="118"/>
    </row>
    <row r="1386" ht="14.25" customHeight="1">
      <c r="A1386" s="1"/>
      <c r="B1386" s="114"/>
      <c r="C1386" s="115" t="s">
        <v>244</v>
      </c>
      <c r="D1386" s="116" t="s">
        <v>263</v>
      </c>
      <c r="E1386" s="117">
        <v>85000.0</v>
      </c>
      <c r="F1386" s="121">
        <f>IFERROR(__xludf.DUMMYFUNCTION("IMPORTRANGE(""https://docs.google.com/spreadsheets/d/1TxC1r1xGARlhZGAlOWrY5Ddc_BvMUTLIJGf-73JT7QI/"", ""2025!sn_9240_48900"")"),40000.0)</f>
        <v>40000</v>
      </c>
      <c r="G1386" s="6">
        <f t="shared" si="13"/>
        <v>-0.5294117647</v>
      </c>
      <c r="H1386" s="38" t="s">
        <v>246</v>
      </c>
      <c r="I1386" s="39"/>
    </row>
    <row r="1387" ht="14.25" customHeight="1">
      <c r="A1387" s="1"/>
      <c r="B1387" s="119">
        <v>9240.0</v>
      </c>
      <c r="E1387" s="120">
        <v>85000.0</v>
      </c>
      <c r="F1387" s="120">
        <f>SUM(F1386)</f>
        <v>40000</v>
      </c>
      <c r="G1387" s="6">
        <f t="shared" si="13"/>
        <v>-0.5294117647</v>
      </c>
    </row>
    <row r="1388" ht="14.25" customHeight="1">
      <c r="A1388" s="1"/>
      <c r="B1388" s="114"/>
      <c r="C1388" s="115"/>
      <c r="D1388" s="116"/>
      <c r="E1388" s="121"/>
      <c r="F1388" s="121"/>
      <c r="G1388" s="6" t="str">
        <f t="shared" si="13"/>
        <v/>
      </c>
    </row>
    <row r="1389" ht="14.25" customHeight="1">
      <c r="A1389" s="1"/>
      <c r="B1389" s="25">
        <v>9430.0</v>
      </c>
      <c r="C1389" s="26"/>
      <c r="D1389" s="27" t="s">
        <v>264</v>
      </c>
      <c r="E1389" s="27">
        <v>2024.0</v>
      </c>
      <c r="F1389" s="28">
        <v>2025.0</v>
      </c>
      <c r="G1389" s="6">
        <f t="shared" si="13"/>
        <v>0.0004940711462</v>
      </c>
    </row>
    <row r="1390" ht="14.25" customHeight="1">
      <c r="A1390" s="1"/>
      <c r="B1390" s="114"/>
      <c r="C1390" s="115" t="s">
        <v>265</v>
      </c>
      <c r="D1390" s="126" t="s">
        <v>266</v>
      </c>
      <c r="E1390" s="121">
        <v>300000.0</v>
      </c>
      <c r="F1390" s="121">
        <v>300000.0</v>
      </c>
      <c r="G1390" s="6">
        <f t="shared" si="13"/>
        <v>0</v>
      </c>
      <c r="H1390" s="38" t="s">
        <v>246</v>
      </c>
    </row>
    <row r="1391" ht="14.25" customHeight="1">
      <c r="A1391" s="1"/>
      <c r="B1391" s="119">
        <v>9430.0</v>
      </c>
      <c r="E1391" s="120">
        <v>300000.0</v>
      </c>
      <c r="F1391" s="120">
        <f>SUM(F1390)</f>
        <v>300000</v>
      </c>
      <c r="G1391" s="6">
        <f t="shared" si="13"/>
        <v>0</v>
      </c>
    </row>
    <row r="1392" ht="14.25" customHeight="1">
      <c r="A1392" s="1"/>
      <c r="B1392" s="2"/>
      <c r="C1392" s="3"/>
      <c r="D1392" s="4"/>
      <c r="E1392" s="5"/>
      <c r="F1392" s="5"/>
      <c r="G1392" s="6" t="str">
        <f t="shared" si="13"/>
        <v/>
      </c>
    </row>
    <row r="1393" ht="14.25" customHeight="1">
      <c r="A1393" s="1"/>
      <c r="B1393" s="2"/>
      <c r="C1393" s="54"/>
      <c r="D1393" s="22" t="s">
        <v>267</v>
      </c>
      <c r="E1393" s="65">
        <v>1955748.0</v>
      </c>
      <c r="F1393" s="65">
        <f>F1314+F1318+F1322+F1328+F1332+F1336+F1344+F1348+F1352+F1356+F1360+F1365+F1370+F1375+F1379+F1383+F1387+F1391+F1340</f>
        <v>1727680</v>
      </c>
      <c r="G1393" s="6">
        <f t="shared" si="13"/>
        <v>-0.1166142059</v>
      </c>
    </row>
    <row r="1394" ht="14.25" customHeight="1">
      <c r="A1394" s="1"/>
      <c r="B1394" s="2"/>
      <c r="C1394" s="54"/>
      <c r="D1394" s="22"/>
      <c r="E1394" s="32"/>
      <c r="F1394" s="32"/>
      <c r="G1394" s="6" t="str">
        <f t="shared" si="13"/>
        <v/>
      </c>
    </row>
    <row r="1395" ht="14.25" customHeight="1">
      <c r="A1395" s="1"/>
      <c r="B1395" s="2"/>
      <c r="C1395" s="54"/>
      <c r="D1395" s="22"/>
      <c r="E1395" s="32"/>
      <c r="F1395" s="32"/>
      <c r="G1395" s="6" t="str">
        <f t="shared" si="13"/>
        <v/>
      </c>
    </row>
    <row r="1396" ht="14.25" customHeight="1">
      <c r="A1396" s="1"/>
      <c r="B1396" s="2"/>
      <c r="C1396" s="3"/>
      <c r="D1396" s="4"/>
      <c r="E1396" s="5"/>
      <c r="F1396" s="5"/>
      <c r="G1396" s="6" t="str">
        <f t="shared" si="13"/>
        <v/>
      </c>
    </row>
    <row r="1397" ht="14.25" customHeight="1">
      <c r="A1397" s="1"/>
      <c r="B1397" s="101" t="s">
        <v>0</v>
      </c>
      <c r="C1397" s="9"/>
      <c r="D1397" s="102" t="s">
        <v>268</v>
      </c>
      <c r="E1397" s="103"/>
      <c r="F1397" s="103"/>
      <c r="G1397" s="6" t="str">
        <f t="shared" si="13"/>
        <v/>
      </c>
    </row>
    <row r="1398" ht="14.25" customHeight="1">
      <c r="A1398" s="1"/>
      <c r="B1398" s="104" t="s">
        <v>2</v>
      </c>
      <c r="C1398" s="105" t="s">
        <v>3</v>
      </c>
      <c r="D1398" s="14"/>
      <c r="E1398" s="106">
        <v>2024.0</v>
      </c>
      <c r="F1398" s="107">
        <v>2025.0</v>
      </c>
      <c r="G1398" s="6">
        <f t="shared" si="13"/>
        <v>0.0004940711462</v>
      </c>
    </row>
    <row r="1399" ht="14.25" customHeight="1">
      <c r="A1399" s="1"/>
      <c r="B1399" s="108">
        <v>9290.0</v>
      </c>
      <c r="C1399" s="109"/>
      <c r="D1399" s="27" t="s">
        <v>88</v>
      </c>
      <c r="E1399" s="27">
        <v>2024.0</v>
      </c>
      <c r="F1399" s="28">
        <v>2025.0</v>
      </c>
      <c r="G1399" s="6">
        <f t="shared" si="13"/>
        <v>0.0004940711462</v>
      </c>
    </row>
    <row r="1400" ht="14.25" customHeight="1">
      <c r="A1400" s="1"/>
      <c r="B1400" s="114"/>
      <c r="C1400" s="115" t="s">
        <v>269</v>
      </c>
      <c r="D1400" s="116" t="s">
        <v>270</v>
      </c>
      <c r="E1400" s="121">
        <v>100000.0</v>
      </c>
      <c r="F1400" s="117">
        <v>50000.0</v>
      </c>
      <c r="G1400" s="6">
        <f t="shared" si="13"/>
        <v>-0.5</v>
      </c>
    </row>
    <row r="1401" ht="14.25" customHeight="1">
      <c r="A1401" s="1"/>
      <c r="B1401" s="119">
        <v>9290.0</v>
      </c>
      <c r="E1401" s="120">
        <v>100000.0</v>
      </c>
      <c r="F1401" s="120">
        <f>SUM(F1400)</f>
        <v>50000</v>
      </c>
      <c r="G1401" s="6">
        <f t="shared" si="13"/>
        <v>-0.5</v>
      </c>
    </row>
    <row r="1402" ht="14.25" customHeight="1">
      <c r="A1402" s="1"/>
      <c r="B1402" s="119"/>
      <c r="C1402" s="116"/>
      <c r="D1402" s="116"/>
      <c r="E1402" s="125"/>
      <c r="F1402" s="125"/>
      <c r="G1402" s="6" t="str">
        <f t="shared" si="13"/>
        <v/>
      </c>
    </row>
    <row r="1403" ht="14.25" customHeight="1">
      <c r="A1403" s="1"/>
      <c r="B1403" s="2"/>
      <c r="C1403" s="54"/>
      <c r="D1403" s="22" t="s">
        <v>271</v>
      </c>
      <c r="E1403" s="65">
        <v>100000.0</v>
      </c>
      <c r="F1403" s="65">
        <f>F1401</f>
        <v>50000</v>
      </c>
      <c r="G1403" s="6">
        <f t="shared" si="13"/>
        <v>-0.5</v>
      </c>
    </row>
    <row r="1404" ht="14.25" customHeight="1">
      <c r="A1404" s="1"/>
      <c r="B1404" s="2"/>
      <c r="C1404" s="3"/>
      <c r="D1404" s="4"/>
      <c r="E1404" s="5"/>
      <c r="F1404" s="5"/>
      <c r="G1404" s="6" t="str">
        <f t="shared" si="13"/>
        <v/>
      </c>
    </row>
    <row r="1405" ht="14.25" customHeight="1">
      <c r="A1405" s="1"/>
      <c r="B1405" s="2"/>
      <c r="C1405" s="3"/>
      <c r="D1405" s="4"/>
      <c r="E1405" s="5"/>
      <c r="F1405" s="5"/>
      <c r="G1405" s="6" t="str">
        <f t="shared" si="13"/>
        <v/>
      </c>
    </row>
    <row r="1406" ht="14.25" customHeight="1">
      <c r="A1406" s="1"/>
      <c r="B1406" s="2"/>
      <c r="C1406" s="3"/>
      <c r="D1406" s="4"/>
      <c r="E1406" s="5"/>
      <c r="F1406" s="5"/>
      <c r="G1406" s="6" t="str">
        <f t="shared" si="13"/>
        <v/>
      </c>
    </row>
    <row r="1407" ht="14.25" customHeight="1">
      <c r="A1407" s="1"/>
      <c r="B1407" s="101" t="s">
        <v>0</v>
      </c>
      <c r="C1407" s="9"/>
      <c r="D1407" s="102" t="s">
        <v>272</v>
      </c>
      <c r="E1407" s="103"/>
      <c r="F1407" s="103"/>
      <c r="G1407" s="6" t="str">
        <f t="shared" si="13"/>
        <v/>
      </c>
    </row>
    <row r="1408" ht="14.25" customHeight="1">
      <c r="A1408" s="1"/>
      <c r="B1408" s="104" t="s">
        <v>2</v>
      </c>
      <c r="C1408" s="105" t="s">
        <v>3</v>
      </c>
      <c r="D1408" s="14"/>
      <c r="E1408" s="106">
        <v>2024.0</v>
      </c>
      <c r="F1408" s="107">
        <v>2025.0</v>
      </c>
      <c r="G1408" s="6">
        <f t="shared" si="13"/>
        <v>0.0004940711462</v>
      </c>
    </row>
    <row r="1409" ht="14.25" customHeight="1">
      <c r="A1409" s="1"/>
      <c r="B1409" s="33">
        <v>1320.0</v>
      </c>
      <c r="C1409" s="137"/>
      <c r="D1409" s="35" t="s">
        <v>23</v>
      </c>
      <c r="E1409" s="35">
        <v>2024.0</v>
      </c>
      <c r="F1409" s="138">
        <v>2025.0</v>
      </c>
      <c r="G1409" s="6">
        <f t="shared" si="13"/>
        <v>0.0004940711462</v>
      </c>
    </row>
    <row r="1410" ht="14.25" customHeight="1">
      <c r="A1410" s="1"/>
      <c r="B1410" s="2"/>
      <c r="C1410" s="139">
        <v>622.0</v>
      </c>
      <c r="D1410" s="140" t="s">
        <v>273</v>
      </c>
      <c r="E1410" s="69"/>
      <c r="F1410" s="141">
        <f>IFERROR(__xludf.DUMMYFUNCTION("IMPORTRANGE(""https://docs.google.com/spreadsheets/d/1CWffE_fmwY77uhgMYjfUbNKvG6VWeKQmR1hn2RIBmiU"",""2025!p1320_622"")"),20000.0)</f>
        <v>20000</v>
      </c>
      <c r="G1410" s="6"/>
    </row>
    <row r="1411" ht="14.25" customHeight="1">
      <c r="A1411" s="1"/>
      <c r="B1411" s="119">
        <v>1320.0</v>
      </c>
      <c r="E1411" s="23"/>
      <c r="F1411" s="23">
        <f>SUM(F1410)</f>
        <v>20000</v>
      </c>
      <c r="G1411" s="6" t="str">
        <f t="shared" ref="G1411:G1418" si="14">IFERROR(((F1411-E1411)/E1411), "")</f>
        <v/>
      </c>
    </row>
    <row r="1412" ht="14.25" customHeight="1">
      <c r="A1412" s="1"/>
      <c r="B1412" s="2"/>
      <c r="C1412" s="7"/>
      <c r="D1412" s="142"/>
      <c r="E1412" s="5"/>
      <c r="F1412" s="5"/>
      <c r="G1412" s="6" t="str">
        <f t="shared" si="14"/>
        <v/>
      </c>
    </row>
    <row r="1413" ht="14.25" customHeight="1">
      <c r="A1413" s="143"/>
      <c r="B1413" s="144">
        <v>1330.0</v>
      </c>
      <c r="C1413" s="145"/>
      <c r="D1413" s="130" t="s">
        <v>134</v>
      </c>
      <c r="E1413" s="146">
        <v>2024.0</v>
      </c>
      <c r="F1413" s="147">
        <v>2025.0</v>
      </c>
      <c r="G1413" s="6">
        <f t="shared" si="14"/>
        <v>0.0004940711462</v>
      </c>
      <c r="H1413" s="82"/>
      <c r="I1413" s="82"/>
      <c r="J1413" s="82"/>
      <c r="K1413" s="82"/>
    </row>
    <row r="1414" ht="14.25" customHeight="1">
      <c r="A1414" s="76"/>
      <c r="B1414" s="76"/>
      <c r="C1414" s="148">
        <v>619.0</v>
      </c>
      <c r="D1414" s="75" t="s">
        <v>274</v>
      </c>
      <c r="E1414" s="149"/>
      <c r="F1414" s="150">
        <f>IFERROR(__xludf.DUMMYFUNCTION("IMPORTRANGE(""https://docs.google.com/spreadsheets/d/1CWffE_fmwY77uhgMYjfUbNKvG6VWeKQmR1hn2RIBmiU"",""2025!p1330_619"")"),25000.0)</f>
        <v>25000</v>
      </c>
      <c r="G1414" s="6" t="str">
        <f t="shared" si="14"/>
        <v/>
      </c>
      <c r="H1414" s="82"/>
      <c r="I1414" s="82"/>
      <c r="J1414" s="82"/>
      <c r="K1414" s="82"/>
    </row>
    <row r="1415" ht="14.25" customHeight="1">
      <c r="A1415" s="76"/>
      <c r="B1415" s="151">
        <v>1330.0</v>
      </c>
      <c r="E1415" s="152"/>
      <c r="F1415" s="153">
        <f>SUM(F1414)</f>
        <v>25000</v>
      </c>
      <c r="G1415" s="6" t="str">
        <f t="shared" si="14"/>
        <v/>
      </c>
      <c r="H1415" s="82"/>
      <c r="I1415" s="82"/>
      <c r="J1415" s="82"/>
      <c r="K1415" s="82"/>
    </row>
    <row r="1416" ht="14.25" customHeight="1">
      <c r="A1416" s="1"/>
      <c r="B1416" s="2"/>
      <c r="C1416" s="7"/>
      <c r="D1416" s="142"/>
      <c r="E1416" s="5"/>
      <c r="F1416" s="5"/>
      <c r="G1416" s="6" t="str">
        <f t="shared" si="14"/>
        <v/>
      </c>
    </row>
    <row r="1417" ht="14.25" customHeight="1">
      <c r="A1417" s="1"/>
      <c r="B1417" s="49">
        <v>1350.0</v>
      </c>
      <c r="C1417" s="137"/>
      <c r="D1417" s="36" t="s">
        <v>136</v>
      </c>
      <c r="E1417" s="36">
        <v>2024.0</v>
      </c>
      <c r="F1417" s="138">
        <v>2025.0</v>
      </c>
      <c r="G1417" s="6">
        <f t="shared" si="14"/>
        <v>0.0004940711462</v>
      </c>
    </row>
    <row r="1418" ht="14.25" customHeight="1">
      <c r="A1418" s="1"/>
      <c r="B1418" s="2"/>
      <c r="C1418" s="139">
        <v>619.0</v>
      </c>
      <c r="D1418" s="140" t="s">
        <v>274</v>
      </c>
      <c r="E1418" s="154"/>
      <c r="F1418" s="155">
        <f>IFERROR(__xludf.DUMMYFUNCTION("IMPORTRANGE(""https://docs.google.com/spreadsheets/d/1CWffE_fmwY77uhgMYjfUbNKvG6VWeKQmR1hn2RIBmiU"",""2025!p1350_619"")"),30000.0)</f>
        <v>30000</v>
      </c>
      <c r="G1418" s="6" t="str">
        <f t="shared" si="14"/>
        <v/>
      </c>
    </row>
    <row r="1419" ht="14.25" customHeight="1">
      <c r="A1419" s="1"/>
      <c r="B1419" s="2"/>
      <c r="C1419" s="139">
        <v>622.0</v>
      </c>
      <c r="D1419" s="140" t="s">
        <v>273</v>
      </c>
      <c r="E1419" s="154"/>
      <c r="F1419" s="156">
        <f>IFERROR(__xludf.DUMMYFUNCTION("IMPORTRANGE(""https://docs.google.com/spreadsheets/d/1CWffE_fmwY77uhgMYjfUbNKvG6VWeKQmR1hn2RIBmiU"",""2025!p1350_622"")"),25000.0)</f>
        <v>25000</v>
      </c>
      <c r="G1419" s="6"/>
    </row>
    <row r="1420" ht="14.25" customHeight="1">
      <c r="A1420" s="1"/>
      <c r="B1420" s="132">
        <v>1350.0</v>
      </c>
      <c r="E1420" s="53"/>
      <c r="F1420" s="23">
        <f>SUM(F1418:F1419)</f>
        <v>55000</v>
      </c>
      <c r="G1420" s="6" t="str">
        <f t="shared" ref="G1420:G1424" si="15">IFERROR(((F1420-E1420)/E1420), "")</f>
        <v/>
      </c>
    </row>
    <row r="1421" ht="14.25" customHeight="1">
      <c r="A1421" s="1"/>
      <c r="B1421" s="2"/>
      <c r="C1421" s="7"/>
      <c r="D1421" s="142"/>
      <c r="E1421" s="5"/>
      <c r="F1421" s="5"/>
      <c r="G1421" s="6" t="str">
        <f t="shared" si="15"/>
        <v/>
      </c>
    </row>
    <row r="1422" ht="14.25" customHeight="1">
      <c r="A1422" s="1"/>
      <c r="B1422" s="49">
        <v>1360.0</v>
      </c>
      <c r="C1422" s="137"/>
      <c r="D1422" s="36" t="s">
        <v>28</v>
      </c>
      <c r="E1422" s="36">
        <v>2024.0</v>
      </c>
      <c r="F1422" s="138">
        <v>2025.0</v>
      </c>
      <c r="G1422" s="6">
        <f t="shared" si="15"/>
        <v>0.0004940711462</v>
      </c>
    </row>
    <row r="1423" ht="14.25" customHeight="1">
      <c r="A1423" s="76"/>
      <c r="B1423" s="76"/>
      <c r="C1423" s="148">
        <v>629.0</v>
      </c>
      <c r="D1423" s="75" t="s">
        <v>275</v>
      </c>
      <c r="E1423" s="157"/>
      <c r="F1423" s="158">
        <f>IFERROR(__xludf.DUMMYFUNCTION("IMPORTRANGE(""https://docs.google.com/spreadsheets/d/1CWffE_fmwY77uhgMYjfUbNKvG6VWeKQmR1hn2RIBmiU"",""2025!p1360_629"")"),300000.0)</f>
        <v>300000</v>
      </c>
      <c r="G1423" s="159" t="str">
        <f t="shared" si="15"/>
        <v/>
      </c>
      <c r="H1423" s="86"/>
      <c r="I1423" s="86"/>
      <c r="J1423" s="86"/>
      <c r="K1423" s="86"/>
    </row>
    <row r="1424" ht="14.25" customHeight="1">
      <c r="A1424" s="1"/>
      <c r="B1424" s="2"/>
      <c r="C1424" s="139">
        <v>635.0</v>
      </c>
      <c r="D1424" s="140" t="s">
        <v>276</v>
      </c>
      <c r="E1424" s="154"/>
      <c r="F1424" s="5">
        <f>IFERROR(__xludf.DUMMYFUNCTION("IMPORTRANGE(""https://docs.google.com/spreadsheets/d/1CWffE_fmwY77uhgMYjfUbNKvG6VWeKQmR1hn2RIBmiU"",""2025!p1360_635"")"),10000.0)</f>
        <v>10000</v>
      </c>
      <c r="G1424" s="6" t="str">
        <f t="shared" si="15"/>
        <v/>
      </c>
    </row>
    <row r="1425" ht="14.25" customHeight="1">
      <c r="A1425" s="1"/>
      <c r="B1425" s="2"/>
      <c r="C1425" s="139">
        <v>641.0</v>
      </c>
      <c r="D1425" s="140" t="s">
        <v>277</v>
      </c>
      <c r="E1425" s="154"/>
      <c r="F1425" s="156">
        <f>IFERROR(__xludf.DUMMYFUNCTION("IMPORTRANGE(""https://docs.google.com/spreadsheets/d/1CWffE_fmwY77uhgMYjfUbNKvG6VWeKQmR1hn2RIBmiU"",""2025!p1360_641"")"),30000.0)</f>
        <v>30000</v>
      </c>
      <c r="G1425" s="6"/>
    </row>
    <row r="1426" ht="14.25" customHeight="1">
      <c r="A1426" s="1"/>
      <c r="B1426" s="132">
        <v>1360.0</v>
      </c>
      <c r="E1426" s="53"/>
      <c r="F1426" s="23">
        <f>SUM(F1423:F1425)</f>
        <v>340000</v>
      </c>
      <c r="G1426" s="6" t="str">
        <f t="shared" ref="G1426:G1438" si="16">IFERROR(((F1426-E1426)/E1426), "")</f>
        <v/>
      </c>
    </row>
    <row r="1427" ht="14.25" customHeight="1">
      <c r="A1427" s="1"/>
      <c r="B1427" s="2"/>
      <c r="C1427" s="7"/>
      <c r="D1427" s="142"/>
      <c r="E1427" s="5"/>
      <c r="F1427" s="5"/>
      <c r="G1427" s="6" t="str">
        <f t="shared" si="16"/>
        <v/>
      </c>
    </row>
    <row r="1428" ht="14.25" customHeight="1">
      <c r="A1428" s="1"/>
      <c r="B1428" s="49">
        <v>1500.0</v>
      </c>
      <c r="C1428" s="137"/>
      <c r="D1428" s="36" t="s">
        <v>31</v>
      </c>
      <c r="E1428" s="36">
        <v>2024.0</v>
      </c>
      <c r="F1428" s="138">
        <v>2025.0</v>
      </c>
      <c r="G1428" s="6">
        <f t="shared" si="16"/>
        <v>0.0004940711462</v>
      </c>
    </row>
    <row r="1429" ht="14.25" customHeight="1">
      <c r="A1429" s="1"/>
      <c r="B1429" s="2"/>
      <c r="C1429" s="139">
        <v>619.0</v>
      </c>
      <c r="D1429" s="140" t="s">
        <v>274</v>
      </c>
      <c r="E1429" s="154"/>
      <c r="F1429" s="155">
        <f>IFERROR(__xludf.DUMMYFUNCTION("IMPORTRANGE(""https://docs.google.com/spreadsheets/d/1CWffE_fmwY77uhgMYjfUbNKvG6VWeKQmR1hn2RIBmiU"",""2025!p1500_619"")"),6000.0)</f>
        <v>6000</v>
      </c>
      <c r="G1429" s="6" t="str">
        <f t="shared" si="16"/>
        <v/>
      </c>
    </row>
    <row r="1430" ht="14.25" customHeight="1">
      <c r="A1430" s="1"/>
      <c r="B1430" s="2"/>
      <c r="C1430" s="139">
        <v>636.0</v>
      </c>
      <c r="D1430" s="140" t="s">
        <v>102</v>
      </c>
      <c r="E1430" s="154"/>
      <c r="F1430" s="156">
        <f>IFERROR(__xludf.DUMMYFUNCTION("IMPORTRANGE(""https://docs.google.com/spreadsheets/d/1CWffE_fmwY77uhgMYjfUbNKvG6VWeKQmR1hn2RIBmiU"",""2025!p1500_636"")"),12000.0)</f>
        <v>12000</v>
      </c>
      <c r="G1430" s="6" t="str">
        <f t="shared" si="16"/>
        <v/>
      </c>
    </row>
    <row r="1431" ht="14.25" customHeight="1">
      <c r="A1431" s="1"/>
      <c r="B1431" s="132">
        <v>1500.0</v>
      </c>
      <c r="E1431" s="53"/>
      <c r="F1431" s="23">
        <f>SUM(F1429:F1430)</f>
        <v>18000</v>
      </c>
      <c r="G1431" s="6" t="str">
        <f t="shared" si="16"/>
        <v/>
      </c>
    </row>
    <row r="1432" ht="14.25" customHeight="1">
      <c r="A1432" s="1"/>
      <c r="B1432" s="2"/>
      <c r="C1432" s="7"/>
      <c r="D1432" s="142"/>
      <c r="E1432" s="5"/>
      <c r="F1432" s="5"/>
      <c r="G1432" s="6" t="str">
        <f t="shared" si="16"/>
        <v/>
      </c>
    </row>
    <row r="1433" ht="14.25" customHeight="1">
      <c r="A1433" s="1"/>
      <c r="B1433" s="33">
        <v>1522.0</v>
      </c>
      <c r="C1433" s="137"/>
      <c r="D1433" s="35" t="s">
        <v>278</v>
      </c>
      <c r="E1433" s="36">
        <v>2024.0</v>
      </c>
      <c r="F1433" s="138">
        <v>2025.0</v>
      </c>
      <c r="G1433" s="6">
        <f t="shared" si="16"/>
        <v>0.0004940711462</v>
      </c>
    </row>
    <row r="1434" ht="14.25" customHeight="1">
      <c r="A1434" s="1"/>
      <c r="B1434" s="2"/>
      <c r="C1434" s="7">
        <v>650.0</v>
      </c>
      <c r="D1434" s="41" t="s">
        <v>279</v>
      </c>
      <c r="E1434" s="154"/>
      <c r="F1434" s="141">
        <f>IFERROR(__xludf.DUMMYFUNCTION("IMPORTRANGE(""https://docs.google.com/spreadsheets/d/1CWffE_fmwY77uhgMYjfUbNKvG6VWeKQmR1hn2RIBmiU"",""2025!p1522_650"")"),3521054.54)</f>
        <v>3521054.54</v>
      </c>
      <c r="G1434" s="6" t="str">
        <f t="shared" si="16"/>
        <v/>
      </c>
    </row>
    <row r="1435" ht="14.25" customHeight="1">
      <c r="A1435" s="1"/>
      <c r="B1435" s="119">
        <v>1522.0</v>
      </c>
      <c r="E1435" s="53"/>
      <c r="F1435" s="23">
        <f>SUM(F1434)</f>
        <v>3521054.54</v>
      </c>
      <c r="G1435" s="6" t="str">
        <f t="shared" si="16"/>
        <v/>
      </c>
    </row>
    <row r="1436" ht="14.25" customHeight="1">
      <c r="A1436" s="1"/>
      <c r="B1436" s="2"/>
      <c r="C1436" s="7"/>
      <c r="D1436" s="142"/>
      <c r="E1436" s="5"/>
      <c r="F1436" s="5"/>
      <c r="G1436" s="6" t="str">
        <f t="shared" si="16"/>
        <v/>
      </c>
    </row>
    <row r="1437" ht="14.25" customHeight="1">
      <c r="A1437" s="1"/>
      <c r="B1437" s="33">
        <v>1530.0</v>
      </c>
      <c r="C1437" s="137"/>
      <c r="D1437" s="160" t="s">
        <v>36</v>
      </c>
      <c r="E1437" s="36">
        <v>2024.0</v>
      </c>
      <c r="F1437" s="138">
        <v>2025.0</v>
      </c>
      <c r="G1437" s="6">
        <f t="shared" si="16"/>
        <v>0.0004940711462</v>
      </c>
    </row>
    <row r="1438" ht="14.25" customHeight="1">
      <c r="A1438" s="1"/>
      <c r="C1438" s="2">
        <v>619.0</v>
      </c>
      <c r="D1438" s="140" t="s">
        <v>274</v>
      </c>
      <c r="E1438" s="154"/>
      <c r="F1438" s="155">
        <f>IFERROR(__xludf.DUMMYFUNCTION("IMPORTRANGE(""https://docs.google.com/spreadsheets/d/1CWffE_fmwY77uhgMYjfUbNKvG6VWeKQmR1hn2RIBmiU"",""2025!p1530_619"")"),2931250.1500000004)</f>
        <v>2931250.15</v>
      </c>
      <c r="G1438" s="6" t="str">
        <f t="shared" si="16"/>
        <v/>
      </c>
      <c r="H1438" s="5"/>
    </row>
    <row r="1439" ht="14.25" customHeight="1">
      <c r="A1439" s="1"/>
      <c r="C1439" s="161">
        <v>624.0</v>
      </c>
      <c r="D1439" s="140" t="s">
        <v>280</v>
      </c>
      <c r="E1439" s="69"/>
      <c r="F1439" s="5">
        <f>IFERROR(__xludf.DUMMYFUNCTION("IMPORTRANGE(""https://docs.google.com/spreadsheets/d/1CWffE_fmwY77uhgMYjfUbNKvG6VWeKQmR1hn2RIBmiU"",""2025!p1530_624"")"),134000.0)</f>
        <v>134000</v>
      </c>
      <c r="G1439" s="6"/>
    </row>
    <row r="1440" ht="14.25" customHeight="1">
      <c r="A1440" s="1"/>
      <c r="C1440" s="161">
        <v>633.0</v>
      </c>
      <c r="D1440" s="140" t="s">
        <v>281</v>
      </c>
      <c r="E1440" s="69"/>
      <c r="F1440" s="5">
        <f>IFERROR(__xludf.DUMMYFUNCTION("IMPORTRANGE(""https://docs.google.com/spreadsheets/d/1CWffE_fmwY77uhgMYjfUbNKvG6VWeKQmR1hn2RIBmiU"",""2025!p1530_633"")"),5000.0)</f>
        <v>5000</v>
      </c>
      <c r="G1440" s="6"/>
    </row>
    <row r="1441" ht="14.25" customHeight="1">
      <c r="A1441" s="1"/>
      <c r="C1441" s="161">
        <v>635.0</v>
      </c>
      <c r="D1441" s="140" t="s">
        <v>276</v>
      </c>
      <c r="E1441" s="69"/>
      <c r="F1441" s="156">
        <f>IFERROR(__xludf.DUMMYFUNCTION("IMPORTRANGE(""https://docs.google.com/spreadsheets/d/1CWffE_fmwY77uhgMYjfUbNKvG6VWeKQmR1hn2RIBmiU"",""2025!p1530_635"")"),190000.0)</f>
        <v>190000</v>
      </c>
      <c r="G1441" s="6"/>
    </row>
    <row r="1442" ht="14.25" customHeight="1">
      <c r="A1442" s="1"/>
      <c r="B1442" s="162">
        <v>1530.0</v>
      </c>
      <c r="E1442" s="53"/>
      <c r="F1442" s="23">
        <f>SUM(F1438:F1441)</f>
        <v>3260250.15</v>
      </c>
      <c r="G1442" s="6" t="str">
        <f t="shared" ref="G1442:G1445" si="17">IFERROR(((F1442-E1442)/E1442), "")</f>
        <v/>
      </c>
    </row>
    <row r="1443" ht="14.25" customHeight="1">
      <c r="A1443" s="1"/>
      <c r="B1443" s="2"/>
      <c r="C1443" s="7"/>
      <c r="D1443" s="142"/>
      <c r="E1443" s="5"/>
      <c r="F1443" s="5"/>
      <c r="G1443" s="6" t="str">
        <f t="shared" si="17"/>
        <v/>
      </c>
    </row>
    <row r="1444" ht="14.25" customHeight="1">
      <c r="A1444" s="1"/>
      <c r="B1444" s="33">
        <v>1600.0</v>
      </c>
      <c r="C1444" s="137"/>
      <c r="D1444" s="160" t="s">
        <v>152</v>
      </c>
      <c r="E1444" s="36">
        <v>2024.0</v>
      </c>
      <c r="F1444" s="138">
        <v>2025.0</v>
      </c>
      <c r="G1444" s="6">
        <f t="shared" si="17"/>
        <v>0.0004940711462</v>
      </c>
    </row>
    <row r="1445" ht="14.25" customHeight="1">
      <c r="A1445" s="1"/>
      <c r="C1445" s="2">
        <v>619.0</v>
      </c>
      <c r="D1445" s="140" t="s">
        <v>274</v>
      </c>
      <c r="E1445" s="154"/>
      <c r="F1445" s="155">
        <f>IFERROR(__xludf.DUMMYFUNCTION("IMPORTRANGE(""https://docs.google.com/spreadsheets/d/1CWffE_fmwY77uhgMYjfUbNKvG6VWeKQmR1hn2RIBmiU"",""2025!p1600_619"")"),180000.0)</f>
        <v>180000</v>
      </c>
      <c r="G1445" s="6" t="str">
        <f t="shared" si="17"/>
        <v/>
      </c>
    </row>
    <row r="1446" ht="14.25" customHeight="1">
      <c r="A1446" s="1"/>
      <c r="C1446" s="161">
        <v>623.0</v>
      </c>
      <c r="D1446" s="140" t="s">
        <v>281</v>
      </c>
      <c r="E1446" s="69"/>
      <c r="F1446" s="5">
        <f>IFERROR(__xludf.DUMMYFUNCTION("IMPORTRANGE(""https://docs.google.com/spreadsheets/d/1CWffE_fmwY77uhgMYjfUbNKvG6VWeKQmR1hn2RIBmiU"",""2025!p1600_623"")"),2000.0)</f>
        <v>2000</v>
      </c>
      <c r="G1446" s="6"/>
    </row>
    <row r="1447" ht="14.25" customHeight="1">
      <c r="A1447" s="1"/>
      <c r="C1447" s="161">
        <v>629.0</v>
      </c>
      <c r="D1447" s="140" t="s">
        <v>275</v>
      </c>
      <c r="E1447" s="69"/>
      <c r="F1447" s="156">
        <f>IFERROR(__xludf.DUMMYFUNCTION("IMPORTRANGE(""https://docs.google.com/spreadsheets/d/1CWffE_fmwY77uhgMYjfUbNKvG6VWeKQmR1hn2RIBmiU"",""2025!p1600_629"")"),15000.0)</f>
        <v>15000</v>
      </c>
      <c r="G1447" s="6"/>
    </row>
    <row r="1448" ht="14.25" customHeight="1">
      <c r="A1448" s="1"/>
      <c r="B1448" s="162">
        <v>1600.0</v>
      </c>
      <c r="E1448" s="53"/>
      <c r="F1448" s="23">
        <f>SUM(F1445:F1447)</f>
        <v>197000</v>
      </c>
      <c r="G1448" s="6" t="str">
        <f t="shared" ref="G1448:G1461" si="18">IFERROR(((F1448-E1448)/E1448), "")</f>
        <v/>
      </c>
    </row>
    <row r="1449" ht="14.25" customHeight="1">
      <c r="A1449" s="1"/>
      <c r="B1449" s="2"/>
      <c r="C1449" s="7"/>
      <c r="D1449" s="142"/>
      <c r="E1449" s="5"/>
      <c r="F1449" s="5"/>
      <c r="G1449" s="6" t="str">
        <f t="shared" si="18"/>
        <v/>
      </c>
    </row>
    <row r="1450" ht="14.25" customHeight="1">
      <c r="A1450" s="1"/>
      <c r="B1450" s="33">
        <v>1610.0</v>
      </c>
      <c r="C1450" s="137"/>
      <c r="D1450" s="35" t="s">
        <v>41</v>
      </c>
      <c r="E1450" s="36"/>
      <c r="F1450" s="138">
        <v>2025.0</v>
      </c>
      <c r="G1450" s="6" t="str">
        <f t="shared" si="18"/>
        <v/>
      </c>
    </row>
    <row r="1451" ht="14.25" customHeight="1">
      <c r="A1451" s="1"/>
      <c r="B1451" s="2"/>
      <c r="C1451" s="7">
        <v>619.0</v>
      </c>
      <c r="D1451" s="140" t="s">
        <v>274</v>
      </c>
      <c r="E1451" s="154"/>
      <c r="F1451" s="155">
        <f>IFERROR(__xludf.DUMMYFUNCTION("IMPORTRANGE(""https://docs.google.com/spreadsheets/d/1CWffE_fmwY77uhgMYjfUbNKvG6VWeKQmR1hn2RIBmiU"",""2025!p1610_619"")"),618000.0)</f>
        <v>618000</v>
      </c>
      <c r="G1451" s="6" t="str">
        <f t="shared" si="18"/>
        <v/>
      </c>
    </row>
    <row r="1452" ht="14.25" customHeight="1">
      <c r="A1452" s="1"/>
      <c r="B1452" s="2"/>
      <c r="C1452" s="139">
        <v>633.0</v>
      </c>
      <c r="D1452" s="140" t="s">
        <v>281</v>
      </c>
      <c r="E1452" s="154"/>
      <c r="F1452" s="156">
        <f>IFERROR(__xludf.DUMMYFUNCTION("IMPORTRANGE(""https://docs.google.com/spreadsheets/d/1CWffE_fmwY77uhgMYjfUbNKvG6VWeKQmR1hn2RIBmiU"",""2025!p1610_633"")"),12600.0)</f>
        <v>12600</v>
      </c>
      <c r="G1452" s="6" t="str">
        <f t="shared" si="18"/>
        <v/>
      </c>
    </row>
    <row r="1453" ht="14.25" customHeight="1">
      <c r="A1453" s="1"/>
      <c r="B1453" s="119">
        <v>1610.0</v>
      </c>
      <c r="E1453" s="53"/>
      <c r="F1453" s="23">
        <f>SUM(F1451:F1452)</f>
        <v>630600</v>
      </c>
      <c r="G1453" s="6" t="str">
        <f t="shared" si="18"/>
        <v/>
      </c>
    </row>
    <row r="1454" ht="14.25" customHeight="1">
      <c r="A1454" s="1"/>
      <c r="B1454" s="2"/>
      <c r="C1454" s="7"/>
      <c r="D1454" s="142"/>
      <c r="E1454" s="5"/>
      <c r="F1454" s="5"/>
      <c r="G1454" s="6" t="str">
        <f t="shared" si="18"/>
        <v/>
      </c>
    </row>
    <row r="1455" ht="14.25" customHeight="1">
      <c r="A1455" s="1"/>
      <c r="B1455" s="49">
        <v>1623.0</v>
      </c>
      <c r="C1455" s="137"/>
      <c r="D1455" s="36" t="s">
        <v>163</v>
      </c>
      <c r="E1455" s="36"/>
      <c r="F1455" s="138">
        <v>2025.0</v>
      </c>
      <c r="G1455" s="6" t="str">
        <f t="shared" si="18"/>
        <v/>
      </c>
    </row>
    <row r="1456" ht="14.25" customHeight="1">
      <c r="A1456" s="1"/>
      <c r="B1456" s="2"/>
      <c r="C1456" s="7">
        <v>619.0</v>
      </c>
      <c r="D1456" s="140" t="s">
        <v>274</v>
      </c>
      <c r="E1456" s="154"/>
      <c r="F1456" s="155">
        <f>IFERROR(__xludf.DUMMYFUNCTION("IMPORTRANGE(""https://docs.google.com/spreadsheets/d/1CWffE_fmwY77uhgMYjfUbNKvG6VWeKQmR1hn2RIBmiU"",""2025!p1623_619"")"),300000.0)</f>
        <v>300000</v>
      </c>
      <c r="G1456" s="6" t="str">
        <f t="shared" si="18"/>
        <v/>
      </c>
    </row>
    <row r="1457" ht="14.25" customHeight="1">
      <c r="A1457" s="1"/>
      <c r="B1457" s="2"/>
      <c r="C1457" s="139">
        <v>623.0</v>
      </c>
      <c r="D1457" s="140" t="s">
        <v>281</v>
      </c>
      <c r="E1457" s="154"/>
      <c r="F1457" s="156">
        <f>IFERROR(__xludf.DUMMYFUNCTION("IMPORTRANGE(""https://docs.google.com/spreadsheets/d/1CWffE_fmwY77uhgMYjfUbNKvG6VWeKQmR1hn2RIBmiU"",""2025!p1623_623"")"),80000.0)</f>
        <v>80000</v>
      </c>
      <c r="G1457" s="6" t="str">
        <f t="shared" si="18"/>
        <v/>
      </c>
    </row>
    <row r="1458" ht="14.25" customHeight="1">
      <c r="A1458" s="1"/>
      <c r="B1458" s="132">
        <v>1623.0</v>
      </c>
      <c r="E1458" s="53"/>
      <c r="F1458" s="23">
        <f>SUM(F1456:F1457)</f>
        <v>380000</v>
      </c>
      <c r="G1458" s="6" t="str">
        <f t="shared" si="18"/>
        <v/>
      </c>
    </row>
    <row r="1459" ht="14.25" customHeight="1">
      <c r="A1459" s="1"/>
      <c r="B1459" s="2"/>
      <c r="C1459" s="7"/>
      <c r="D1459" s="142"/>
      <c r="E1459" s="5"/>
      <c r="F1459" s="5"/>
      <c r="G1459" s="6" t="str">
        <f t="shared" si="18"/>
        <v/>
      </c>
    </row>
    <row r="1460" ht="14.25" customHeight="1">
      <c r="A1460" s="1"/>
      <c r="B1460" s="33">
        <v>1640.0</v>
      </c>
      <c r="C1460" s="137"/>
      <c r="D1460" s="160" t="s">
        <v>45</v>
      </c>
      <c r="E1460" s="36">
        <v>2024.0</v>
      </c>
      <c r="F1460" s="138">
        <v>2025.0</v>
      </c>
      <c r="G1460" s="6">
        <f t="shared" si="18"/>
        <v>0.0004940711462</v>
      </c>
    </row>
    <row r="1461" ht="14.25" customHeight="1">
      <c r="A1461" s="1"/>
      <c r="C1461" s="2">
        <v>622.0</v>
      </c>
      <c r="D1461" s="41" t="s">
        <v>273</v>
      </c>
      <c r="E1461" s="154"/>
      <c r="F1461" s="155">
        <f>IFERROR(__xludf.DUMMYFUNCTION("IMPORTRANGE(""https://docs.google.com/spreadsheets/d/1CWffE_fmwY77uhgMYjfUbNKvG6VWeKQmR1hn2RIBmiU"",""2025!p1640_622"")"),286000.0)</f>
        <v>286000</v>
      </c>
      <c r="G1461" s="6" t="str">
        <f t="shared" si="18"/>
        <v/>
      </c>
    </row>
    <row r="1462" ht="14.25" customHeight="1">
      <c r="A1462" s="1"/>
      <c r="C1462" s="161">
        <v>629.0</v>
      </c>
      <c r="D1462" s="140" t="s">
        <v>275</v>
      </c>
      <c r="E1462" s="69"/>
      <c r="F1462" s="5">
        <f>IFERROR(__xludf.DUMMYFUNCTION("IMPORTRANGE(""https://docs.google.com/spreadsheets/d/1CWffE_fmwY77uhgMYjfUbNKvG6VWeKQmR1hn2RIBmiU"",""2025!p1640_629"")"),5000.0)</f>
        <v>5000</v>
      </c>
      <c r="G1462" s="6"/>
    </row>
    <row r="1463" ht="14.25" customHeight="1">
      <c r="A1463" s="1"/>
      <c r="C1463" s="161">
        <v>641.0</v>
      </c>
      <c r="D1463" s="140" t="s">
        <v>277</v>
      </c>
      <c r="E1463" s="69"/>
      <c r="F1463" s="156">
        <f>IFERROR(__xludf.DUMMYFUNCTION("IMPORTRANGE(""https://docs.google.com/spreadsheets/d/1CWffE_fmwY77uhgMYjfUbNKvG6VWeKQmR1hn2RIBmiU"",""2025!p1640_641"")"),13000.0)</f>
        <v>13000</v>
      </c>
      <c r="G1463" s="6"/>
    </row>
    <row r="1464" ht="14.25" customHeight="1">
      <c r="A1464" s="1"/>
      <c r="B1464" s="162">
        <v>1640.0</v>
      </c>
      <c r="E1464" s="53"/>
      <c r="F1464" s="23">
        <f>SUM(F1461:F1463)</f>
        <v>304000</v>
      </c>
      <c r="G1464" s="6" t="str">
        <f t="shared" ref="G1464:G1479" si="19">IFERROR(((F1464-E1464)/E1464), "")</f>
        <v/>
      </c>
    </row>
    <row r="1465" ht="14.25" customHeight="1">
      <c r="A1465" s="1"/>
      <c r="B1465" s="2"/>
      <c r="C1465" s="7"/>
      <c r="D1465" s="142"/>
      <c r="E1465" s="5"/>
      <c r="F1465" s="5"/>
      <c r="G1465" s="6" t="str">
        <f t="shared" si="19"/>
        <v/>
      </c>
    </row>
    <row r="1466" ht="14.25" customHeight="1">
      <c r="A1466" s="76"/>
      <c r="B1466" s="163">
        <v>1650.0</v>
      </c>
      <c r="C1466" s="164"/>
      <c r="D1466" s="165" t="s">
        <v>282</v>
      </c>
      <c r="E1466" s="166">
        <v>2024.0</v>
      </c>
      <c r="F1466" s="167">
        <v>2025.0</v>
      </c>
      <c r="G1466" s="6">
        <f t="shared" si="19"/>
        <v>0.0004940711462</v>
      </c>
      <c r="H1466" s="86"/>
      <c r="I1466" s="86"/>
      <c r="J1466" s="168"/>
      <c r="K1466" s="168"/>
    </row>
    <row r="1467" ht="14.25" customHeight="1">
      <c r="A1467" s="76"/>
      <c r="B1467" s="82"/>
      <c r="C1467" s="169">
        <v>619.0</v>
      </c>
      <c r="D1467" s="75" t="s">
        <v>274</v>
      </c>
      <c r="E1467" s="84"/>
      <c r="F1467" s="150">
        <f>IFERROR(__xludf.DUMMYFUNCTION("IMPORTRANGE(""https://docs.google.com/spreadsheets/d/1CWffE_fmwY77uhgMYjfUbNKvG6VWeKQmR1hn2RIBmiU"",""2025!p1650_619"")"),340000.0)</f>
        <v>340000</v>
      </c>
      <c r="G1467" s="6" t="str">
        <f t="shared" si="19"/>
        <v/>
      </c>
      <c r="H1467" s="86"/>
      <c r="I1467" s="86"/>
      <c r="J1467" s="168"/>
      <c r="K1467" s="168"/>
    </row>
    <row r="1468" ht="14.25" customHeight="1">
      <c r="A1468" s="76"/>
      <c r="B1468" s="170">
        <v>1650.0</v>
      </c>
      <c r="E1468" s="153"/>
      <c r="F1468" s="153">
        <f>SUM(F1467)</f>
        <v>340000</v>
      </c>
      <c r="G1468" s="6" t="str">
        <f t="shared" si="19"/>
        <v/>
      </c>
      <c r="H1468" s="86"/>
      <c r="I1468" s="86"/>
      <c r="J1468" s="168"/>
      <c r="K1468" s="168"/>
    </row>
    <row r="1469" ht="14.25" customHeight="1">
      <c r="A1469" s="76"/>
      <c r="B1469" s="76"/>
      <c r="C1469" s="76"/>
      <c r="D1469" s="76"/>
      <c r="E1469" s="66"/>
      <c r="F1469" s="66"/>
      <c r="G1469" s="6" t="str">
        <f t="shared" si="19"/>
        <v/>
      </c>
      <c r="H1469" s="86"/>
      <c r="I1469" s="86"/>
      <c r="J1469" s="168"/>
      <c r="K1469" s="168"/>
    </row>
    <row r="1470" ht="14.25" customHeight="1">
      <c r="A1470" s="143"/>
      <c r="B1470" s="144">
        <v>1710.0</v>
      </c>
      <c r="C1470" s="145"/>
      <c r="D1470" s="130" t="s">
        <v>48</v>
      </c>
      <c r="E1470" s="146">
        <v>2024.0</v>
      </c>
      <c r="F1470" s="147">
        <v>2025.0</v>
      </c>
      <c r="G1470" s="6">
        <f t="shared" si="19"/>
        <v>0.0004940711462</v>
      </c>
      <c r="H1470" s="82"/>
      <c r="I1470" s="82"/>
      <c r="J1470" s="82"/>
      <c r="K1470" s="82"/>
    </row>
    <row r="1471" ht="14.25" customHeight="1">
      <c r="A1471" s="76"/>
      <c r="B1471" s="82"/>
      <c r="C1471" s="171">
        <v>619.0</v>
      </c>
      <c r="D1471" s="76" t="s">
        <v>283</v>
      </c>
      <c r="E1471" s="154"/>
      <c r="F1471" s="155">
        <f>IFERROR(__xludf.DUMMYFUNCTION("IMPORTRANGE(""https://docs.google.com/spreadsheets/d/1CWffE_fmwY77uhgMYjfUbNKvG6VWeKQmR1hn2RIBmiU"",""2025!p1710_619"")"),740000.0)</f>
        <v>740000</v>
      </c>
      <c r="G1471" s="6" t="str">
        <f t="shared" si="19"/>
        <v/>
      </c>
      <c r="H1471" s="82"/>
      <c r="I1471" s="82"/>
      <c r="J1471" s="82"/>
      <c r="K1471" s="82"/>
    </row>
    <row r="1472" ht="14.25" customHeight="1">
      <c r="A1472" s="76"/>
      <c r="B1472" s="82"/>
      <c r="C1472" s="169">
        <v>650.0</v>
      </c>
      <c r="D1472" s="75" t="s">
        <v>284</v>
      </c>
      <c r="E1472" s="154"/>
      <c r="F1472" s="156">
        <f>IFERROR(__xludf.DUMMYFUNCTION("IMPORTRANGE(""https://docs.google.com/spreadsheets/d/1CWffE_fmwY77uhgMYjfUbNKvG6VWeKQmR1hn2RIBmiU"",""2025!p1710_650"")"),720000.0)</f>
        <v>720000</v>
      </c>
      <c r="G1472" s="6" t="str">
        <f t="shared" si="19"/>
        <v/>
      </c>
      <c r="H1472" s="82"/>
      <c r="I1472" s="82"/>
      <c r="J1472" s="82"/>
      <c r="K1472" s="82"/>
    </row>
    <row r="1473" ht="14.25" customHeight="1">
      <c r="A1473" s="76"/>
      <c r="B1473" s="172">
        <v>1710.0</v>
      </c>
      <c r="E1473" s="152"/>
      <c r="F1473" s="153">
        <f>SUM(F1471:F1472)</f>
        <v>1460000</v>
      </c>
      <c r="G1473" s="6" t="str">
        <f t="shared" si="19"/>
        <v/>
      </c>
      <c r="H1473" s="82"/>
      <c r="I1473" s="82"/>
      <c r="J1473" s="82"/>
      <c r="K1473" s="82"/>
    </row>
    <row r="1474" ht="14.25" customHeight="1">
      <c r="A1474" s="1"/>
      <c r="B1474" s="2"/>
      <c r="C1474" s="7"/>
      <c r="D1474" s="142"/>
      <c r="E1474" s="5"/>
      <c r="F1474" s="5"/>
      <c r="G1474" s="6" t="str">
        <f t="shared" si="19"/>
        <v/>
      </c>
    </row>
    <row r="1475" ht="14.25" customHeight="1">
      <c r="A1475" s="143"/>
      <c r="B1475" s="173">
        <v>1721.0</v>
      </c>
      <c r="C1475" s="174"/>
      <c r="D1475" s="175" t="s">
        <v>173</v>
      </c>
      <c r="E1475" s="146">
        <v>2024.0</v>
      </c>
      <c r="F1475" s="147">
        <v>2025.0</v>
      </c>
      <c r="G1475" s="6">
        <f t="shared" si="19"/>
        <v>0.0004940711462</v>
      </c>
      <c r="H1475" s="82"/>
      <c r="I1475" s="82"/>
      <c r="J1475" s="82"/>
      <c r="K1475" s="82"/>
    </row>
    <row r="1476" ht="14.25" customHeight="1">
      <c r="A1476" s="76"/>
      <c r="B1476" s="82"/>
      <c r="C1476" s="171">
        <v>619.0</v>
      </c>
      <c r="D1476" s="76" t="s">
        <v>283</v>
      </c>
      <c r="E1476" s="154"/>
      <c r="F1476" s="141">
        <f>IFERROR(__xludf.DUMMYFUNCTION("IMPORTRANGE(""https://docs.google.com/spreadsheets/d/1CWffE_fmwY77uhgMYjfUbNKvG6VWeKQmR1hn2RIBmiU"",""2025!p1721_619"")"),300000.0)</f>
        <v>300000</v>
      </c>
      <c r="G1476" s="6" t="str">
        <f t="shared" si="19"/>
        <v/>
      </c>
      <c r="H1476" s="82"/>
      <c r="I1476" s="82"/>
      <c r="J1476" s="82"/>
      <c r="K1476" s="82"/>
    </row>
    <row r="1477" ht="14.25" customHeight="1">
      <c r="A1477" s="76"/>
      <c r="B1477" s="170">
        <v>1721.0</v>
      </c>
      <c r="E1477" s="152"/>
      <c r="F1477" s="153">
        <f>SUM(F1476)</f>
        <v>300000</v>
      </c>
      <c r="G1477" s="6" t="str">
        <f t="shared" si="19"/>
        <v/>
      </c>
      <c r="H1477" s="82"/>
      <c r="I1477" s="82"/>
      <c r="J1477" s="82"/>
      <c r="K1477" s="82"/>
    </row>
    <row r="1478" ht="14.25" customHeight="1">
      <c r="A1478" s="1"/>
      <c r="B1478" s="2"/>
      <c r="C1478" s="7"/>
      <c r="D1478" s="142"/>
      <c r="E1478" s="5"/>
      <c r="F1478" s="5"/>
      <c r="G1478" s="6" t="str">
        <f t="shared" si="19"/>
        <v/>
      </c>
    </row>
    <row r="1479" ht="14.25" customHeight="1">
      <c r="A1479" s="143"/>
      <c r="B1479" s="144">
        <v>2310.0</v>
      </c>
      <c r="C1479" s="145"/>
      <c r="D1479" s="130" t="s">
        <v>62</v>
      </c>
      <c r="E1479" s="146">
        <v>2024.0</v>
      </c>
      <c r="F1479" s="147">
        <v>2025.0</v>
      </c>
      <c r="G1479" s="6">
        <f t="shared" si="19"/>
        <v>0.0004940711462</v>
      </c>
      <c r="H1479" s="82"/>
      <c r="I1479" s="82"/>
      <c r="J1479" s="82"/>
      <c r="K1479" s="82"/>
    </row>
    <row r="1480" ht="14.25" customHeight="1">
      <c r="A1480" s="76"/>
      <c r="B1480" s="82"/>
      <c r="C1480" s="169">
        <v>632.0</v>
      </c>
      <c r="D1480" s="75" t="s">
        <v>273</v>
      </c>
      <c r="E1480" s="154"/>
      <c r="F1480" s="155">
        <f>IFERROR(__xludf.DUMMYFUNCTION("IMPORTRANGE(""https://docs.google.com/spreadsheets/d/1CWffE_fmwY77uhgMYjfUbNKvG6VWeKQmR1hn2RIBmiU"",""2025!p2310_632"")"),24000.0)</f>
        <v>24000</v>
      </c>
      <c r="G1480" s="6"/>
      <c r="H1480" s="82"/>
      <c r="I1480" s="82"/>
      <c r="J1480" s="82"/>
      <c r="K1480" s="82"/>
    </row>
    <row r="1481" ht="14.25" customHeight="1">
      <c r="A1481" s="76"/>
      <c r="B1481" s="82"/>
      <c r="C1481" s="169">
        <v>633.0</v>
      </c>
      <c r="D1481" s="75" t="s">
        <v>281</v>
      </c>
      <c r="E1481" s="154"/>
      <c r="F1481" s="5">
        <f>IFERROR(__xludf.DUMMYFUNCTION("IMPORTRANGE(""https://docs.google.com/spreadsheets/d/1CWffE_fmwY77uhgMYjfUbNKvG6VWeKQmR1hn2RIBmiU"",""2025!p2310_633"")"),1500.0)</f>
        <v>1500</v>
      </c>
      <c r="G1481" s="6" t="str">
        <f t="shared" ref="G1481:G1518" si="20">IFERROR(((F1481-E1481)/E1481), "")</f>
        <v/>
      </c>
      <c r="H1481" s="82"/>
      <c r="I1481" s="82"/>
      <c r="J1481" s="82"/>
      <c r="K1481" s="82"/>
    </row>
    <row r="1482" ht="14.25" customHeight="1">
      <c r="A1482" s="76"/>
      <c r="B1482" s="82"/>
      <c r="C1482" s="169">
        <v>635.0</v>
      </c>
      <c r="D1482" s="75" t="s">
        <v>276</v>
      </c>
      <c r="E1482" s="154"/>
      <c r="F1482" s="156">
        <f>IFERROR(__xludf.DUMMYFUNCTION("IMPORTRANGE(""https://docs.google.com/spreadsheets/d/1CWffE_fmwY77uhgMYjfUbNKvG6VWeKQmR1hn2RIBmiU"",""2025!p2310_635"")"),18000.0)</f>
        <v>18000</v>
      </c>
      <c r="G1482" s="6" t="str">
        <f t="shared" si="20"/>
        <v/>
      </c>
      <c r="H1482" s="82"/>
      <c r="I1482" s="82"/>
      <c r="J1482" s="82"/>
      <c r="K1482" s="82"/>
    </row>
    <row r="1483" ht="14.25" customHeight="1">
      <c r="A1483" s="76"/>
      <c r="B1483" s="172">
        <v>2310.0</v>
      </c>
      <c r="E1483" s="152"/>
      <c r="F1483" s="153">
        <f>SUM(F1480:F1482)</f>
        <v>43500</v>
      </c>
      <c r="G1483" s="6" t="str">
        <f t="shared" si="20"/>
        <v/>
      </c>
      <c r="H1483" s="82"/>
      <c r="I1483" s="82"/>
      <c r="J1483" s="82"/>
      <c r="K1483" s="82"/>
    </row>
    <row r="1484" ht="14.25" customHeight="1">
      <c r="A1484" s="1"/>
      <c r="B1484" s="2"/>
      <c r="C1484" s="7"/>
      <c r="D1484" s="142"/>
      <c r="E1484" s="5"/>
      <c r="F1484" s="5"/>
      <c r="G1484" s="6" t="str">
        <f t="shared" si="20"/>
        <v/>
      </c>
    </row>
    <row r="1485" ht="14.25" customHeight="1">
      <c r="A1485" s="1"/>
      <c r="B1485" s="33">
        <v>3110.0</v>
      </c>
      <c r="C1485" s="137"/>
      <c r="D1485" s="160" t="s">
        <v>285</v>
      </c>
      <c r="E1485" s="36">
        <v>2024.0</v>
      </c>
      <c r="F1485" s="138">
        <v>2025.0</v>
      </c>
      <c r="G1485" s="6">
        <f t="shared" si="20"/>
        <v>0.0004940711462</v>
      </c>
    </row>
    <row r="1486" ht="14.25" customHeight="1">
      <c r="A1486" s="1"/>
      <c r="C1486" s="2">
        <v>609.0</v>
      </c>
      <c r="D1486" s="41" t="s">
        <v>286</v>
      </c>
      <c r="E1486" s="154"/>
      <c r="F1486" s="141">
        <f>IFERROR(__xludf.DUMMYFUNCTION("IMPORTRANGE(""https://docs.google.com/spreadsheets/d/1CWffE_fmwY77uhgMYjfUbNKvG6VWeKQmR1hn2RIBmiU"",""2025!p3110_609"")"),18000.0)</f>
        <v>18000</v>
      </c>
      <c r="G1486" s="6" t="str">
        <f t="shared" si="20"/>
        <v/>
      </c>
    </row>
    <row r="1487" ht="14.25" customHeight="1">
      <c r="A1487" s="1"/>
      <c r="B1487" s="162">
        <v>3110.0</v>
      </c>
      <c r="E1487" s="53"/>
      <c r="F1487" s="23">
        <f>SUM(F1486)</f>
        <v>18000</v>
      </c>
      <c r="G1487" s="6" t="str">
        <f t="shared" si="20"/>
        <v/>
      </c>
    </row>
    <row r="1488" ht="14.25" customHeight="1">
      <c r="A1488" s="1"/>
      <c r="B1488" s="2"/>
      <c r="C1488" s="7"/>
      <c r="D1488" s="142"/>
      <c r="E1488" s="5"/>
      <c r="F1488" s="5"/>
      <c r="G1488" s="6" t="str">
        <f t="shared" si="20"/>
        <v/>
      </c>
    </row>
    <row r="1489" ht="14.25" customHeight="1">
      <c r="A1489" s="1"/>
      <c r="B1489" s="49">
        <v>3220.0</v>
      </c>
      <c r="C1489" s="137"/>
      <c r="D1489" s="176" t="s">
        <v>65</v>
      </c>
      <c r="E1489" s="36">
        <v>2024.0</v>
      </c>
      <c r="F1489" s="138">
        <v>2025.0</v>
      </c>
      <c r="G1489" s="6">
        <f t="shared" si="20"/>
        <v>0.0004940711462</v>
      </c>
    </row>
    <row r="1490" ht="14.25" customHeight="1">
      <c r="A1490" s="1"/>
      <c r="C1490" s="161">
        <v>641.0</v>
      </c>
      <c r="D1490" s="140" t="s">
        <v>277</v>
      </c>
      <c r="E1490" s="154"/>
      <c r="F1490" s="141">
        <f>IFERROR(__xludf.DUMMYFUNCTION("IMPORTRANGE(""https://docs.google.com/spreadsheets/d/1CWffE_fmwY77uhgMYjfUbNKvG6VWeKQmR1hn2RIBmiU"",""2025!p3200_641"")"),10000.0)</f>
        <v>10000</v>
      </c>
      <c r="G1490" s="6" t="str">
        <f t="shared" si="20"/>
        <v/>
      </c>
    </row>
    <row r="1491" ht="14.25" customHeight="1">
      <c r="A1491" s="1"/>
      <c r="B1491" s="177">
        <v>3220.0</v>
      </c>
      <c r="E1491" s="53"/>
      <c r="F1491" s="23">
        <f>SUM(F1490)</f>
        <v>10000</v>
      </c>
      <c r="G1491" s="6" t="str">
        <f t="shared" si="20"/>
        <v/>
      </c>
    </row>
    <row r="1492" ht="14.25" customHeight="1">
      <c r="A1492" s="76"/>
      <c r="B1492" s="76"/>
      <c r="C1492" s="76"/>
      <c r="D1492" s="76"/>
      <c r="E1492" s="66"/>
      <c r="F1492" s="66"/>
      <c r="G1492" s="159" t="str">
        <f t="shared" si="20"/>
        <v/>
      </c>
      <c r="H1492" s="86"/>
      <c r="I1492" s="86"/>
      <c r="J1492" s="86"/>
      <c r="K1492" s="86"/>
    </row>
    <row r="1493" ht="14.25" customHeight="1">
      <c r="A1493" s="178"/>
      <c r="B1493" s="179">
        <v>3230.0</v>
      </c>
      <c r="C1493" s="180"/>
      <c r="D1493" s="181" t="s">
        <v>184</v>
      </c>
      <c r="E1493" s="182">
        <v>2024.0</v>
      </c>
      <c r="F1493" s="183">
        <v>2025.0</v>
      </c>
      <c r="G1493" s="85">
        <f t="shared" si="20"/>
        <v>0.0004940711462</v>
      </c>
      <c r="H1493" s="86"/>
      <c r="I1493" s="86"/>
      <c r="J1493" s="86"/>
      <c r="K1493" s="86"/>
    </row>
    <row r="1494" ht="14.25" customHeight="1">
      <c r="A1494" s="82"/>
      <c r="B1494" s="82"/>
      <c r="C1494" s="184">
        <v>619.0</v>
      </c>
      <c r="D1494" s="185" t="s">
        <v>283</v>
      </c>
      <c r="E1494" s="157"/>
      <c r="F1494" s="150">
        <f>IFERROR(__xludf.DUMMYFUNCTION("IMPORTRANGE(""https://docs.google.com/spreadsheets/d/1CWffE_fmwY77uhgMYjfUbNKvG6VWeKQmR1hn2RIBmiU"",""2025!p3230_619"")"),10000.0)</f>
        <v>10000</v>
      </c>
      <c r="G1494" s="159" t="str">
        <f t="shared" si="20"/>
        <v/>
      </c>
      <c r="H1494" s="86"/>
      <c r="I1494" s="86"/>
      <c r="J1494" s="86"/>
      <c r="K1494" s="86"/>
    </row>
    <row r="1495" ht="14.25" customHeight="1">
      <c r="A1495" s="82"/>
      <c r="B1495" s="186">
        <v>3230.0</v>
      </c>
      <c r="E1495" s="187"/>
      <c r="F1495" s="188">
        <f>SUM(F1494)</f>
        <v>10000</v>
      </c>
      <c r="G1495" s="159" t="str">
        <f t="shared" si="20"/>
        <v/>
      </c>
      <c r="H1495" s="86"/>
      <c r="I1495" s="86"/>
      <c r="J1495" s="86"/>
      <c r="K1495" s="86"/>
    </row>
    <row r="1496" ht="14.25" customHeight="1">
      <c r="A1496" s="1"/>
      <c r="B1496" s="2"/>
      <c r="C1496" s="7"/>
      <c r="D1496" s="142"/>
      <c r="E1496" s="5"/>
      <c r="F1496" s="5"/>
      <c r="G1496" s="6" t="str">
        <f t="shared" si="20"/>
        <v/>
      </c>
      <c r="H1496" s="6" t="str">
        <f>IFERROR(((G1496-F1496)/F1496), "")</f>
        <v/>
      </c>
    </row>
    <row r="1497" ht="14.25" customHeight="1">
      <c r="A1497" s="143"/>
      <c r="B1497" s="144">
        <v>3261.0</v>
      </c>
      <c r="C1497" s="145"/>
      <c r="D1497" s="130" t="s">
        <v>66</v>
      </c>
      <c r="E1497" s="146">
        <v>2024.0</v>
      </c>
      <c r="F1497" s="147">
        <v>2025.0</v>
      </c>
      <c r="G1497" s="6">
        <f t="shared" si="20"/>
        <v>0.0004940711462</v>
      </c>
      <c r="H1497" s="82"/>
      <c r="I1497" s="82"/>
      <c r="J1497" s="82"/>
      <c r="K1497" s="82"/>
    </row>
    <row r="1498" ht="14.25" customHeight="1">
      <c r="A1498" s="76"/>
      <c r="B1498" s="82"/>
      <c r="C1498" s="171">
        <v>629.0</v>
      </c>
      <c r="D1498" s="76" t="s">
        <v>287</v>
      </c>
      <c r="E1498" s="154"/>
      <c r="F1498" s="141">
        <f>IFERROR(__xludf.DUMMYFUNCTION("IMPORTRANGE(""https://docs.google.com/spreadsheets/d/1CWffE_fmwY77uhgMYjfUbNKvG6VWeKQmR1hn2RIBmiU"",""2025!p3261_629"")"),6000.0)</f>
        <v>6000</v>
      </c>
      <c r="G1498" s="6" t="str">
        <f t="shared" si="20"/>
        <v/>
      </c>
      <c r="H1498" s="82"/>
      <c r="I1498" s="82"/>
      <c r="J1498" s="82"/>
      <c r="K1498" s="82"/>
    </row>
    <row r="1499" ht="14.25" customHeight="1">
      <c r="A1499" s="76"/>
      <c r="B1499" s="172">
        <v>3261.0</v>
      </c>
      <c r="E1499" s="152"/>
      <c r="F1499" s="153">
        <f>SUM(F1498)</f>
        <v>6000</v>
      </c>
      <c r="G1499" s="6" t="str">
        <f t="shared" si="20"/>
        <v/>
      </c>
      <c r="H1499" s="82"/>
      <c r="I1499" s="82"/>
      <c r="J1499" s="82"/>
      <c r="K1499" s="82"/>
    </row>
    <row r="1500" ht="14.25" customHeight="1">
      <c r="A1500" s="1"/>
      <c r="B1500" s="2"/>
      <c r="C1500" s="7"/>
      <c r="D1500" s="142"/>
      <c r="E1500" s="5"/>
      <c r="F1500" s="5"/>
      <c r="G1500" s="6" t="str">
        <f t="shared" si="20"/>
        <v/>
      </c>
    </row>
    <row r="1501" ht="14.25" customHeight="1">
      <c r="A1501" s="143"/>
      <c r="B1501" s="144">
        <v>3262.0</v>
      </c>
      <c r="C1501" s="145"/>
      <c r="D1501" s="130" t="s">
        <v>67</v>
      </c>
      <c r="E1501" s="146">
        <v>2024.0</v>
      </c>
      <c r="F1501" s="147">
        <v>2025.0</v>
      </c>
      <c r="G1501" s="6">
        <f t="shared" si="20"/>
        <v>0.0004940711462</v>
      </c>
      <c r="H1501" s="82"/>
      <c r="I1501" s="82"/>
      <c r="J1501" s="82"/>
      <c r="K1501" s="82"/>
    </row>
    <row r="1502" ht="14.25" customHeight="1">
      <c r="A1502" s="76"/>
      <c r="B1502" s="82"/>
      <c r="C1502" s="171">
        <v>629.0</v>
      </c>
      <c r="D1502" s="76" t="s">
        <v>287</v>
      </c>
      <c r="E1502" s="154"/>
      <c r="F1502" s="141">
        <f>IFERROR(__xludf.DUMMYFUNCTION("IMPORTRANGE(""https://docs.google.com/spreadsheets/d/1CWffE_fmwY77uhgMYjfUbNKvG6VWeKQmR1hn2RIBmiU"",""2025!p3262_629"")"),6000.0)</f>
        <v>6000</v>
      </c>
      <c r="G1502" s="6" t="str">
        <f t="shared" si="20"/>
        <v/>
      </c>
      <c r="H1502" s="82"/>
      <c r="I1502" s="82"/>
      <c r="J1502" s="82"/>
      <c r="K1502" s="82"/>
    </row>
    <row r="1503" ht="14.25" customHeight="1">
      <c r="A1503" s="76"/>
      <c r="B1503" s="172">
        <v>3262.0</v>
      </c>
      <c r="E1503" s="152"/>
      <c r="F1503" s="153">
        <f>SUM(F1502)</f>
        <v>6000</v>
      </c>
      <c r="G1503" s="6" t="str">
        <f t="shared" si="20"/>
        <v/>
      </c>
      <c r="H1503" s="82"/>
      <c r="I1503" s="82"/>
      <c r="J1503" s="82"/>
      <c r="K1503" s="82"/>
    </row>
    <row r="1504" ht="14.25" customHeight="1">
      <c r="A1504" s="1"/>
      <c r="B1504" s="2"/>
      <c r="C1504" s="7"/>
      <c r="D1504" s="142"/>
      <c r="E1504" s="5"/>
      <c r="F1504" s="5"/>
      <c r="G1504" s="6" t="str">
        <f t="shared" si="20"/>
        <v/>
      </c>
    </row>
    <row r="1505" ht="14.25" customHeight="1">
      <c r="A1505" s="143"/>
      <c r="B1505" s="144">
        <v>3321.0</v>
      </c>
      <c r="C1505" s="145"/>
      <c r="D1505" s="130" t="s">
        <v>69</v>
      </c>
      <c r="E1505" s="146">
        <v>2024.0</v>
      </c>
      <c r="F1505" s="147">
        <v>2025.0</v>
      </c>
      <c r="G1505" s="6">
        <f t="shared" si="20"/>
        <v>0.0004940711462</v>
      </c>
      <c r="H1505" s="82"/>
      <c r="I1505" s="82"/>
      <c r="J1505" s="82"/>
      <c r="K1505" s="82"/>
    </row>
    <row r="1506" ht="14.25" customHeight="1">
      <c r="A1506" s="76"/>
      <c r="B1506" s="82"/>
      <c r="C1506" s="169">
        <v>623.0</v>
      </c>
      <c r="D1506" s="75" t="s">
        <v>281</v>
      </c>
      <c r="E1506" s="154"/>
      <c r="F1506" s="141">
        <f>IFERROR(__xludf.DUMMYFUNCTION("IMPORTRANGE(""https://docs.google.com/spreadsheets/d/1CWffE_fmwY77uhgMYjfUbNKvG6VWeKQmR1hn2RIBmiU"",""2025!p3321_623"")"),25000.0)</f>
        <v>25000</v>
      </c>
      <c r="G1506" s="6" t="str">
        <f t="shared" si="20"/>
        <v/>
      </c>
      <c r="H1506" s="82"/>
      <c r="I1506" s="82"/>
      <c r="J1506" s="82"/>
      <c r="K1506" s="82"/>
    </row>
    <row r="1507" ht="14.25" customHeight="1">
      <c r="A1507" s="76"/>
      <c r="B1507" s="172">
        <v>3321.0</v>
      </c>
      <c r="E1507" s="152"/>
      <c r="F1507" s="153">
        <f>SUM(F1506)</f>
        <v>25000</v>
      </c>
      <c r="G1507" s="6" t="str">
        <f t="shared" si="20"/>
        <v/>
      </c>
      <c r="H1507" s="82"/>
      <c r="I1507" s="82"/>
      <c r="J1507" s="82"/>
      <c r="K1507" s="82"/>
    </row>
    <row r="1508" ht="14.25" customHeight="1">
      <c r="A1508" s="82"/>
      <c r="B1508" s="82"/>
      <c r="C1508" s="82"/>
      <c r="D1508" s="82"/>
      <c r="E1508" s="189"/>
      <c r="F1508" s="189"/>
      <c r="G1508" s="159" t="str">
        <f t="shared" si="20"/>
        <v/>
      </c>
      <c r="H1508" s="82"/>
      <c r="I1508" s="82"/>
      <c r="J1508" s="82"/>
      <c r="K1508" s="82"/>
    </row>
    <row r="1509" ht="14.25" customHeight="1">
      <c r="A1509" s="178"/>
      <c r="B1509" s="179">
        <v>3330.0</v>
      </c>
      <c r="C1509" s="180"/>
      <c r="D1509" s="181" t="s">
        <v>196</v>
      </c>
      <c r="E1509" s="182">
        <v>2024.0</v>
      </c>
      <c r="F1509" s="183">
        <v>2025.0</v>
      </c>
      <c r="G1509" s="85">
        <f t="shared" si="20"/>
        <v>0.0004940711462</v>
      </c>
      <c r="H1509" s="82"/>
      <c r="I1509" s="82"/>
      <c r="J1509" s="82"/>
      <c r="K1509" s="82"/>
    </row>
    <row r="1510" ht="14.25" customHeight="1">
      <c r="A1510" s="82"/>
      <c r="B1510" s="82"/>
      <c r="C1510" s="184">
        <v>625.0</v>
      </c>
      <c r="D1510" s="185" t="s">
        <v>276</v>
      </c>
      <c r="E1510" s="190"/>
      <c r="F1510" s="191">
        <f>IFERROR(__xludf.DUMMYFUNCTION("IMPORTRANGE(""https://docs.google.com/spreadsheets/d/1CWffE_fmwY77uhgMYjfUbNKvG6VWeKQmR1hn2RIBmiU"",""2025!p3330_625"")"),5000.0)</f>
        <v>5000</v>
      </c>
      <c r="G1510" s="159" t="str">
        <f t="shared" si="20"/>
        <v/>
      </c>
      <c r="H1510" s="82"/>
      <c r="I1510" s="82"/>
      <c r="J1510" s="82"/>
      <c r="K1510" s="82"/>
    </row>
    <row r="1511" ht="14.25" customHeight="1">
      <c r="A1511" s="82"/>
      <c r="B1511" s="82"/>
      <c r="C1511" s="184">
        <v>650.0</v>
      </c>
      <c r="D1511" s="185" t="s">
        <v>288</v>
      </c>
      <c r="E1511" s="157"/>
      <c r="F1511" s="81">
        <f>IFERROR(__xludf.DUMMYFUNCTION("IMPORTRANGE(""https://docs.google.com/spreadsheets/d/1CWffE_fmwY77uhgMYjfUbNKvG6VWeKQmR1hn2RIBmiU"",""2025!p3330_650"")"),40000.0)</f>
        <v>40000</v>
      </c>
      <c r="G1511" s="159" t="str">
        <f t="shared" si="20"/>
        <v/>
      </c>
      <c r="H1511" s="82"/>
      <c r="I1511" s="82"/>
      <c r="J1511" s="82"/>
      <c r="K1511" s="82"/>
    </row>
    <row r="1512" ht="14.25" customHeight="1">
      <c r="A1512" s="82"/>
      <c r="B1512" s="186">
        <v>3330.0</v>
      </c>
      <c r="E1512" s="187"/>
      <c r="F1512" s="188">
        <f>SUM(F1510:F1511)</f>
        <v>45000</v>
      </c>
      <c r="G1512" s="159" t="str">
        <f t="shared" si="20"/>
        <v/>
      </c>
      <c r="H1512" s="82"/>
      <c r="I1512" s="82"/>
      <c r="J1512" s="82"/>
      <c r="K1512" s="82"/>
    </row>
    <row r="1513" ht="14.25" customHeight="1">
      <c r="A1513" s="76"/>
      <c r="B1513" s="172"/>
      <c r="C1513" s="172"/>
      <c r="D1513" s="172"/>
      <c r="E1513" s="192"/>
      <c r="F1513" s="192"/>
      <c r="G1513" s="6" t="str">
        <f t="shared" si="20"/>
        <v/>
      </c>
      <c r="H1513" s="82"/>
      <c r="I1513" s="82"/>
      <c r="J1513" s="82"/>
      <c r="K1513" s="82"/>
    </row>
    <row r="1514" ht="14.25" customHeight="1">
      <c r="A1514" s="143"/>
      <c r="B1514" s="144">
        <v>3340.0</v>
      </c>
      <c r="C1514" s="145"/>
      <c r="D1514" s="130" t="s">
        <v>289</v>
      </c>
      <c r="E1514" s="146">
        <v>2024.0</v>
      </c>
      <c r="F1514" s="147">
        <v>2025.0</v>
      </c>
      <c r="G1514" s="6">
        <f t="shared" si="20"/>
        <v>0.0004940711462</v>
      </c>
      <c r="H1514" s="82"/>
      <c r="I1514" s="82"/>
      <c r="J1514" s="82"/>
      <c r="K1514" s="82"/>
    </row>
    <row r="1515" ht="14.25" customHeight="1">
      <c r="A1515" s="76"/>
      <c r="B1515" s="82"/>
      <c r="C1515" s="171">
        <v>632.0</v>
      </c>
      <c r="D1515" s="76" t="s">
        <v>273</v>
      </c>
      <c r="E1515" s="154"/>
      <c r="F1515" s="141">
        <f>IFERROR(__xludf.DUMMYFUNCTION("IMPORTRANGE(""https://docs.google.com/spreadsheets/d/1CWffE_fmwY77uhgMYjfUbNKvG6VWeKQmR1hn2RIBmiU"",""2025!p3340_632"")"),650000.0)</f>
        <v>650000</v>
      </c>
      <c r="G1515" s="6" t="str">
        <f t="shared" si="20"/>
        <v/>
      </c>
      <c r="H1515" s="82"/>
      <c r="I1515" s="82"/>
      <c r="J1515" s="82"/>
      <c r="K1515" s="82"/>
    </row>
    <row r="1516" ht="14.25" customHeight="1">
      <c r="A1516" s="76"/>
      <c r="B1516" s="170">
        <v>3340.0</v>
      </c>
      <c r="E1516" s="152"/>
      <c r="F1516" s="153">
        <f>SUM(F1515)</f>
        <v>650000</v>
      </c>
      <c r="G1516" s="6" t="str">
        <f t="shared" si="20"/>
        <v/>
      </c>
      <c r="H1516" s="82"/>
      <c r="I1516" s="82"/>
      <c r="J1516" s="82"/>
      <c r="K1516" s="82"/>
    </row>
    <row r="1517" ht="14.25" customHeight="1">
      <c r="A1517" s="76"/>
      <c r="B1517" s="172"/>
      <c r="C1517" s="172"/>
      <c r="D1517" s="172"/>
      <c r="E1517" s="192"/>
      <c r="F1517" s="192"/>
      <c r="G1517" s="6" t="str">
        <f t="shared" si="20"/>
        <v/>
      </c>
      <c r="H1517" s="82"/>
      <c r="I1517" s="82"/>
      <c r="J1517" s="82"/>
      <c r="K1517" s="82"/>
    </row>
    <row r="1518" ht="14.25" customHeight="1">
      <c r="A1518" s="143"/>
      <c r="B1518" s="144">
        <v>3370.0</v>
      </c>
      <c r="C1518" s="145"/>
      <c r="D1518" s="130" t="s">
        <v>71</v>
      </c>
      <c r="E1518" s="146">
        <v>2024.0</v>
      </c>
      <c r="F1518" s="147">
        <v>2025.0</v>
      </c>
      <c r="G1518" s="6">
        <f t="shared" si="20"/>
        <v>0.0004940711462</v>
      </c>
      <c r="H1518" s="82"/>
      <c r="I1518" s="82"/>
      <c r="J1518" s="82"/>
      <c r="K1518" s="82"/>
    </row>
    <row r="1519" ht="14.25" customHeight="1">
      <c r="A1519" s="76"/>
      <c r="B1519" s="82"/>
      <c r="C1519" s="169">
        <v>619.0</v>
      </c>
      <c r="D1519" s="75" t="s">
        <v>283</v>
      </c>
      <c r="E1519" s="193"/>
      <c r="F1519" s="155">
        <f>IFERROR(__xludf.DUMMYFUNCTION("IMPORTRANGE(""https://docs.google.com/spreadsheets/d/1CWffE_fmwY77uhgMYjfUbNKvG6VWeKQmR1hn2RIBmiU"",""2025!p3370_619"")"),30000.0)</f>
        <v>30000</v>
      </c>
      <c r="G1519" s="6"/>
      <c r="H1519" s="82"/>
      <c r="I1519" s="82"/>
      <c r="J1519" s="82"/>
      <c r="K1519" s="82"/>
    </row>
    <row r="1520" ht="14.25" customHeight="1">
      <c r="A1520" s="76"/>
      <c r="B1520" s="82"/>
      <c r="C1520" s="169">
        <v>629.0</v>
      </c>
      <c r="D1520" s="75" t="s">
        <v>275</v>
      </c>
      <c r="E1520" s="193"/>
      <c r="F1520" s="5">
        <f>IFERROR(__xludf.DUMMYFUNCTION("IMPORTRANGE(""https://docs.google.com/spreadsheets/d/1CWffE_fmwY77uhgMYjfUbNKvG6VWeKQmR1hn2RIBmiU"",""2025!p3370_629"")"),40000.0)</f>
        <v>40000</v>
      </c>
      <c r="G1520" s="6"/>
      <c r="H1520" s="82"/>
      <c r="I1520" s="82"/>
      <c r="J1520" s="82"/>
      <c r="K1520" s="82"/>
    </row>
    <row r="1521" ht="14.25" customHeight="1">
      <c r="A1521" s="76"/>
      <c r="B1521" s="82"/>
      <c r="C1521" s="171">
        <v>632.0</v>
      </c>
      <c r="D1521" s="76" t="s">
        <v>273</v>
      </c>
      <c r="E1521" s="154"/>
      <c r="F1521" s="156">
        <f>IFERROR(__xludf.DUMMYFUNCTION("IMPORTRANGE(""https://docs.google.com/spreadsheets/d/1CWffE_fmwY77uhgMYjfUbNKvG6VWeKQmR1hn2RIBmiU"",""2025!p3370_632"")"),5956984.949999999)</f>
        <v>5956984.95</v>
      </c>
      <c r="G1521" s="6" t="str">
        <f t="shared" ref="G1521:G1544" si="21">IFERROR(((F1521-E1521)/E1521), "")</f>
        <v/>
      </c>
      <c r="H1521" s="82"/>
      <c r="I1521" s="82"/>
      <c r="J1521" s="82"/>
      <c r="K1521" s="82"/>
    </row>
    <row r="1522" ht="14.25" customHeight="1">
      <c r="A1522" s="76"/>
      <c r="B1522" s="172">
        <v>3370.0</v>
      </c>
      <c r="E1522" s="152"/>
      <c r="F1522" s="153">
        <f>SUM(F1519:F1521)</f>
        <v>6026984.95</v>
      </c>
      <c r="G1522" s="6" t="str">
        <f t="shared" si="21"/>
        <v/>
      </c>
      <c r="H1522" s="82"/>
      <c r="I1522" s="82"/>
      <c r="J1522" s="82"/>
      <c r="K1522" s="82"/>
    </row>
    <row r="1523" ht="14.25" customHeight="1">
      <c r="A1523" s="76"/>
      <c r="B1523" s="172"/>
      <c r="C1523" s="172"/>
      <c r="D1523" s="172"/>
      <c r="E1523" s="192"/>
      <c r="F1523" s="192"/>
      <c r="G1523" s="6" t="str">
        <f t="shared" si="21"/>
        <v/>
      </c>
      <c r="H1523" s="82"/>
      <c r="I1523" s="82"/>
      <c r="J1523" s="82"/>
      <c r="K1523" s="82"/>
    </row>
    <row r="1524" ht="14.25" customHeight="1">
      <c r="A1524" s="178"/>
      <c r="B1524" s="194">
        <v>3372.0</v>
      </c>
      <c r="C1524" s="180"/>
      <c r="D1524" s="195" t="s">
        <v>203</v>
      </c>
      <c r="E1524" s="196">
        <v>2024.0</v>
      </c>
      <c r="F1524" s="197">
        <v>2025.0</v>
      </c>
      <c r="G1524" s="6">
        <f t="shared" si="21"/>
        <v>0.0004940711462</v>
      </c>
      <c r="H1524" s="82"/>
      <c r="I1524" s="82"/>
      <c r="J1524" s="82"/>
      <c r="K1524" s="82"/>
    </row>
    <row r="1525" ht="14.25" customHeight="1">
      <c r="A1525" s="82"/>
      <c r="B1525" s="82"/>
      <c r="C1525" s="198">
        <v>629.0</v>
      </c>
      <c r="D1525" s="82" t="s">
        <v>287</v>
      </c>
      <c r="E1525" s="149"/>
      <c r="F1525" s="141">
        <f>IFERROR(__xludf.DUMMYFUNCTION("IMPORTRANGE(""https://docs.google.com/spreadsheets/d/1CWffE_fmwY77uhgMYjfUbNKvG6VWeKQmR1hn2RIBmiU"",""2025!p3372_629"")"),7000.0)</f>
        <v>7000</v>
      </c>
      <c r="G1525" s="6" t="str">
        <f t="shared" si="21"/>
        <v/>
      </c>
      <c r="H1525" s="185"/>
      <c r="I1525" s="82"/>
      <c r="J1525" s="82"/>
      <c r="K1525" s="82"/>
    </row>
    <row r="1526" ht="14.25" customHeight="1">
      <c r="A1526" s="82"/>
      <c r="B1526" s="199">
        <v>3372.0</v>
      </c>
      <c r="E1526" s="200"/>
      <c r="F1526" s="188">
        <f>SUM(F1525)</f>
        <v>7000</v>
      </c>
      <c r="G1526" s="6" t="str">
        <f t="shared" si="21"/>
        <v/>
      </c>
      <c r="H1526" s="82"/>
      <c r="I1526" s="82"/>
      <c r="J1526" s="82"/>
      <c r="K1526" s="82"/>
    </row>
    <row r="1527" ht="14.25" customHeight="1">
      <c r="A1527" s="76"/>
      <c r="B1527" s="172"/>
      <c r="C1527" s="172"/>
      <c r="D1527" s="172"/>
      <c r="E1527" s="192"/>
      <c r="F1527" s="192"/>
      <c r="G1527" s="6" t="str">
        <f t="shared" si="21"/>
        <v/>
      </c>
      <c r="H1527" s="82"/>
      <c r="I1527" s="82"/>
      <c r="J1527" s="82"/>
      <c r="K1527" s="82"/>
    </row>
    <row r="1528" ht="14.25" customHeight="1">
      <c r="A1528" s="178"/>
      <c r="B1528" s="194">
        <v>3373.0</v>
      </c>
      <c r="C1528" s="180"/>
      <c r="D1528" s="195" t="s">
        <v>74</v>
      </c>
      <c r="E1528" s="196">
        <v>2024.0</v>
      </c>
      <c r="F1528" s="197">
        <v>2025.0</v>
      </c>
      <c r="G1528" s="6">
        <f t="shared" si="21"/>
        <v>0.0004940711462</v>
      </c>
      <c r="H1528" s="82"/>
      <c r="I1528" s="82"/>
      <c r="J1528" s="82"/>
      <c r="K1528" s="82"/>
    </row>
    <row r="1529" ht="14.25" customHeight="1">
      <c r="A1529" s="82"/>
      <c r="B1529" s="82"/>
      <c r="C1529" s="198">
        <v>629.0</v>
      </c>
      <c r="D1529" s="82" t="s">
        <v>275</v>
      </c>
      <c r="E1529" s="149"/>
      <c r="F1529" s="150">
        <f>IFERROR(__xludf.DUMMYFUNCTION("IMPORTRANGE(""https://docs.google.com/spreadsheets/d/1CWffE_fmwY77uhgMYjfUbNKvG6VWeKQmR1hn2RIBmiU"",""2025!p3373_629"")"),1300000.0)</f>
        <v>1300000</v>
      </c>
      <c r="G1529" s="6" t="str">
        <f t="shared" si="21"/>
        <v/>
      </c>
      <c r="H1529" s="82"/>
      <c r="I1529" s="82"/>
      <c r="J1529" s="82"/>
      <c r="K1529" s="82"/>
    </row>
    <row r="1530" ht="14.25" customHeight="1">
      <c r="A1530" s="82"/>
      <c r="B1530" s="199">
        <v>3373.0</v>
      </c>
      <c r="E1530" s="200"/>
      <c r="F1530" s="188">
        <f>SUM(F1529)</f>
        <v>1300000</v>
      </c>
      <c r="G1530" s="6" t="str">
        <f t="shared" si="21"/>
        <v/>
      </c>
      <c r="H1530" s="82"/>
      <c r="I1530" s="82"/>
      <c r="J1530" s="82"/>
      <c r="K1530" s="82"/>
    </row>
    <row r="1531" ht="14.25" customHeight="1">
      <c r="A1531" s="76"/>
      <c r="B1531" s="172"/>
      <c r="C1531" s="172"/>
      <c r="D1531" s="172"/>
      <c r="E1531" s="192"/>
      <c r="F1531" s="192"/>
      <c r="G1531" s="6" t="str">
        <f t="shared" si="21"/>
        <v/>
      </c>
      <c r="H1531" s="82"/>
      <c r="I1531" s="82"/>
      <c r="J1531" s="82"/>
      <c r="K1531" s="82"/>
    </row>
    <row r="1532" ht="14.25" customHeight="1">
      <c r="A1532" s="178"/>
      <c r="B1532" s="194">
        <v>3380.0</v>
      </c>
      <c r="C1532" s="180"/>
      <c r="D1532" s="181" t="s">
        <v>75</v>
      </c>
      <c r="E1532" s="196">
        <v>2024.0</v>
      </c>
      <c r="F1532" s="197">
        <v>2025.0</v>
      </c>
      <c r="G1532" s="6">
        <f t="shared" si="21"/>
        <v>0.0004940711462</v>
      </c>
      <c r="H1532" s="82"/>
      <c r="I1532" s="82"/>
      <c r="J1532" s="82"/>
      <c r="K1532" s="82"/>
    </row>
    <row r="1533" ht="14.25" customHeight="1">
      <c r="A1533" s="82"/>
      <c r="B1533" s="82"/>
      <c r="C1533" s="198">
        <v>623.0</v>
      </c>
      <c r="D1533" s="82" t="s">
        <v>281</v>
      </c>
      <c r="E1533" s="149"/>
      <c r="F1533" s="150">
        <f>IFERROR(__xludf.DUMMYFUNCTION("IMPORTRANGE(""https://docs.google.com/spreadsheets/d/1CWffE_fmwY77uhgMYjfUbNKvG6VWeKQmR1hn2RIBmiU"",""2025!p3380_623"")"),71000.0)</f>
        <v>71000</v>
      </c>
      <c r="G1533" s="6" t="str">
        <f t="shared" si="21"/>
        <v/>
      </c>
      <c r="H1533" s="82"/>
      <c r="I1533" s="82"/>
      <c r="J1533" s="82"/>
      <c r="K1533" s="82"/>
    </row>
    <row r="1534" ht="14.25" customHeight="1">
      <c r="A1534" s="82"/>
      <c r="B1534" s="199">
        <v>3380.0</v>
      </c>
      <c r="E1534" s="200"/>
      <c r="F1534" s="188">
        <f>SUM(F1533)</f>
        <v>71000</v>
      </c>
      <c r="G1534" s="6" t="str">
        <f t="shared" si="21"/>
        <v/>
      </c>
      <c r="H1534" s="82"/>
      <c r="I1534" s="82"/>
      <c r="J1534" s="82"/>
      <c r="K1534" s="82"/>
    </row>
    <row r="1535" ht="14.25" customHeight="1">
      <c r="A1535" s="76"/>
      <c r="B1535" s="172"/>
      <c r="C1535" s="172"/>
      <c r="D1535" s="172"/>
      <c r="E1535" s="192"/>
      <c r="F1535" s="192"/>
      <c r="G1535" s="6" t="str">
        <f t="shared" si="21"/>
        <v/>
      </c>
      <c r="H1535" s="82"/>
      <c r="I1535" s="82"/>
      <c r="J1535" s="82"/>
      <c r="K1535" s="82"/>
    </row>
    <row r="1536" ht="14.25" customHeight="1">
      <c r="A1536" s="178"/>
      <c r="B1536" s="194">
        <v>3420.0</v>
      </c>
      <c r="C1536" s="180"/>
      <c r="D1536" s="195" t="s">
        <v>77</v>
      </c>
      <c r="E1536" s="196">
        <v>2024.0</v>
      </c>
      <c r="F1536" s="197">
        <v>2025.0</v>
      </c>
      <c r="G1536" s="6">
        <f t="shared" si="21"/>
        <v>0.0004940711462</v>
      </c>
      <c r="H1536" s="82"/>
      <c r="I1536" s="82"/>
      <c r="J1536" s="82"/>
      <c r="K1536" s="82"/>
    </row>
    <row r="1537" ht="14.25" customHeight="1">
      <c r="A1537" s="82"/>
      <c r="B1537" s="82"/>
      <c r="C1537" s="198">
        <v>632.0</v>
      </c>
      <c r="D1537" s="82" t="s">
        <v>273</v>
      </c>
      <c r="E1537" s="149"/>
      <c r="F1537" s="150">
        <f>IFERROR(__xludf.DUMMYFUNCTION("IMPORTRANGE(""https://docs.google.com/spreadsheets/d/1CWffE_fmwY77uhgMYjfUbNKvG6VWeKQmR1hn2RIBmiU"",""2025!p3420_632"")"),559000.0)</f>
        <v>559000</v>
      </c>
      <c r="G1537" s="6" t="str">
        <f t="shared" si="21"/>
        <v/>
      </c>
      <c r="H1537" s="82"/>
      <c r="I1537" s="82"/>
      <c r="J1537" s="82"/>
      <c r="K1537" s="82"/>
    </row>
    <row r="1538" ht="14.25" customHeight="1">
      <c r="A1538" s="82"/>
      <c r="B1538" s="186">
        <v>3420.0</v>
      </c>
      <c r="E1538" s="200"/>
      <c r="F1538" s="188">
        <f>SUM(F1537)</f>
        <v>559000</v>
      </c>
      <c r="G1538" s="6" t="str">
        <f t="shared" si="21"/>
        <v/>
      </c>
      <c r="H1538" s="82"/>
      <c r="I1538" s="82"/>
      <c r="J1538" s="82"/>
      <c r="K1538" s="82"/>
    </row>
    <row r="1539" ht="14.25" customHeight="1">
      <c r="A1539" s="76"/>
      <c r="B1539" s="172"/>
      <c r="C1539" s="172"/>
      <c r="D1539" s="172"/>
      <c r="E1539" s="192"/>
      <c r="F1539" s="192"/>
      <c r="G1539" s="6" t="str">
        <f t="shared" si="21"/>
        <v/>
      </c>
      <c r="H1539" s="82"/>
      <c r="I1539" s="82"/>
      <c r="J1539" s="82"/>
      <c r="K1539" s="82"/>
    </row>
    <row r="1540" ht="14.25" customHeight="1">
      <c r="A1540" s="178"/>
      <c r="B1540" s="194">
        <v>4320.0</v>
      </c>
      <c r="C1540" s="180"/>
      <c r="D1540" s="195" t="s">
        <v>78</v>
      </c>
      <c r="E1540" s="197">
        <v>2024.0</v>
      </c>
      <c r="F1540" s="197">
        <v>2025.0</v>
      </c>
      <c r="G1540" s="6">
        <f t="shared" si="21"/>
        <v>0.0004940711462</v>
      </c>
      <c r="H1540" s="82"/>
      <c r="I1540" s="82"/>
      <c r="J1540" s="82"/>
      <c r="K1540" s="82"/>
    </row>
    <row r="1541" ht="14.25" customHeight="1">
      <c r="A1541" s="82"/>
      <c r="B1541" s="201"/>
      <c r="C1541" s="202">
        <v>609.0</v>
      </c>
      <c r="D1541" s="201" t="s">
        <v>286</v>
      </c>
      <c r="E1541" s="203"/>
      <c r="F1541" s="191">
        <f>IFERROR(__xludf.DUMMYFUNCTION("IMPORTRANGE(""https://docs.google.com/spreadsheets/d/1CWffE_fmwY77uhgMYjfUbNKvG6VWeKQmR1hn2RIBmiU"",""2025!p4320_609"")"),102841.0)</f>
        <v>102841</v>
      </c>
      <c r="G1541" s="6" t="str">
        <f t="shared" si="21"/>
        <v/>
      </c>
      <c r="H1541" s="82"/>
      <c r="I1541" s="82"/>
      <c r="J1541" s="82"/>
      <c r="K1541" s="82"/>
    </row>
    <row r="1542" ht="14.25" customHeight="1">
      <c r="A1542" s="82"/>
      <c r="B1542" s="82"/>
      <c r="C1542" s="198">
        <v>619.0</v>
      </c>
      <c r="D1542" s="185" t="s">
        <v>274</v>
      </c>
      <c r="E1542" s="203"/>
      <c r="F1542" s="204">
        <f>IFERROR(__xludf.DUMMYFUNCTION("IMPORTRANGE(""https://docs.google.com/spreadsheets/d/1CWffE_fmwY77uhgMYjfUbNKvG6VWeKQmR1hn2RIBmiU"",""2025!p4320_619"")"),1123904.27)</f>
        <v>1123904.27</v>
      </c>
      <c r="G1542" s="6" t="str">
        <f t="shared" si="21"/>
        <v/>
      </c>
      <c r="H1542" s="82"/>
      <c r="I1542" s="82"/>
      <c r="J1542" s="82"/>
      <c r="K1542" s="82"/>
    </row>
    <row r="1543" ht="14.25" customHeight="1">
      <c r="A1543" s="82"/>
      <c r="B1543" s="82"/>
      <c r="C1543" s="198">
        <v>622.0</v>
      </c>
      <c r="D1543" s="82" t="s">
        <v>273</v>
      </c>
      <c r="E1543" s="203"/>
      <c r="F1543" s="204">
        <f>IFERROR(__xludf.DUMMYFUNCTION("IMPORTRANGE(""https://docs.google.com/spreadsheets/d/1CWffE_fmwY77uhgMYjfUbNKvG6VWeKQmR1hn2RIBmiU"",""2025!p4320_622"")"),3535930.79)</f>
        <v>3535930.79</v>
      </c>
      <c r="G1543" s="6" t="str">
        <f t="shared" si="21"/>
        <v/>
      </c>
      <c r="H1543" s="82"/>
      <c r="I1543" s="82"/>
      <c r="J1543" s="82"/>
      <c r="K1543" s="82"/>
    </row>
    <row r="1544" ht="14.25" customHeight="1">
      <c r="A1544" s="82"/>
      <c r="B1544" s="82"/>
      <c r="C1544" s="198">
        <v>624.0</v>
      </c>
      <c r="D1544" s="82" t="s">
        <v>280</v>
      </c>
      <c r="E1544" s="203"/>
      <c r="F1544" s="204">
        <f>IFERROR(__xludf.DUMMYFUNCTION("IMPORTRANGE(""https://docs.google.com/spreadsheets/d/1CWffE_fmwY77uhgMYjfUbNKvG6VWeKQmR1hn2RIBmiU"",""2025!p4320_624"")"),737000.0)</f>
        <v>737000</v>
      </c>
      <c r="G1544" s="6" t="str">
        <f t="shared" si="21"/>
        <v/>
      </c>
      <c r="H1544" s="82"/>
      <c r="I1544" s="82"/>
      <c r="J1544" s="82"/>
      <c r="K1544" s="82"/>
    </row>
    <row r="1545" ht="14.25" customHeight="1">
      <c r="A1545" s="82"/>
      <c r="B1545" s="82"/>
      <c r="C1545" s="184">
        <v>625.0</v>
      </c>
      <c r="D1545" s="185" t="s">
        <v>276</v>
      </c>
      <c r="E1545" s="203"/>
      <c r="F1545" s="204">
        <f>IFERROR(__xludf.DUMMYFUNCTION("IMPORTRANGE(""https://docs.google.com/spreadsheets/d/1CWffE_fmwY77uhgMYjfUbNKvG6VWeKQmR1hn2RIBmiU"",""2025!p4320_625"")"),200000.0)</f>
        <v>200000</v>
      </c>
      <c r="G1545" s="6"/>
      <c r="H1545" s="82"/>
      <c r="I1545" s="82"/>
      <c r="J1545" s="82"/>
      <c r="K1545" s="82"/>
    </row>
    <row r="1546" ht="14.25" customHeight="1">
      <c r="A1546" s="82"/>
      <c r="B1546" s="82"/>
      <c r="C1546" s="198">
        <v>629.0</v>
      </c>
      <c r="D1546" s="82" t="s">
        <v>275</v>
      </c>
      <c r="E1546" s="203"/>
      <c r="F1546" s="204">
        <f>IFERROR(__xludf.DUMMYFUNCTION("IMPORTRANGE(""https://docs.google.com/spreadsheets/d/1CWffE_fmwY77uhgMYjfUbNKvG6VWeKQmR1hn2RIBmiU"",""2025!p4320_629"")"),422420.5)</f>
        <v>422420.5</v>
      </c>
      <c r="G1546" s="6" t="str">
        <f t="shared" ref="G1546:G1551" si="22">IFERROR(((F1546-E1546)/E1546), "")</f>
        <v/>
      </c>
      <c r="H1546" s="82"/>
      <c r="I1546" s="82"/>
      <c r="J1546" s="82"/>
      <c r="K1546" s="82"/>
    </row>
    <row r="1547" ht="14.25" customHeight="1">
      <c r="A1547" s="82"/>
      <c r="B1547" s="82"/>
      <c r="C1547" s="198">
        <v>689.0</v>
      </c>
      <c r="D1547" s="82" t="s">
        <v>290</v>
      </c>
      <c r="E1547" s="205"/>
      <c r="F1547" s="206">
        <f>IFERROR(__xludf.DUMMYFUNCTION("IMPORTRANGE(""https://docs.google.com/spreadsheets/d/1CWffE_fmwY77uhgMYjfUbNKvG6VWeKQmR1hn2RIBmiU"",""2025!p4320_689"")"),132420.5)</f>
        <v>132420.5</v>
      </c>
      <c r="G1547" s="6" t="str">
        <f t="shared" si="22"/>
        <v/>
      </c>
      <c r="H1547" s="82"/>
      <c r="I1547" s="82"/>
      <c r="J1547" s="82"/>
      <c r="K1547" s="82"/>
    </row>
    <row r="1548" ht="14.25" customHeight="1">
      <c r="A1548" s="82"/>
      <c r="B1548" s="199">
        <v>4320.0</v>
      </c>
      <c r="E1548" s="200"/>
      <c r="F1548" s="188">
        <f>SUM(F1541:F1547)</f>
        <v>6254517.06</v>
      </c>
      <c r="G1548" s="6" t="str">
        <f t="shared" si="22"/>
        <v/>
      </c>
      <c r="H1548" s="82"/>
      <c r="I1548" s="82"/>
      <c r="J1548" s="82"/>
      <c r="K1548" s="82"/>
    </row>
    <row r="1549" ht="14.25" customHeight="1">
      <c r="A1549" s="76"/>
      <c r="B1549" s="172"/>
      <c r="C1549" s="172"/>
      <c r="D1549" s="172"/>
      <c r="E1549" s="192"/>
      <c r="F1549" s="192"/>
      <c r="G1549" s="6" t="str">
        <f t="shared" si="22"/>
        <v/>
      </c>
      <c r="H1549" s="82"/>
      <c r="I1549" s="82"/>
      <c r="J1549" s="82"/>
      <c r="K1549" s="82"/>
    </row>
    <row r="1550" ht="14.25" customHeight="1">
      <c r="A1550" s="178"/>
      <c r="B1550" s="194">
        <v>4330.0</v>
      </c>
      <c r="C1550" s="180"/>
      <c r="D1550" s="195" t="s">
        <v>79</v>
      </c>
      <c r="E1550" s="196">
        <v>2024.0</v>
      </c>
      <c r="F1550" s="197">
        <v>2025.0</v>
      </c>
      <c r="G1550" s="6">
        <f t="shared" si="22"/>
        <v>0.0004940711462</v>
      </c>
      <c r="H1550" s="82"/>
      <c r="I1550" s="82"/>
      <c r="J1550" s="82"/>
      <c r="K1550" s="82"/>
    </row>
    <row r="1551" ht="14.25" customHeight="1">
      <c r="A1551" s="82"/>
      <c r="B1551" s="82"/>
      <c r="C1551" s="198">
        <v>609.0</v>
      </c>
      <c r="D1551" s="82" t="s">
        <v>286</v>
      </c>
      <c r="E1551" s="149"/>
      <c r="F1551" s="158">
        <f>IFERROR(__xludf.DUMMYFUNCTION("IMPORTRANGE(""https://docs.google.com/spreadsheets/d/1CWffE_fmwY77uhgMYjfUbNKvG6VWeKQmR1hn2RIBmiU"",""2025!p4330_609"")"),315000.0)</f>
        <v>315000</v>
      </c>
      <c r="G1551" s="6" t="str">
        <f t="shared" si="22"/>
        <v/>
      </c>
      <c r="H1551" s="82"/>
      <c r="I1551" s="82"/>
      <c r="J1551" s="82"/>
      <c r="K1551" s="82"/>
    </row>
    <row r="1552" ht="14.25" customHeight="1">
      <c r="A1552" s="82"/>
      <c r="B1552" s="82"/>
      <c r="C1552" s="184">
        <v>625.0</v>
      </c>
      <c r="D1552" s="185" t="s">
        <v>276</v>
      </c>
      <c r="E1552" s="207"/>
      <c r="F1552" s="81">
        <f>IFERROR(__xludf.DUMMYFUNCTION("IMPORTRANGE(""https://docs.google.com/spreadsheets/d/1CWffE_fmwY77uhgMYjfUbNKvG6VWeKQmR1hn2RIBmiU"",""2025!p4330_625"")"),15000.0)</f>
        <v>15000</v>
      </c>
      <c r="G1552" s="6"/>
      <c r="H1552" s="82"/>
      <c r="I1552" s="82"/>
      <c r="J1552" s="82"/>
      <c r="K1552" s="82"/>
    </row>
    <row r="1553" ht="14.25" customHeight="1">
      <c r="A1553" s="82"/>
      <c r="B1553" s="199">
        <v>4330.0</v>
      </c>
      <c r="E1553" s="200"/>
      <c r="F1553" s="188">
        <f>SUM(F1551:F1552)</f>
        <v>330000</v>
      </c>
      <c r="G1553" s="6" t="str">
        <f t="shared" ref="G1553:G1563" si="23">IFERROR(((F1553-E1553)/E1553), "")</f>
        <v/>
      </c>
      <c r="H1553" s="82"/>
      <c r="I1553" s="82"/>
      <c r="J1553" s="82"/>
      <c r="K1553" s="82"/>
    </row>
    <row r="1554" ht="14.25" customHeight="1">
      <c r="A1554" s="76"/>
      <c r="B1554" s="172"/>
      <c r="C1554" s="172"/>
      <c r="D1554" s="172"/>
      <c r="E1554" s="192"/>
      <c r="F1554" s="192"/>
      <c r="G1554" s="6" t="str">
        <f t="shared" si="23"/>
        <v/>
      </c>
      <c r="H1554" s="82"/>
      <c r="I1554" s="82"/>
      <c r="J1554" s="82"/>
      <c r="K1554" s="82"/>
    </row>
    <row r="1555" ht="14.25" customHeight="1">
      <c r="A1555" s="178"/>
      <c r="B1555" s="179">
        <v>4411.0</v>
      </c>
      <c r="C1555" s="180"/>
      <c r="D1555" s="181" t="s">
        <v>216</v>
      </c>
      <c r="E1555" s="196">
        <v>2024.0</v>
      </c>
      <c r="F1555" s="197">
        <v>2025.0</v>
      </c>
      <c r="G1555" s="6">
        <f t="shared" si="23"/>
        <v>0.0004940711462</v>
      </c>
      <c r="H1555" s="82"/>
      <c r="I1555" s="82"/>
      <c r="J1555" s="82"/>
      <c r="K1555" s="82"/>
    </row>
    <row r="1556" ht="14.25" customHeight="1">
      <c r="A1556" s="82"/>
      <c r="B1556" s="82"/>
      <c r="C1556" s="184">
        <v>639.0</v>
      </c>
      <c r="D1556" s="185" t="s">
        <v>291</v>
      </c>
      <c r="E1556" s="149"/>
      <c r="F1556" s="150">
        <f>IFERROR(__xludf.DUMMYFUNCTION("IMPORTRANGE(""https://docs.google.com/spreadsheets/d/1CWffE_fmwY77uhgMYjfUbNKvG6VWeKQmR1hn2RIBmiU"",""2025!p4411_639"")"),40000.0)</f>
        <v>40000</v>
      </c>
      <c r="G1556" s="6" t="str">
        <f t="shared" si="23"/>
        <v/>
      </c>
      <c r="H1556" s="82"/>
      <c r="I1556" s="82"/>
      <c r="J1556" s="82"/>
      <c r="K1556" s="82"/>
    </row>
    <row r="1557" ht="14.25" customHeight="1">
      <c r="A1557" s="82"/>
      <c r="B1557" s="186">
        <v>4411.0</v>
      </c>
      <c r="E1557" s="200"/>
      <c r="F1557" s="188">
        <f>SUM(F1556)</f>
        <v>40000</v>
      </c>
      <c r="G1557" s="6" t="str">
        <f t="shared" si="23"/>
        <v/>
      </c>
      <c r="H1557" s="82"/>
      <c r="I1557" s="82"/>
      <c r="J1557" s="82"/>
      <c r="K1557" s="82"/>
    </row>
    <row r="1558" ht="14.25" customHeight="1">
      <c r="A1558" s="76"/>
      <c r="B1558" s="172"/>
      <c r="C1558" s="172"/>
      <c r="D1558" s="172"/>
      <c r="E1558" s="192"/>
      <c r="F1558" s="192"/>
      <c r="G1558" s="6" t="str">
        <f t="shared" si="23"/>
        <v/>
      </c>
      <c r="H1558" s="82"/>
      <c r="I1558" s="82"/>
      <c r="J1558" s="82"/>
      <c r="K1558" s="82"/>
    </row>
    <row r="1559" ht="14.25" customHeight="1">
      <c r="A1559" s="178"/>
      <c r="B1559" s="194">
        <v>4540.0</v>
      </c>
      <c r="C1559" s="180"/>
      <c r="D1559" s="195" t="s">
        <v>292</v>
      </c>
      <c r="E1559" s="196">
        <v>2024.0</v>
      </c>
      <c r="F1559" s="197">
        <v>2025.0</v>
      </c>
      <c r="G1559" s="6">
        <f t="shared" si="23"/>
        <v>0.0004940711462</v>
      </c>
      <c r="H1559" s="82"/>
      <c r="I1559" s="82"/>
      <c r="J1559" s="82"/>
      <c r="K1559" s="82"/>
    </row>
    <row r="1560" ht="14.25" customHeight="1">
      <c r="A1560" s="82"/>
      <c r="B1560" s="82"/>
      <c r="C1560" s="198">
        <v>609.0</v>
      </c>
      <c r="D1560" s="82" t="s">
        <v>286</v>
      </c>
      <c r="E1560" s="149"/>
      <c r="F1560" s="150">
        <f>IFERROR(__xludf.DUMMYFUNCTION("IMPORTRANGE(""https://docs.google.com/spreadsheets/d/1CWffE_fmwY77uhgMYjfUbNKvG6VWeKQmR1hn2RIBmiU"",""2025!p4540_609"")"),100000.0)</f>
        <v>100000</v>
      </c>
      <c r="G1560" s="6" t="str">
        <f t="shared" si="23"/>
        <v/>
      </c>
      <c r="H1560" s="82"/>
      <c r="I1560" s="82"/>
      <c r="J1560" s="82"/>
      <c r="K1560" s="82"/>
    </row>
    <row r="1561" ht="14.25" customHeight="1">
      <c r="A1561" s="82"/>
      <c r="B1561" s="199">
        <v>4540.0</v>
      </c>
      <c r="E1561" s="200"/>
      <c r="F1561" s="188">
        <f>SUM(F1560)</f>
        <v>100000</v>
      </c>
      <c r="G1561" s="6" t="str">
        <f t="shared" si="23"/>
        <v/>
      </c>
      <c r="H1561" s="82"/>
      <c r="I1561" s="82"/>
      <c r="J1561" s="82"/>
      <c r="K1561" s="82"/>
    </row>
    <row r="1562" ht="14.25" customHeight="1">
      <c r="A1562" s="76"/>
      <c r="B1562" s="172"/>
      <c r="C1562" s="172"/>
      <c r="D1562" s="172"/>
      <c r="E1562" s="192"/>
      <c r="F1562" s="192"/>
      <c r="G1562" s="6" t="str">
        <f t="shared" si="23"/>
        <v/>
      </c>
      <c r="H1562" s="82"/>
      <c r="I1562" s="82"/>
      <c r="J1562" s="82"/>
      <c r="K1562" s="82"/>
    </row>
    <row r="1563" ht="14.25" customHeight="1">
      <c r="A1563" s="178"/>
      <c r="B1563" s="194">
        <v>9200.0</v>
      </c>
      <c r="C1563" s="180"/>
      <c r="D1563" s="195" t="s">
        <v>88</v>
      </c>
      <c r="E1563" s="197">
        <v>2024.0</v>
      </c>
      <c r="F1563" s="197">
        <v>2025.0</v>
      </c>
      <c r="G1563" s="6">
        <f t="shared" si="23"/>
        <v>0.0004940711462</v>
      </c>
      <c r="H1563" s="82"/>
      <c r="I1563" s="82"/>
      <c r="J1563" s="82"/>
      <c r="K1563" s="82"/>
    </row>
    <row r="1564" ht="14.25" customHeight="1">
      <c r="A1564" s="82"/>
      <c r="B1564" s="82"/>
      <c r="C1564" s="184">
        <v>623.0</v>
      </c>
      <c r="D1564" s="185" t="s">
        <v>281</v>
      </c>
      <c r="E1564" s="207"/>
      <c r="F1564" s="158">
        <f>IFERROR(__xludf.DUMMYFUNCTION("IMPORTRANGE(""https://docs.google.com/spreadsheets/d/1CWffE_fmwY77uhgMYjfUbNKvG6VWeKQmR1hn2RIBmiU"",""2025!p9200_623"")"),40000.0)</f>
        <v>40000</v>
      </c>
      <c r="G1564" s="6"/>
      <c r="H1564" s="82"/>
      <c r="I1564" s="82"/>
      <c r="J1564" s="82"/>
      <c r="K1564" s="82"/>
    </row>
    <row r="1565" ht="14.25" customHeight="1">
      <c r="A1565" s="82"/>
      <c r="B1565" s="82"/>
      <c r="C1565" s="184">
        <v>625.0</v>
      </c>
      <c r="D1565" s="185" t="s">
        <v>276</v>
      </c>
      <c r="E1565" s="207"/>
      <c r="F1565" s="89">
        <f>IFERROR(__xludf.DUMMYFUNCTION("IMPORTRANGE(""https://docs.google.com/spreadsheets/d/1CWffE_fmwY77uhgMYjfUbNKvG6VWeKQmR1hn2RIBmiU"",""2025!p9200_625"")"),50000.0)</f>
        <v>50000</v>
      </c>
      <c r="G1565" s="6"/>
      <c r="H1565" s="82"/>
      <c r="I1565" s="82"/>
      <c r="J1565" s="82"/>
      <c r="K1565" s="82"/>
    </row>
    <row r="1566" ht="14.25" customHeight="1">
      <c r="A1566" s="82"/>
      <c r="B1566" s="82"/>
      <c r="C1566" s="198">
        <v>626.0</v>
      </c>
      <c r="D1566" s="82" t="s">
        <v>293</v>
      </c>
      <c r="E1566" s="207"/>
      <c r="F1566" s="89">
        <f>IFERROR(__xludf.DUMMYFUNCTION("IMPORTRANGE(""https://docs.google.com/spreadsheets/d/1CWffE_fmwY77uhgMYjfUbNKvG6VWeKQmR1hn2RIBmiU"",""2025!p9200_626"")"),50000.0)</f>
        <v>50000</v>
      </c>
      <c r="G1566" s="6" t="str">
        <f t="shared" ref="G1566:G1567" si="24">IFERROR(((F1566-E1566)/E1566), "")</f>
        <v/>
      </c>
      <c r="H1566" s="82"/>
      <c r="I1566" s="82"/>
      <c r="J1566" s="82"/>
      <c r="K1566" s="82"/>
    </row>
    <row r="1567" ht="14.25" customHeight="1">
      <c r="A1567" s="82"/>
      <c r="B1567" s="82"/>
      <c r="C1567" s="198">
        <v>629.0</v>
      </c>
      <c r="D1567" s="82" t="s">
        <v>294</v>
      </c>
      <c r="E1567" s="207"/>
      <c r="F1567" s="89">
        <f>IFERROR(__xludf.DUMMYFUNCTION("IMPORTRANGE(""https://docs.google.com/spreadsheets/d/1CWffE_fmwY77uhgMYjfUbNKvG6VWeKQmR1hn2RIBmiU"",""2025!p9200_629"")"),100000.0)</f>
        <v>100000</v>
      </c>
      <c r="G1567" s="6" t="str">
        <f t="shared" si="24"/>
        <v/>
      </c>
      <c r="H1567" s="82"/>
      <c r="I1567" s="82"/>
      <c r="J1567" s="82"/>
      <c r="K1567" s="82"/>
    </row>
    <row r="1568" ht="14.25" customHeight="1">
      <c r="A1568" s="82"/>
      <c r="B1568" s="82"/>
      <c r="C1568" s="184">
        <v>641.0</v>
      </c>
      <c r="D1568" s="185" t="s">
        <v>277</v>
      </c>
      <c r="E1568" s="207"/>
      <c r="F1568" s="81">
        <f>IFERROR(__xludf.DUMMYFUNCTION("IMPORTRANGE(""https://docs.google.com/spreadsheets/d/1CWffE_fmwY77uhgMYjfUbNKvG6VWeKQmR1hn2RIBmiU"",""2025!p9200_641"")"),300000.0)</f>
        <v>300000</v>
      </c>
      <c r="G1568" s="6"/>
      <c r="H1568" s="82"/>
      <c r="I1568" s="82"/>
      <c r="J1568" s="82"/>
      <c r="K1568" s="82"/>
    </row>
    <row r="1569" ht="14.25" customHeight="1">
      <c r="A1569" s="82"/>
      <c r="B1569" s="199">
        <v>9200.0</v>
      </c>
      <c r="E1569" s="200"/>
      <c r="F1569" s="188">
        <f>SUM(F1564:F1568)</f>
        <v>540000</v>
      </c>
      <c r="G1569" s="6" t="str">
        <f>IFERROR(((F1569-E1569)/E1569), "")</f>
        <v/>
      </c>
      <c r="H1569" s="82"/>
      <c r="I1569" s="82"/>
      <c r="J1569" s="82"/>
      <c r="K1569" s="82"/>
    </row>
    <row r="1570" ht="14.25" customHeight="1">
      <c r="A1570" s="76"/>
      <c r="B1570" s="76"/>
      <c r="C1570" s="79"/>
      <c r="D1570" s="79"/>
      <c r="E1570" s="79"/>
      <c r="F1570" s="66"/>
      <c r="G1570" s="189"/>
      <c r="H1570" s="159"/>
      <c r="I1570" s="68"/>
      <c r="J1570" s="189"/>
      <c r="K1570" s="168"/>
    </row>
    <row r="1571" ht="14.25" customHeight="1">
      <c r="A1571" s="178"/>
      <c r="B1571" s="179">
        <v>9240.0</v>
      </c>
      <c r="C1571" s="180"/>
      <c r="D1571" s="181" t="s">
        <v>227</v>
      </c>
      <c r="E1571" s="197">
        <v>2024.0</v>
      </c>
      <c r="F1571" s="197">
        <v>2025.0</v>
      </c>
      <c r="G1571" s="189"/>
      <c r="H1571" s="208"/>
      <c r="I1571" s="189"/>
      <c r="J1571" s="189"/>
      <c r="K1571" s="168"/>
    </row>
    <row r="1572" ht="14.25" customHeight="1">
      <c r="A1572" s="82"/>
      <c r="B1572" s="82"/>
      <c r="C1572" s="209">
        <v>632.0</v>
      </c>
      <c r="D1572" s="210" t="s">
        <v>273</v>
      </c>
      <c r="E1572" s="211"/>
      <c r="F1572" s="150">
        <f>IFERROR(__xludf.DUMMYFUNCTION("IMPORTRANGE(""https://docs.google.com/spreadsheets/d/1CWffE_fmwY77uhgMYjfUbNKvG6VWeKQmR1hn2RIBmiU"",""2025!p9240_632"")"),345000.0)</f>
        <v>345000</v>
      </c>
      <c r="G1572" s="189"/>
      <c r="H1572" s="159"/>
      <c r="I1572" s="189"/>
      <c r="J1572" s="189"/>
      <c r="K1572" s="168"/>
    </row>
    <row r="1573" ht="14.25" customHeight="1">
      <c r="A1573" s="82"/>
      <c r="B1573" s="186">
        <v>9240.0</v>
      </c>
      <c r="E1573" s="187"/>
      <c r="F1573" s="188">
        <f>SUM(F1572)</f>
        <v>345000</v>
      </c>
      <c r="G1573" s="189"/>
      <c r="H1573" s="159"/>
      <c r="I1573" s="189"/>
      <c r="J1573" s="189"/>
      <c r="K1573" s="168"/>
    </row>
    <row r="1574" ht="14.25" customHeight="1">
      <c r="A1574" s="76"/>
      <c r="B1574" s="76"/>
      <c r="C1574" s="79"/>
      <c r="D1574" s="79"/>
      <c r="E1574" s="79"/>
      <c r="F1574" s="66"/>
      <c r="G1574" s="66"/>
      <c r="H1574" s="159"/>
      <c r="I1574" s="66"/>
      <c r="J1574" s="189"/>
      <c r="K1574" s="168"/>
    </row>
    <row r="1575" ht="14.25" customHeight="1">
      <c r="A1575" s="1"/>
      <c r="B1575" s="2"/>
      <c r="C1575" s="54"/>
      <c r="D1575" s="22" t="s">
        <v>295</v>
      </c>
      <c r="E1575" s="65">
        <v>1.2435470479999999E7</v>
      </c>
      <c r="F1575" s="65">
        <f>SUM(F1411,F1415,F1420,F1426,F1431,F1435,F1442,F1448,F1453,F1458,F1464,F1468,F1473,F1477,F1483,F1487,F1491,F1495,F1499,F1503,F1507,F1512,F1516,F1522,F1526,F1530,F1534,F1538,F1548,F1553,F1557,F1561,F1569,F1573)</f>
        <v>27237906.7</v>
      </c>
      <c r="G1575" s="6">
        <f t="shared" ref="G1575:G1612" si="25">IFERROR(((F1575-E1575)/E1575), "")</f>
        <v>1.190339862</v>
      </c>
      <c r="H1575" s="65">
        <f>IFERROR(__xludf.DUMMYFUNCTION("IMPORTRANGE(""https://docs.google.com/spreadsheets/d/1CWffE_fmwY77uhgMYjfUbNKvG6VWeKQmR1hn2RIBmiU"",""2025!suma_cap6"") - F1575"),0.0)</f>
        <v>0</v>
      </c>
      <c r="I1575" s="32"/>
      <c r="J1575" s="32"/>
      <c r="K1575" s="32"/>
    </row>
    <row r="1576" ht="14.25" customHeight="1">
      <c r="A1576" s="1"/>
      <c r="B1576" s="2"/>
      <c r="C1576" s="54"/>
      <c r="D1576" s="22"/>
      <c r="E1576" s="32"/>
      <c r="F1576" s="32"/>
      <c r="G1576" s="6" t="str">
        <f t="shared" si="25"/>
        <v/>
      </c>
    </row>
    <row r="1577" ht="14.25" customHeight="1">
      <c r="A1577" s="1"/>
      <c r="B1577" s="2"/>
      <c r="C1577" s="3"/>
      <c r="D1577" s="4"/>
      <c r="E1577" s="5"/>
      <c r="F1577" s="5"/>
      <c r="G1577" s="6" t="str">
        <f t="shared" si="25"/>
        <v/>
      </c>
    </row>
    <row r="1578" ht="14.25" customHeight="1">
      <c r="A1578" s="1"/>
      <c r="B1578" s="2"/>
      <c r="C1578" s="3"/>
      <c r="D1578" s="4"/>
      <c r="E1578" s="5"/>
      <c r="F1578" s="5"/>
      <c r="G1578" s="6" t="str">
        <f t="shared" si="25"/>
        <v/>
      </c>
    </row>
    <row r="1579" ht="14.25" customHeight="1">
      <c r="A1579" s="1"/>
      <c r="B1579" s="101" t="s">
        <v>0</v>
      </c>
      <c r="C1579" s="9"/>
      <c r="D1579" s="102" t="s">
        <v>296</v>
      </c>
      <c r="E1579" s="103"/>
      <c r="F1579" s="103"/>
      <c r="G1579" s="6" t="str">
        <f t="shared" si="25"/>
        <v/>
      </c>
    </row>
    <row r="1580" ht="14.25" customHeight="1">
      <c r="A1580" s="1"/>
      <c r="B1580" s="104" t="s">
        <v>2</v>
      </c>
      <c r="C1580" s="105" t="s">
        <v>3</v>
      </c>
      <c r="D1580" s="14"/>
      <c r="E1580" s="106">
        <v>2024.0</v>
      </c>
      <c r="F1580" s="107">
        <v>2025.0</v>
      </c>
      <c r="G1580" s="6">
        <f t="shared" si="25"/>
        <v>0.0004940711462</v>
      </c>
    </row>
    <row r="1581" ht="14.25" customHeight="1">
      <c r="A1581" s="1"/>
      <c r="B1581" s="33">
        <v>1522.0</v>
      </c>
      <c r="C1581" s="160"/>
      <c r="D1581" s="212" t="s">
        <v>297</v>
      </c>
      <c r="E1581" s="35">
        <v>2024.0</v>
      </c>
      <c r="F1581" s="36">
        <v>2025.0</v>
      </c>
      <c r="G1581" s="6">
        <f t="shared" si="25"/>
        <v>0.0004940711462</v>
      </c>
    </row>
    <row r="1582" ht="14.25" customHeight="1">
      <c r="A1582" s="1"/>
      <c r="B1582" s="2"/>
      <c r="C1582" s="7" t="s">
        <v>298</v>
      </c>
      <c r="D1582" s="4" t="s">
        <v>299</v>
      </c>
      <c r="E1582" s="5">
        <v>30000.0</v>
      </c>
      <c r="F1582" s="20">
        <v>20000.0</v>
      </c>
      <c r="G1582" s="6">
        <f t="shared" si="25"/>
        <v>-0.3333333333</v>
      </c>
    </row>
    <row r="1583" ht="14.25" customHeight="1">
      <c r="A1583" s="1"/>
      <c r="B1583" s="2"/>
      <c r="C1583" s="7" t="s">
        <v>300</v>
      </c>
      <c r="D1583" s="21" t="s">
        <v>301</v>
      </c>
      <c r="E1583" s="5">
        <v>50000.0</v>
      </c>
      <c r="F1583" s="20">
        <v>30000.0</v>
      </c>
      <c r="G1583" s="6">
        <f t="shared" si="25"/>
        <v>-0.4</v>
      </c>
    </row>
    <row r="1584" ht="14.25" customHeight="1">
      <c r="A1584" s="1"/>
      <c r="B1584" s="22">
        <v>1522.0</v>
      </c>
      <c r="E1584" s="23">
        <v>80000.0</v>
      </c>
      <c r="F1584" s="23">
        <f>SUM(F1582:F1583)</f>
        <v>50000</v>
      </c>
      <c r="G1584" s="6">
        <f t="shared" si="25"/>
        <v>-0.375</v>
      </c>
    </row>
    <row r="1585" ht="14.25" customHeight="1">
      <c r="A1585" s="1"/>
      <c r="B1585" s="2"/>
      <c r="C1585" s="3"/>
      <c r="D1585" s="4"/>
      <c r="E1585" s="5"/>
      <c r="F1585" s="5"/>
      <c r="G1585" s="6" t="str">
        <f t="shared" si="25"/>
        <v/>
      </c>
    </row>
    <row r="1586" ht="14.25" customHeight="1">
      <c r="A1586" s="1"/>
      <c r="B1586" s="33">
        <v>3360.0</v>
      </c>
      <c r="C1586" s="34"/>
      <c r="D1586" s="35" t="s">
        <v>302</v>
      </c>
      <c r="E1586" s="35">
        <v>2024.0</v>
      </c>
      <c r="F1586" s="36">
        <v>2025.0</v>
      </c>
      <c r="G1586" s="6">
        <f t="shared" si="25"/>
        <v>0.0004940711462</v>
      </c>
    </row>
    <row r="1587" ht="14.25" customHeight="1">
      <c r="A1587" s="1"/>
      <c r="B1587" s="2"/>
      <c r="C1587" s="7" t="s">
        <v>298</v>
      </c>
      <c r="D1587" s="4" t="s">
        <v>245</v>
      </c>
      <c r="E1587" s="5">
        <v>50000.0</v>
      </c>
      <c r="F1587" s="5">
        <v>50000.0</v>
      </c>
      <c r="G1587" s="6">
        <f t="shared" si="25"/>
        <v>0</v>
      </c>
      <c r="H1587" s="76" t="s">
        <v>303</v>
      </c>
      <c r="I1587" s="76"/>
      <c r="J1587" s="76"/>
      <c r="K1587" s="76"/>
    </row>
    <row r="1588" ht="14.25" customHeight="1">
      <c r="A1588" s="1"/>
      <c r="B1588" s="22">
        <v>3360.0</v>
      </c>
      <c r="E1588" s="23">
        <v>50000.0</v>
      </c>
      <c r="F1588" s="23">
        <f>SUM(F1587)</f>
        <v>50000</v>
      </c>
      <c r="G1588" s="6">
        <f t="shared" si="25"/>
        <v>0</v>
      </c>
    </row>
    <row r="1589" ht="14.25" customHeight="1">
      <c r="A1589" s="1"/>
      <c r="B1589" s="2"/>
      <c r="C1589" s="54"/>
      <c r="D1589" s="22"/>
      <c r="E1589" s="32"/>
      <c r="F1589" s="32"/>
      <c r="G1589" s="6" t="str">
        <f t="shared" si="25"/>
        <v/>
      </c>
    </row>
    <row r="1590" ht="14.25" customHeight="1">
      <c r="A1590" s="1"/>
      <c r="B1590" s="2"/>
      <c r="C1590" s="54"/>
      <c r="D1590" s="22" t="s">
        <v>304</v>
      </c>
      <c r="E1590" s="65">
        <v>130000.0</v>
      </c>
      <c r="F1590" s="65">
        <f>F1588+F1584</f>
        <v>100000</v>
      </c>
      <c r="G1590" s="6">
        <f t="shared" si="25"/>
        <v>-0.2307692308</v>
      </c>
    </row>
    <row r="1591" ht="14.25" customHeight="1">
      <c r="A1591" s="1"/>
      <c r="B1591" s="2"/>
      <c r="C1591" s="3"/>
      <c r="D1591" s="4"/>
      <c r="E1591" s="5"/>
      <c r="F1591" s="5"/>
      <c r="G1591" s="6" t="str">
        <f t="shared" si="25"/>
        <v/>
      </c>
    </row>
    <row r="1592" ht="14.25" customHeight="1">
      <c r="A1592" s="1"/>
      <c r="B1592" s="2"/>
      <c r="C1592" s="3"/>
      <c r="D1592" s="4"/>
      <c r="E1592" s="5"/>
      <c r="F1592" s="5"/>
      <c r="G1592" s="6" t="str">
        <f t="shared" si="25"/>
        <v/>
      </c>
    </row>
    <row r="1593" ht="14.25" customHeight="1">
      <c r="A1593" s="1"/>
      <c r="B1593" s="2"/>
      <c r="C1593" s="3"/>
      <c r="D1593" s="4"/>
      <c r="E1593" s="5"/>
      <c r="F1593" s="5"/>
      <c r="G1593" s="6" t="str">
        <f t="shared" si="25"/>
        <v/>
      </c>
    </row>
    <row r="1594" ht="14.25" customHeight="1">
      <c r="A1594" s="1"/>
      <c r="B1594" s="213" t="s">
        <v>0</v>
      </c>
      <c r="C1594" s="9"/>
      <c r="D1594" s="10" t="s">
        <v>305</v>
      </c>
      <c r="E1594" s="214"/>
      <c r="F1594" s="214"/>
      <c r="G1594" s="6" t="str">
        <f t="shared" si="25"/>
        <v/>
      </c>
    </row>
    <row r="1595" ht="14.25" customHeight="1">
      <c r="A1595" s="1"/>
      <c r="B1595" s="215" t="s">
        <v>2</v>
      </c>
      <c r="C1595" s="216" t="s">
        <v>3</v>
      </c>
      <c r="D1595" s="14"/>
      <c r="E1595" s="217">
        <v>2024.0</v>
      </c>
      <c r="F1595" s="218">
        <v>2025.0</v>
      </c>
      <c r="G1595" s="6">
        <f t="shared" si="25"/>
        <v>0.0004940711462</v>
      </c>
    </row>
    <row r="1596" ht="14.25" customHeight="1">
      <c r="A1596" s="1"/>
      <c r="B1596" s="219">
        <v>2210.0</v>
      </c>
      <c r="C1596" s="220"/>
      <c r="D1596" s="221" t="s">
        <v>306</v>
      </c>
      <c r="E1596" s="35">
        <v>2024.0</v>
      </c>
      <c r="F1596" s="36">
        <v>2025.0</v>
      </c>
      <c r="G1596" s="6">
        <f t="shared" si="25"/>
        <v>0.0004940711462</v>
      </c>
    </row>
    <row r="1597" ht="14.25" customHeight="1">
      <c r="A1597" s="1"/>
      <c r="B1597" s="171"/>
      <c r="C1597" s="222">
        <v>830.0</v>
      </c>
      <c r="D1597" s="223" t="s">
        <v>307</v>
      </c>
      <c r="E1597" s="224">
        <v>15000.0</v>
      </c>
      <c r="F1597" s="224">
        <v>15000.0</v>
      </c>
      <c r="G1597" s="6">
        <f t="shared" si="25"/>
        <v>0</v>
      </c>
    </row>
    <row r="1598" ht="14.25" customHeight="1">
      <c r="A1598" s="1"/>
      <c r="B1598" s="225">
        <v>2210.0</v>
      </c>
      <c r="E1598" s="23">
        <v>15000.0</v>
      </c>
      <c r="F1598" s="23">
        <f>SUM(F1597)</f>
        <v>15000</v>
      </c>
      <c r="G1598" s="6">
        <f t="shared" si="25"/>
        <v>0</v>
      </c>
    </row>
    <row r="1599" ht="14.25" customHeight="1">
      <c r="A1599" s="1"/>
      <c r="B1599" s="2"/>
      <c r="C1599" s="3"/>
      <c r="D1599" s="4"/>
      <c r="E1599" s="5"/>
      <c r="F1599" s="5"/>
      <c r="G1599" s="6" t="str">
        <f t="shared" si="25"/>
        <v/>
      </c>
    </row>
    <row r="1600" ht="14.25" customHeight="1">
      <c r="A1600" s="1"/>
      <c r="B1600" s="2"/>
      <c r="C1600" s="54"/>
      <c r="D1600" s="22" t="s">
        <v>308</v>
      </c>
      <c r="E1600" s="65">
        <v>15000.0</v>
      </c>
      <c r="F1600" s="65">
        <f>F1598</f>
        <v>15000</v>
      </c>
      <c r="G1600" s="6">
        <f t="shared" si="25"/>
        <v>0</v>
      </c>
    </row>
    <row r="1601" ht="14.25" customHeight="1">
      <c r="A1601" s="1"/>
      <c r="B1601" s="2"/>
      <c r="C1601" s="54"/>
      <c r="D1601" s="22"/>
      <c r="E1601" s="32"/>
      <c r="F1601" s="32"/>
      <c r="G1601" s="6" t="str">
        <f t="shared" si="25"/>
        <v/>
      </c>
    </row>
    <row r="1602" ht="14.25" customHeight="1">
      <c r="A1602" s="1"/>
      <c r="B1602" s="2"/>
      <c r="C1602" s="3"/>
      <c r="D1602" s="4"/>
      <c r="E1602" s="5"/>
      <c r="F1602" s="5"/>
      <c r="G1602" s="6" t="str">
        <f t="shared" si="25"/>
        <v/>
      </c>
    </row>
    <row r="1603" ht="14.25" customHeight="1">
      <c r="A1603" s="1"/>
      <c r="B1603" s="2"/>
      <c r="C1603" s="3"/>
      <c r="D1603" s="4"/>
      <c r="E1603" s="5"/>
      <c r="F1603" s="5"/>
      <c r="G1603" s="6" t="str">
        <f t="shared" si="25"/>
        <v/>
      </c>
    </row>
    <row r="1604" ht="14.25" customHeight="1">
      <c r="A1604" s="1"/>
      <c r="B1604" s="213" t="s">
        <v>0</v>
      </c>
      <c r="C1604" s="9"/>
      <c r="D1604" s="10" t="s">
        <v>309</v>
      </c>
      <c r="E1604" s="214"/>
      <c r="F1604" s="214"/>
      <c r="G1604" s="6" t="str">
        <f t="shared" si="25"/>
        <v/>
      </c>
    </row>
    <row r="1605" ht="14.25" customHeight="1">
      <c r="A1605" s="1"/>
      <c r="B1605" s="215" t="s">
        <v>2</v>
      </c>
      <c r="C1605" s="216" t="s">
        <v>3</v>
      </c>
      <c r="D1605" s="14"/>
      <c r="E1605" s="217">
        <v>2024.0</v>
      </c>
      <c r="F1605" s="218">
        <v>2025.0</v>
      </c>
      <c r="G1605" s="6">
        <f t="shared" si="25"/>
        <v>0.0004940711462</v>
      </c>
    </row>
    <row r="1606" ht="14.25" customHeight="1">
      <c r="A1606" s="1"/>
      <c r="B1606" s="226" t="s">
        <v>233</v>
      </c>
      <c r="C1606" s="227"/>
      <c r="D1606" s="228" t="s">
        <v>234</v>
      </c>
      <c r="E1606" s="35">
        <v>2024.0</v>
      </c>
      <c r="F1606" s="36">
        <v>2025.0</v>
      </c>
      <c r="G1606" s="6">
        <f t="shared" si="25"/>
        <v>0.0004940711462</v>
      </c>
    </row>
    <row r="1607" ht="14.25" customHeight="1">
      <c r="A1607" s="1"/>
      <c r="B1607" s="171"/>
      <c r="C1607" s="222">
        <v>913.0</v>
      </c>
      <c r="D1607" s="223" t="s">
        <v>310</v>
      </c>
      <c r="E1607" s="224">
        <v>535000.0</v>
      </c>
      <c r="F1607" s="224">
        <v>535000.0</v>
      </c>
      <c r="G1607" s="6">
        <f t="shared" si="25"/>
        <v>0</v>
      </c>
    </row>
    <row r="1608" ht="14.25" customHeight="1">
      <c r="A1608" s="1"/>
      <c r="B1608" s="229" t="s">
        <v>233</v>
      </c>
      <c r="E1608" s="23">
        <v>535000.0</v>
      </c>
      <c r="F1608" s="23">
        <f>SUM(F1607)</f>
        <v>535000</v>
      </c>
      <c r="G1608" s="6">
        <f t="shared" si="25"/>
        <v>0</v>
      </c>
    </row>
    <row r="1609" ht="14.25" customHeight="1">
      <c r="A1609" s="1"/>
      <c r="B1609" s="2"/>
      <c r="C1609" s="3"/>
      <c r="D1609" s="4"/>
      <c r="E1609" s="5"/>
      <c r="F1609" s="5"/>
      <c r="G1609" s="6" t="str">
        <f t="shared" si="25"/>
        <v/>
      </c>
    </row>
    <row r="1610" ht="14.25" customHeight="1">
      <c r="A1610" s="1"/>
      <c r="B1610" s="2"/>
      <c r="C1610" s="54"/>
      <c r="D1610" s="22" t="s">
        <v>311</v>
      </c>
      <c r="E1610" s="65">
        <v>535000.0</v>
      </c>
      <c r="F1610" s="65">
        <f>F1608</f>
        <v>535000</v>
      </c>
      <c r="G1610" s="6">
        <f t="shared" si="25"/>
        <v>0</v>
      </c>
    </row>
    <row r="1611" ht="14.25" customHeight="1">
      <c r="A1611" s="1"/>
      <c r="B1611" s="2"/>
      <c r="C1611" s="3"/>
      <c r="D1611" s="4"/>
      <c r="E1611" s="5"/>
      <c r="F1611" s="5"/>
      <c r="G1611" s="6" t="str">
        <f t="shared" si="25"/>
        <v/>
      </c>
    </row>
    <row r="1612" ht="14.25" customHeight="1">
      <c r="A1612" s="1"/>
      <c r="B1612" s="2"/>
      <c r="C1612" s="3"/>
      <c r="D1612" s="230" t="s">
        <v>312</v>
      </c>
      <c r="E1612" s="231">
        <v>4.980047898E7</v>
      </c>
      <c r="F1612" s="231">
        <f>F1610+F1600+F1590+F1575+F1393+F1306+F1291+F503+F1403</f>
        <v>64828315.2</v>
      </c>
      <c r="G1612" s="6">
        <f t="shared" si="25"/>
        <v>0.3017608772</v>
      </c>
    </row>
    <row r="1613" ht="14.25" customHeight="1">
      <c r="A1613" s="1"/>
      <c r="B1613" s="2"/>
      <c r="C1613" s="3"/>
      <c r="D1613" s="230"/>
      <c r="E1613" s="232"/>
      <c r="F1613" s="232"/>
      <c r="G1613" s="6"/>
    </row>
    <row r="1614" ht="14.25" customHeight="1">
      <c r="A1614" s="1"/>
      <c r="B1614" s="2"/>
      <c r="C1614" s="3"/>
      <c r="D1614" s="230"/>
      <c r="E1614" s="232"/>
      <c r="F1614" s="232"/>
      <c r="G1614" s="6"/>
    </row>
  </sheetData>
  <mergeCells count="177">
    <mergeCell ref="D507:D508"/>
    <mergeCell ref="B532:D532"/>
    <mergeCell ref="B539:D539"/>
    <mergeCell ref="B557:D557"/>
    <mergeCell ref="B577:D577"/>
    <mergeCell ref="B594:D594"/>
    <mergeCell ref="B603:D603"/>
    <mergeCell ref="B609:D609"/>
    <mergeCell ref="B632:D632"/>
    <mergeCell ref="B643:D643"/>
    <mergeCell ref="B667:D667"/>
    <mergeCell ref="B672:D672"/>
    <mergeCell ref="B680:D680"/>
    <mergeCell ref="B684:D684"/>
    <mergeCell ref="B698:D698"/>
    <mergeCell ref="B719:D719"/>
    <mergeCell ref="B738:D738"/>
    <mergeCell ref="B745:D745"/>
    <mergeCell ref="B749:D749"/>
    <mergeCell ref="B769:D769"/>
    <mergeCell ref="B777:D777"/>
    <mergeCell ref="B794:D794"/>
    <mergeCell ref="B806:D806"/>
    <mergeCell ref="B823:D823"/>
    <mergeCell ref="B827:D827"/>
    <mergeCell ref="B833:D833"/>
    <mergeCell ref="B845:D845"/>
    <mergeCell ref="B857:D857"/>
    <mergeCell ref="B878:D878"/>
    <mergeCell ref="B895:D895"/>
    <mergeCell ref="B912:D912"/>
    <mergeCell ref="B928:D928"/>
    <mergeCell ref="B942:D942"/>
    <mergeCell ref="B957:D957"/>
    <mergeCell ref="B973:D973"/>
    <mergeCell ref="B989:D989"/>
    <mergeCell ref="B1006:D1006"/>
    <mergeCell ref="B1023:D1023"/>
    <mergeCell ref="B1029:D1029"/>
    <mergeCell ref="B1034:D1034"/>
    <mergeCell ref="B1052:D1052"/>
    <mergeCell ref="B1062:D1062"/>
    <mergeCell ref="B1086:D1086"/>
    <mergeCell ref="B1090:D1090"/>
    <mergeCell ref="B1097:D1097"/>
    <mergeCell ref="B1102:D1102"/>
    <mergeCell ref="B1120:D1120"/>
    <mergeCell ref="B1127:D1127"/>
    <mergeCell ref="B1146:D1146"/>
    <mergeCell ref="B1150:D1150"/>
    <mergeCell ref="B1166:D1166"/>
    <mergeCell ref="B1185:D1185"/>
    <mergeCell ref="B1216:D1216"/>
    <mergeCell ref="B1228:D1228"/>
    <mergeCell ref="B1234:D1234"/>
    <mergeCell ref="B1246:D1246"/>
    <mergeCell ref="B1252:D1252"/>
    <mergeCell ref="B1262:D1262"/>
    <mergeCell ref="B1276:D1276"/>
    <mergeCell ref="B1283:D1283"/>
    <mergeCell ref="B1289:D1289"/>
    <mergeCell ref="B1295:C1295"/>
    <mergeCell ref="D1295:D1296"/>
    <mergeCell ref="B1300:D1300"/>
    <mergeCell ref="B1304:D1304"/>
    <mergeCell ref="B1310:C1310"/>
    <mergeCell ref="D1310:D1311"/>
    <mergeCell ref="B1314:D1314"/>
    <mergeCell ref="B1318:D1318"/>
    <mergeCell ref="B1322:D1322"/>
    <mergeCell ref="B3:C3"/>
    <mergeCell ref="D3:D4"/>
    <mergeCell ref="B16:D16"/>
    <mergeCell ref="B27:D27"/>
    <mergeCell ref="B40:D40"/>
    <mergeCell ref="B50:D50"/>
    <mergeCell ref="B64:D64"/>
    <mergeCell ref="B71:D71"/>
    <mergeCell ref="B88:D88"/>
    <mergeCell ref="B106:D106"/>
    <mergeCell ref="B117:D117"/>
    <mergeCell ref="B129:D129"/>
    <mergeCell ref="B147:D147"/>
    <mergeCell ref="B160:D160"/>
    <mergeCell ref="B171:D171"/>
    <mergeCell ref="B180:D180"/>
    <mergeCell ref="B197:D197"/>
    <mergeCell ref="B215:D215"/>
    <mergeCell ref="B220:D220"/>
    <mergeCell ref="B237:D237"/>
    <mergeCell ref="B244:D244"/>
    <mergeCell ref="B251:D251"/>
    <mergeCell ref="B265:D265"/>
    <mergeCell ref="B280:D280"/>
    <mergeCell ref="B287:D287"/>
    <mergeCell ref="B300:D300"/>
    <mergeCell ref="B315:D315"/>
    <mergeCell ref="B325:D325"/>
    <mergeCell ref="B336:D336"/>
    <mergeCell ref="B353:D353"/>
    <mergeCell ref="B365:D365"/>
    <mergeCell ref="B381:D381"/>
    <mergeCell ref="B391:D391"/>
    <mergeCell ref="B404:D404"/>
    <mergeCell ref="B415:D415"/>
    <mergeCell ref="B431:D431"/>
    <mergeCell ref="B443:D443"/>
    <mergeCell ref="B457:D457"/>
    <mergeCell ref="B474:D474"/>
    <mergeCell ref="B487:D487"/>
    <mergeCell ref="B501:D501"/>
    <mergeCell ref="B507:C507"/>
    <mergeCell ref="B1328:D1328"/>
    <mergeCell ref="B1332:D1332"/>
    <mergeCell ref="B1336:D1336"/>
    <mergeCell ref="B1340:D1340"/>
    <mergeCell ref="B1344:D1344"/>
    <mergeCell ref="B1348:D1348"/>
    <mergeCell ref="B1352:D1352"/>
    <mergeCell ref="D1604:D1605"/>
    <mergeCell ref="B1608:D1608"/>
    <mergeCell ref="D1579:D1580"/>
    <mergeCell ref="B1584:D1584"/>
    <mergeCell ref="B1588:D1588"/>
    <mergeCell ref="B1594:C1594"/>
    <mergeCell ref="D1594:D1595"/>
    <mergeCell ref="B1598:D1598"/>
    <mergeCell ref="B1604:C1604"/>
    <mergeCell ref="B1356:D1356"/>
    <mergeCell ref="B1360:D1360"/>
    <mergeCell ref="B1365:D1365"/>
    <mergeCell ref="B1370:D1370"/>
    <mergeCell ref="B1375:D1375"/>
    <mergeCell ref="B1379:D1379"/>
    <mergeCell ref="B1383:D1383"/>
    <mergeCell ref="B1387:D1387"/>
    <mergeCell ref="B1391:D1391"/>
    <mergeCell ref="B1397:C1397"/>
    <mergeCell ref="D1397:D1398"/>
    <mergeCell ref="B1401:D1401"/>
    <mergeCell ref="B1407:C1407"/>
    <mergeCell ref="D1407:D1408"/>
    <mergeCell ref="B1411:D1411"/>
    <mergeCell ref="B1415:D1415"/>
    <mergeCell ref="B1420:D1420"/>
    <mergeCell ref="B1426:D1426"/>
    <mergeCell ref="B1431:D1431"/>
    <mergeCell ref="B1435:D1435"/>
    <mergeCell ref="B1442:D1442"/>
    <mergeCell ref="B1448:D1448"/>
    <mergeCell ref="B1453:D1453"/>
    <mergeCell ref="B1458:D1458"/>
    <mergeCell ref="B1464:D1464"/>
    <mergeCell ref="B1468:D1468"/>
    <mergeCell ref="B1473:D1473"/>
    <mergeCell ref="B1477:D1477"/>
    <mergeCell ref="B1483:D1483"/>
    <mergeCell ref="B1487:D1487"/>
    <mergeCell ref="B1491:D1491"/>
    <mergeCell ref="B1495:D1495"/>
    <mergeCell ref="B1499:D1499"/>
    <mergeCell ref="B1503:D1503"/>
    <mergeCell ref="B1507:D1507"/>
    <mergeCell ref="B1512:D1512"/>
    <mergeCell ref="B1516:D1516"/>
    <mergeCell ref="B1522:D1522"/>
    <mergeCell ref="B1526:D1526"/>
    <mergeCell ref="B1530:D1530"/>
    <mergeCell ref="B1534:D1534"/>
    <mergeCell ref="B1538:D1538"/>
    <mergeCell ref="B1548:D1548"/>
    <mergeCell ref="B1553:D1553"/>
    <mergeCell ref="B1557:D1557"/>
    <mergeCell ref="B1561:D1561"/>
    <mergeCell ref="B1569:D1569"/>
    <mergeCell ref="B1573:D1573"/>
    <mergeCell ref="B1579:C1579"/>
  </mergeCells>
  <conditionalFormatting sqref="G1:G1569 H1496 G1574:G1614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printOptions/>
  <pageMargins bottom="0.7480314960629921" footer="0.0" header="0.0" left="0.2362204724409449" right="0.23622047244094488" top="0.7480314960629921"/>
  <pageSetup fitToHeight="0" paperSize="9" orientation="portrait"/>
  <headerFooter>
    <oddHeader>&amp;L&amp;F</oddHeader>
  </headerFoo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4">
        <f>LOOKUP("221.00",'2025'!C2:F1000)</f>
        <v>5900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20.75"/>
    <col customWidth="1" min="11" max="11" width="16.5"/>
  </cols>
  <sheetData>
    <row r="1">
      <c r="A1" s="233"/>
      <c r="B1" s="233"/>
      <c r="C1" s="233"/>
      <c r="D1" s="233"/>
    </row>
    <row r="2">
      <c r="A2" s="233"/>
      <c r="B2" s="233"/>
      <c r="C2" s="234" t="s">
        <v>313</v>
      </c>
      <c r="D2" s="234" t="s">
        <v>314</v>
      </c>
      <c r="H2" s="235"/>
      <c r="I2" s="234" t="s">
        <v>315</v>
      </c>
      <c r="J2" s="234" t="s">
        <v>316</v>
      </c>
      <c r="K2" s="234" t="s">
        <v>317</v>
      </c>
      <c r="L2" s="234" t="s">
        <v>318</v>
      </c>
    </row>
    <row r="3">
      <c r="A3" s="38"/>
      <c r="B3" s="236" t="s">
        <v>319</v>
      </c>
      <c r="C3" s="237">
        <v>4.0</v>
      </c>
      <c r="D3" s="237">
        <v>3.0</v>
      </c>
      <c r="F3" s="238" t="s">
        <v>320</v>
      </c>
      <c r="H3" s="234" t="s">
        <v>321</v>
      </c>
      <c r="I3" s="239">
        <f>C4 * C3</f>
        <v>168000</v>
      </c>
      <c r="J3" s="239">
        <f> (C4*0.3) * C3</f>
        <v>50400</v>
      </c>
      <c r="K3" s="239">
        <f> 1380 * 12 * C3</f>
        <v>66240</v>
      </c>
      <c r="L3" s="239">
        <f>SUM(I3:J3) - K3</f>
        <v>152160</v>
      </c>
    </row>
    <row r="4">
      <c r="B4" s="236" t="s">
        <v>322</v>
      </c>
      <c r="C4" s="240">
        <v>42000.0</v>
      </c>
      <c r="D4" s="240">
        <v>35000.0</v>
      </c>
      <c r="F4" s="204">
        <v>332320.0</v>
      </c>
      <c r="H4" s="234" t="s">
        <v>323</v>
      </c>
      <c r="I4" s="239">
        <f> D4 * D3</f>
        <v>105000</v>
      </c>
      <c r="J4" s="239">
        <f> (D4*0.3) * D3</f>
        <v>31500</v>
      </c>
      <c r="K4" s="240">
        <v>0.0</v>
      </c>
      <c r="L4" s="239">
        <f>SUM(I4:K4)</f>
        <v>136500</v>
      </c>
    </row>
    <row r="5">
      <c r="A5" s="38"/>
      <c r="B5" s="38"/>
      <c r="K5" s="241" t="s">
        <v>318</v>
      </c>
      <c r="L5" s="239">
        <f>SUM(L3:L4)</f>
        <v>288660</v>
      </c>
    </row>
  </sheetData>
  <drawing r:id="rId1"/>
</worksheet>
</file>